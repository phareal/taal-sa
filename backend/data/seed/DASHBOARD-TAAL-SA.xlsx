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F376E7E-01E9-4F0F-BE15-4F358E9EF85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📊 TABLEAU DE BORD" sheetId="1" r:id="rId1"/>
    <sheet name="📋 DONNÉES CONSOLIDÉES" sheetId="2" r:id="rId2"/>
    <sheet name="📅 ANALYSE MENSUELLE" sheetId="3" r:id="rId3"/>
    <sheet name="🚢 ANALYSE NAVIRES" sheetId="4" r:id="rId4"/>
    <sheet name="📈 HISTORIQUE CLIENTS" sheetId="10" r:id="rId5"/>
    <sheet name="📈 2026 (MARGES)" sheetId="5" r:id="rId6"/>
    <sheet name="🚚 SHIPPERS À RELANCER" sheetId="11" r:id="rId7"/>
    <sheet name="👥 SYNTHÈSE CLIENTS" sheetId="6" r:id="rId8"/>
    <sheet name="🎯 SYNTHÈSE PROSPECTS" sheetId="9" r:id="rId9"/>
    <sheet name="💼 Opportunités" sheetId="7" r:id="rId10"/>
    <sheet name="📊 Récapitulatif Commercial" sheetId="8" r:id="rId11"/>
  </sheets>
  <definedNames>
    <definedName name="_xlnm._FilterDatabase" localSheetId="7" hidden="1">'👥 SYNTHÈSE CLIENTS'!$A$5:$G$1121</definedName>
    <definedName name="_xlnm._FilterDatabase" localSheetId="9" hidden="1">'💼 Opportunités'!$A$15:$I$147</definedName>
    <definedName name="_xlnm._FilterDatabase" localSheetId="1" hidden="1">'📋 DONNÉES CONSOLIDÉES'!$A$5:$K$2554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5" i="5" l="1"/>
  <c r="K54" i="5"/>
  <c r="K53" i="5"/>
  <c r="K52" i="5"/>
  <c r="N30" i="8"/>
  <c r="M30" i="8"/>
  <c r="L30" i="8"/>
  <c r="K30" i="8"/>
  <c r="J30" i="8"/>
  <c r="I30" i="8"/>
  <c r="H30" i="8"/>
  <c r="G30" i="8"/>
  <c r="F30" i="8"/>
  <c r="E30" i="8"/>
  <c r="D30" i="8"/>
  <c r="C30" i="8"/>
  <c r="H19" i="8"/>
  <c r="G19" i="8"/>
  <c r="F19" i="8"/>
  <c r="E19" i="8"/>
  <c r="D19" i="8"/>
  <c r="C19" i="8"/>
  <c r="H18" i="8"/>
  <c r="G18" i="8"/>
  <c r="F18" i="8"/>
  <c r="E18" i="8"/>
  <c r="D18" i="8"/>
  <c r="C18" i="8"/>
  <c r="G147" i="7"/>
  <c r="A147" i="7"/>
  <c r="G146" i="7"/>
  <c r="A146" i="7"/>
  <c r="G145" i="7"/>
  <c r="A145" i="7"/>
  <c r="G144" i="7"/>
  <c r="A144" i="7"/>
  <c r="G143" i="7"/>
  <c r="A143" i="7"/>
  <c r="G142" i="7"/>
  <c r="A142" i="7"/>
  <c r="G141" i="7"/>
  <c r="A141" i="7"/>
  <c r="G140" i="7"/>
  <c r="A140" i="7"/>
  <c r="G139" i="7"/>
  <c r="A139" i="7"/>
  <c r="G138" i="7"/>
  <c r="A138" i="7"/>
  <c r="G137" i="7"/>
  <c r="A137" i="7"/>
  <c r="G136" i="7"/>
  <c r="A136" i="7"/>
  <c r="G135" i="7"/>
  <c r="A135" i="7"/>
  <c r="G134" i="7"/>
  <c r="A134" i="7"/>
  <c r="G133" i="7"/>
  <c r="A133" i="7"/>
  <c r="G132" i="7"/>
  <c r="A132" i="7"/>
  <c r="G131" i="7"/>
  <c r="A131" i="7"/>
  <c r="G130" i="7"/>
  <c r="A130" i="7"/>
  <c r="G129" i="7"/>
  <c r="A129" i="7"/>
  <c r="G128" i="7"/>
  <c r="A128" i="7"/>
  <c r="G127" i="7"/>
  <c r="A127" i="7"/>
  <c r="G126" i="7"/>
  <c r="A126" i="7"/>
  <c r="G125" i="7"/>
  <c r="A125" i="7"/>
  <c r="G124" i="7"/>
  <c r="A124" i="7"/>
  <c r="G123" i="7"/>
  <c r="A123" i="7"/>
  <c r="G122" i="7"/>
  <c r="A122" i="7"/>
  <c r="G121" i="7"/>
  <c r="A121" i="7"/>
  <c r="G120" i="7"/>
  <c r="A120" i="7"/>
  <c r="G119" i="7"/>
  <c r="A119" i="7"/>
  <c r="G118" i="7"/>
  <c r="A118" i="7"/>
  <c r="G117" i="7"/>
  <c r="A117" i="7"/>
  <c r="G116" i="7"/>
  <c r="A116" i="7"/>
  <c r="G115" i="7"/>
  <c r="A115" i="7"/>
  <c r="G114" i="7"/>
  <c r="A114" i="7"/>
  <c r="G113" i="7"/>
  <c r="A113" i="7"/>
  <c r="G112" i="7"/>
  <c r="A112" i="7"/>
  <c r="G111" i="7"/>
  <c r="A111" i="7"/>
  <c r="G110" i="7"/>
  <c r="A110" i="7"/>
  <c r="G109" i="7"/>
  <c r="A109" i="7"/>
  <c r="G108" i="7"/>
  <c r="A108" i="7"/>
  <c r="G107" i="7"/>
  <c r="A107" i="7"/>
  <c r="G106" i="7"/>
  <c r="A106" i="7"/>
  <c r="G105" i="7"/>
  <c r="A105" i="7"/>
  <c r="G104" i="7"/>
  <c r="A104" i="7"/>
  <c r="G103" i="7"/>
  <c r="A103" i="7"/>
  <c r="G102" i="7"/>
  <c r="A102" i="7"/>
  <c r="G101" i="7"/>
  <c r="A101" i="7"/>
  <c r="G100" i="7"/>
  <c r="A100" i="7"/>
  <c r="G99" i="7"/>
  <c r="A99" i="7"/>
  <c r="G98" i="7"/>
  <c r="A98" i="7"/>
  <c r="G97" i="7"/>
  <c r="A97" i="7"/>
  <c r="G96" i="7"/>
  <c r="A96" i="7"/>
  <c r="G95" i="7"/>
  <c r="A95" i="7"/>
  <c r="G94" i="7"/>
  <c r="A94" i="7"/>
  <c r="G93" i="7"/>
  <c r="A93" i="7"/>
  <c r="G92" i="7"/>
  <c r="A92" i="7"/>
  <c r="G91" i="7"/>
  <c r="A91" i="7"/>
  <c r="G90" i="7"/>
  <c r="A90" i="7"/>
  <c r="G89" i="7"/>
  <c r="A89" i="7"/>
  <c r="G88" i="7"/>
  <c r="A88" i="7"/>
  <c r="G87" i="7"/>
  <c r="A87" i="7"/>
  <c r="G86" i="7"/>
  <c r="A86" i="7"/>
  <c r="G85" i="7"/>
  <c r="A85" i="7"/>
  <c r="G84" i="7"/>
  <c r="A84" i="7"/>
  <c r="G83" i="7"/>
  <c r="A83" i="7"/>
  <c r="G82" i="7"/>
  <c r="A82" i="7"/>
  <c r="G81" i="7"/>
  <c r="A81" i="7"/>
  <c r="G80" i="7"/>
  <c r="A80" i="7"/>
  <c r="G79" i="7"/>
  <c r="A79" i="7"/>
  <c r="G78" i="7"/>
  <c r="A78" i="7"/>
  <c r="G77" i="7"/>
  <c r="A77" i="7"/>
  <c r="G76" i="7"/>
  <c r="A76" i="7"/>
  <c r="G75" i="7"/>
  <c r="A75" i="7"/>
  <c r="G74" i="7"/>
  <c r="A74" i="7"/>
  <c r="G73" i="7"/>
  <c r="A73" i="7"/>
  <c r="G72" i="7"/>
  <c r="A72" i="7"/>
  <c r="G71" i="7"/>
  <c r="A71" i="7"/>
  <c r="G70" i="7"/>
  <c r="A70" i="7"/>
  <c r="G69" i="7"/>
  <c r="A69" i="7"/>
  <c r="G68" i="7"/>
  <c r="A68" i="7"/>
  <c r="G67" i="7"/>
  <c r="A67" i="7"/>
  <c r="G66" i="7"/>
  <c r="A66" i="7"/>
  <c r="G65" i="7"/>
  <c r="A65" i="7"/>
  <c r="G64" i="7"/>
  <c r="A64" i="7"/>
  <c r="G31" i="7"/>
  <c r="A31" i="7"/>
  <c r="G30" i="7"/>
  <c r="I19" i="8" s="1"/>
  <c r="A30" i="7"/>
  <c r="G29" i="7"/>
  <c r="A29" i="7"/>
  <c r="G28" i="7"/>
  <c r="A28" i="7"/>
  <c r="G27" i="7"/>
  <c r="A27" i="7"/>
  <c r="G26" i="7"/>
  <c r="A26" i="7"/>
  <c r="G25" i="7"/>
  <c r="A25" i="7"/>
  <c r="G24" i="7"/>
  <c r="A24" i="7"/>
  <c r="G23" i="7"/>
  <c r="A23" i="7"/>
  <c r="G22" i="7"/>
  <c r="A22" i="7"/>
  <c r="G21" i="7"/>
  <c r="A21" i="7"/>
  <c r="G20" i="7"/>
  <c r="A20" i="7"/>
  <c r="G19" i="7"/>
  <c r="A19" i="7"/>
  <c r="G18" i="7"/>
  <c r="A18" i="7"/>
  <c r="G17" i="7"/>
  <c r="A17" i="7"/>
  <c r="G16" i="7"/>
  <c r="A16" i="7"/>
  <c r="E9" i="7"/>
  <c r="H9" i="8" s="1"/>
  <c r="C9" i="7"/>
  <c r="E9" i="8" s="1"/>
  <c r="A9" i="7"/>
  <c r="B9" i="8" s="1"/>
  <c r="I18" i="8" l="1"/>
  <c r="I20" i="8" s="1"/>
  <c r="D20" i="8"/>
  <c r="E20" i="8"/>
  <c r="G20" i="8"/>
  <c r="F20" i="8"/>
  <c r="G9" i="7"/>
  <c r="K9" i="8" s="1"/>
  <c r="H20" i="8"/>
  <c r="C20" i="8"/>
  <c r="J19" i="8"/>
  <c r="L14" i="8"/>
  <c r="F14" i="8"/>
  <c r="J18" i="8"/>
  <c r="J20" i="8" l="1"/>
</calcChain>
</file>

<file path=xl/sharedStrings.xml><?xml version="1.0" encoding="utf-8"?>
<sst xmlns="http://schemas.openxmlformats.org/spreadsheetml/2006/main" count="17684" uniqueCount="5824">
  <si>
    <t>TABLEAU DE BORD GROUPAGE  |  2019 – 2026</t>
  </si>
  <si>
    <t>Service NAT1  ·  Données opérationnelles &amp; analytiques  ·  Consolidé toutes années</t>
  </si>
  <si>
    <t>💰  CHIFFRE D'AFFAIRES TOTAL</t>
  </si>
  <si>
    <t>⚖️  POIDS TOTAL TRAITÉ</t>
  </si>
  <si>
    <t>🤝  NOMBRE DE CLIENTS</t>
  </si>
  <si>
    <t>🏆  MEILLEURE ANNÉE (CA)</t>
  </si>
  <si>
    <t>🚢  NAVIRES UTILISÉS</t>
  </si>
  <si>
    <t>0.61 Mrd FCFA</t>
  </si>
  <si>
    <t>5,052 T</t>
  </si>
  <si>
    <t>1,116</t>
  </si>
  <si>
    <t>2020</t>
  </si>
  <si>
    <t>62</t>
  </si>
  <si>
    <t>Sur 2019–2026 · 2,744 B/L traités</t>
  </si>
  <si>
    <t>Tonnes · Moyenne 1841 kg/BL</t>
  </si>
  <si>
    <t>Consignataires actifs · 1555 Shippers</t>
  </si>
  <si>
    <t>107M FCFA</t>
  </si>
  <si>
    <t>Lignes maritimes différentes 2019-2026</t>
  </si>
  <si>
    <t>▶  ÉVOLUTION ANNUELLE DES PERFORMANCES</t>
  </si>
  <si>
    <t>ANNÉE</t>
  </si>
  <si>
    <t>CA TOTAL (FCFA)</t>
  </si>
  <si>
    <t>NB BL</t>
  </si>
  <si>
    <t>POIDS (KG)</t>
  </si>
  <si>
    <t>VOLUME (M³)</t>
  </si>
  <si>
    <t>ÉVOL CA %</t>
  </si>
  <si>
    <t>CA MOY/BL</t>
  </si>
  <si>
    <t>PART POIDS</t>
  </si>
  <si>
    <t>TOTAL</t>
  </si>
  <si>
    <t>100.0%</t>
  </si>
  <si>
    <t>▶  TOP 15 CLIENTS (CONSIGNATAIRES)</t>
  </si>
  <si>
    <t>▶  TOP 15 SHIPPERS (EXPÉDITEURS)</t>
  </si>
  <si>
    <t>CLIENT</t>
  </si>
  <si>
    <t>CA TOTAL</t>
  </si>
  <si>
    <t>NB B/L</t>
  </si>
  <si>
    <t>PART CA</t>
  </si>
  <si>
    <t>SHIPPER</t>
  </si>
  <si>
    <t>SNPT</t>
  </si>
  <si>
    <t>DSV AIR &amp; SEA CO LTD</t>
  </si>
  <si>
    <t>SCANTOGO MINES SA</t>
  </si>
  <si>
    <t>FPS FAMOUS PACIFIC SHIPPING BV</t>
  </si>
  <si>
    <t>LCT</t>
  </si>
  <si>
    <t>CABLES BARCIET</t>
  </si>
  <si>
    <t>CIMTOGO SA</t>
  </si>
  <si>
    <t>CPS AFRICA</t>
  </si>
  <si>
    <t>REC LOGISTICS</t>
  </si>
  <si>
    <t>DOUAISIS</t>
  </si>
  <si>
    <t>WACEM</t>
  </si>
  <si>
    <t>AFCOCE</t>
  </si>
  <si>
    <t>DIAMOND CEMENT TOGO SA</t>
  </si>
  <si>
    <t>STAN</t>
  </si>
  <si>
    <t>WEST AFRICAN CEMENT SA</t>
  </si>
  <si>
    <t>FPS FAMOUS PACIFIC</t>
  </si>
  <si>
    <t>OMA LOGISTICS TOGO</t>
  </si>
  <si>
    <t>DEGRILLON TECHNICAL</t>
  </si>
  <si>
    <t>BCEAO</t>
  </si>
  <si>
    <t>MATAM SA NV</t>
  </si>
  <si>
    <t>RODIS LOME</t>
  </si>
  <si>
    <t>DSV AIR &amp; SEA PVT LTD</t>
  </si>
  <si>
    <t>AMERICAN AMBASSADOR</t>
  </si>
  <si>
    <t>PORTUNUS PORT SPARES</t>
  </si>
  <si>
    <t>INTER-SEAS TOGO</t>
  </si>
  <si>
    <t>DEGRILLON TECHNICAL SUPPLIES</t>
  </si>
  <si>
    <t>RODIS TOGO</t>
  </si>
  <si>
    <t>VANGUARD LOGISTICS</t>
  </si>
  <si>
    <t>N.P. GANDOUR</t>
  </si>
  <si>
    <t>GEO SALES PRIVATE LTD</t>
  </si>
  <si>
    <t>BASE DE DONNÉES GROUPAGE — NAT1  |  2019–2025 (source: feuille TOTAL)</t>
  </si>
  <si>
    <t>Total : 2549 enregistrements  ·  Mis à jour automatiquement depuis la base brute</t>
  </si>
  <si>
    <t>NAVIRE</t>
  </si>
  <si>
    <t>N° B/L</t>
  </si>
  <si>
    <t>CONSIGNATAIRE</t>
  </si>
  <si>
    <t>QUANTITÉ</t>
  </si>
  <si>
    <t>VOL (M³)</t>
  </si>
  <si>
    <t>DOCS FEES (FCFA)</t>
  </si>
  <si>
    <t>MOIS</t>
  </si>
  <si>
    <t xml:space="preserve">ATLANTIC </t>
  </si>
  <si>
    <t xml:space="preserve">A B COMEX SA </t>
  </si>
  <si>
    <t>NIOTO</t>
  </si>
  <si>
    <t>2</t>
  </si>
  <si>
    <t>JANVIER</t>
  </si>
  <si>
    <t>ASSFOR LOGISTICS SA</t>
  </si>
  <si>
    <t xml:space="preserve">OMA LOGISTICS </t>
  </si>
  <si>
    <t>6</t>
  </si>
  <si>
    <t xml:space="preserve">POLYTRA NV </t>
  </si>
  <si>
    <t xml:space="preserve">LA BELGITUDE </t>
  </si>
  <si>
    <t>4</t>
  </si>
  <si>
    <t xml:space="preserve">DHL GLOBAL </t>
  </si>
  <si>
    <t>1</t>
  </si>
  <si>
    <t xml:space="preserve">UNIPEX SOLUTIONS </t>
  </si>
  <si>
    <t xml:space="preserve">SIVOP TOGO </t>
  </si>
  <si>
    <t>DSV AIR &amp; SEA</t>
  </si>
  <si>
    <t>ELECTROLUX US EMBASSY</t>
  </si>
  <si>
    <t>ARGEVILLE</t>
  </si>
  <si>
    <t xml:space="preserve">INDO METAL </t>
  </si>
  <si>
    <t xml:space="preserve">WACEM SA </t>
  </si>
  <si>
    <t>3</t>
  </si>
  <si>
    <t>LARILYA SOLUTIONS</t>
  </si>
  <si>
    <t>ROTEC SAS</t>
  </si>
  <si>
    <t>9</t>
  </si>
  <si>
    <t xml:space="preserve">BUISCAR CARGO SOLUTIONS </t>
  </si>
  <si>
    <t xml:space="preserve">LCT </t>
  </si>
  <si>
    <t>ALABAMA</t>
  </si>
  <si>
    <t xml:space="preserve">MERK KGAA FRANKFURTER STRASE </t>
  </si>
  <si>
    <t xml:space="preserve">PEPINO SARL P/C FAO </t>
  </si>
  <si>
    <t>AGSOL</t>
  </si>
  <si>
    <t xml:space="preserve">SALT </t>
  </si>
  <si>
    <t>7</t>
  </si>
  <si>
    <t xml:space="preserve">DEGRILLON TECHNICAL SUPPLIES </t>
  </si>
  <si>
    <t xml:space="preserve">SNPT </t>
  </si>
  <si>
    <t xml:space="preserve">ELCYA Z I RICHARD BLOCH </t>
  </si>
  <si>
    <t>ONG LES AMIS DU PARTAGE</t>
  </si>
  <si>
    <t>TAPPEZZERIA DE CANDIDO</t>
  </si>
  <si>
    <t xml:space="preserve">HELIMEX SARL </t>
  </si>
  <si>
    <t xml:space="preserve">SARL LVANTO </t>
  </si>
  <si>
    <t xml:space="preserve">PRONATURA WEST AFRICA </t>
  </si>
  <si>
    <t xml:space="preserve">MAROC CORDERIE </t>
  </si>
  <si>
    <t>LCT LOME CONTAINER</t>
  </si>
  <si>
    <t xml:space="preserve">SAI INDO METAL </t>
  </si>
  <si>
    <t xml:space="preserve">FORTIA CEMENT SA </t>
  </si>
  <si>
    <t>5</t>
  </si>
  <si>
    <t>BLISS GVS PHARMA</t>
  </si>
  <si>
    <t>IMEX-PHARMA</t>
  </si>
  <si>
    <t>CLEVE &amp; ZONEN B.V</t>
  </si>
  <si>
    <t xml:space="preserve">ZHEIJIANG XINGYI VENTILATOR </t>
  </si>
  <si>
    <t xml:space="preserve">MSC DIEGO </t>
  </si>
  <si>
    <t xml:space="preserve">APELEM </t>
  </si>
  <si>
    <t xml:space="preserve">LABORATOIRE DALMUS </t>
  </si>
  <si>
    <t>FEVRIER</t>
  </si>
  <si>
    <t xml:space="preserve">METAUX MOTEURS  POMPES INDUSTRIES </t>
  </si>
  <si>
    <t xml:space="preserve">NIOTO </t>
  </si>
  <si>
    <t xml:space="preserve">SIVOP </t>
  </si>
  <si>
    <t xml:space="preserve">PRANEEL EXPORTS </t>
  </si>
  <si>
    <t xml:space="preserve">WACEM </t>
  </si>
  <si>
    <t>16</t>
  </si>
  <si>
    <t xml:space="preserve">REC LOGISTICS </t>
  </si>
  <si>
    <t>MSC SHANNON</t>
  </si>
  <si>
    <t xml:space="preserve">SWIFT MARINE BV </t>
  </si>
  <si>
    <t>MSC TOGO SA</t>
  </si>
  <si>
    <t xml:space="preserve">CR EQUIPMENTS SA </t>
  </si>
  <si>
    <t xml:space="preserve">OADCPH </t>
  </si>
  <si>
    <t xml:space="preserve">BARET VENISSIEUX </t>
  </si>
  <si>
    <t xml:space="preserve">STE BABEL HA SARL </t>
  </si>
  <si>
    <t xml:space="preserve">JOBSON ITALIA SRL </t>
  </si>
  <si>
    <t xml:space="preserve">PRIME DISTRIBUTION SERVICES </t>
  </si>
  <si>
    <t>THE AFRICAN CONCEPT STORE</t>
  </si>
  <si>
    <t xml:space="preserve">VEPLUS RESOURCES SDN </t>
  </si>
  <si>
    <t>PROBIOMEPH SARL</t>
  </si>
  <si>
    <t xml:space="preserve">CLEVE &amp; ZONEN BV </t>
  </si>
  <si>
    <t xml:space="preserve">CD STAMPLEY ENTERPRISES </t>
  </si>
  <si>
    <t xml:space="preserve">EGLISE ADVENTISTE DU SEPTIEME JOUR </t>
  </si>
  <si>
    <t xml:space="preserve">MSC GINA </t>
  </si>
  <si>
    <t xml:space="preserve">MATAM S A N V </t>
  </si>
  <si>
    <t>SNPT TOGO</t>
  </si>
  <si>
    <t>BEML LIMITED</t>
  </si>
  <si>
    <t>8</t>
  </si>
  <si>
    <t xml:space="preserve">KONECRANES FINLANDOY </t>
  </si>
  <si>
    <t xml:space="preserve">LCT SA </t>
  </si>
  <si>
    <t xml:space="preserve">DAIKIN MIDDLE EAST AND AFRICA FZE </t>
  </si>
  <si>
    <t xml:space="preserve">ARIC SA </t>
  </si>
  <si>
    <t xml:space="preserve">IFS INTERNATIONAL FORWARDING </t>
  </si>
  <si>
    <t xml:space="preserve">ASSOCIATION BAPTISTS OF WORLD </t>
  </si>
  <si>
    <t xml:space="preserve">COMPAGNIE INTERNATIONALE DE MAINTENANCE </t>
  </si>
  <si>
    <t xml:space="preserve">SATAKE EUROPE LMTD </t>
  </si>
  <si>
    <t xml:space="preserve">LE RIZ DU NIGER </t>
  </si>
  <si>
    <t xml:space="preserve">AIGNEP </t>
  </si>
  <si>
    <t xml:space="preserve">DODO COSMETICS </t>
  </si>
  <si>
    <t xml:space="preserve">SOCIETE NOUVELLE DU LITTORAL </t>
  </si>
  <si>
    <t xml:space="preserve">CARGO ONE OCEANAIR LOGISTICS PVT LTD </t>
  </si>
  <si>
    <t xml:space="preserve">CLEVE &amp; ZONEN B V </t>
  </si>
  <si>
    <t xml:space="preserve">MSC TOGO </t>
  </si>
  <si>
    <t>OKHEIM SOFITAM</t>
  </si>
  <si>
    <t xml:space="preserve">SOTAM TOGO </t>
  </si>
  <si>
    <t xml:space="preserve">CHUGOKU PAINTS </t>
  </si>
  <si>
    <t>WISDOM GBEKOBO OMA TOGO</t>
  </si>
  <si>
    <t xml:space="preserve">HANSA ASIA </t>
  </si>
  <si>
    <t xml:space="preserve">FAST TRANSIT LINE </t>
  </si>
  <si>
    <t xml:space="preserve">NIOTO SA </t>
  </si>
  <si>
    <t>THERMO ELECTRON LED GMBH</t>
  </si>
  <si>
    <t xml:space="preserve">BGL-SYSMET TOGO </t>
  </si>
  <si>
    <t xml:space="preserve">PEME GOURDIN </t>
  </si>
  <si>
    <t xml:space="preserve">TTL France </t>
  </si>
  <si>
    <t xml:space="preserve">DSV AIR &amp; SEA SAS </t>
  </si>
  <si>
    <t xml:space="preserve">FIRMENICH SA </t>
  </si>
  <si>
    <t xml:space="preserve">UNIFOOD </t>
  </si>
  <si>
    <t>SAS CONDUCTIX-WAMPFLER</t>
  </si>
  <si>
    <t xml:space="preserve">CURT GEORGI GMBH &amp; CO </t>
  </si>
  <si>
    <t xml:space="preserve">NEXANS POWER ACCESSORIES France </t>
  </si>
  <si>
    <t xml:space="preserve">CEET </t>
  </si>
  <si>
    <t xml:space="preserve">TALLERES FARRAUS </t>
  </si>
  <si>
    <t xml:space="preserve">SICONE </t>
  </si>
  <si>
    <t xml:space="preserve">OLINQUI </t>
  </si>
  <si>
    <t>GIT</t>
  </si>
  <si>
    <t xml:space="preserve">ATEP ZAC </t>
  </si>
  <si>
    <t xml:space="preserve">ORYX LUBRIFIANTS </t>
  </si>
  <si>
    <t xml:space="preserve">TRADING SERVICES INTERNATIONAL </t>
  </si>
  <si>
    <t xml:space="preserve">CONTOUR GLOBAL </t>
  </si>
  <si>
    <t xml:space="preserve">MAURIA UDYOG LTD </t>
  </si>
  <si>
    <t xml:space="preserve">SODIGAZ </t>
  </si>
  <si>
    <t xml:space="preserve">BASANT PRODUCTS </t>
  </si>
  <si>
    <t xml:space="preserve">AFRICAN PIONEERS </t>
  </si>
  <si>
    <t xml:space="preserve">NILFISK PTE LTD </t>
  </si>
  <si>
    <t xml:space="preserve">I &amp; B AUTOMATION &amp; CONTROLS PVT LTD </t>
  </si>
  <si>
    <t xml:space="preserve">SOTOTOLES SA </t>
  </si>
  <si>
    <t xml:space="preserve">SHENZHEN HENGTAI INTERNATIONAL </t>
  </si>
  <si>
    <t>NAYO KOKOU INYEZA</t>
  </si>
  <si>
    <t>MSC REGINA</t>
  </si>
  <si>
    <t xml:space="preserve">UNICEF </t>
  </si>
  <si>
    <t>UNICEF LOME</t>
  </si>
  <si>
    <t>MARS</t>
  </si>
  <si>
    <t xml:space="preserve">CLASQUIN LILLE </t>
  </si>
  <si>
    <t>SMT AFRICA SA/NV</t>
  </si>
  <si>
    <t xml:space="preserve">SMT TOGO </t>
  </si>
  <si>
    <t xml:space="preserve">MATAM SA </t>
  </si>
  <si>
    <t xml:space="preserve">SUEZ INTERNATIONAL </t>
  </si>
  <si>
    <t xml:space="preserve">TORECOM </t>
  </si>
  <si>
    <t xml:space="preserve">LESSONIA </t>
  </si>
  <si>
    <t>SIVOP TOGO</t>
  </si>
  <si>
    <t xml:space="preserve">BIOSIGMA SRL </t>
  </si>
  <si>
    <t>GLOBALS SERVICES  GROUP TOGO</t>
  </si>
  <si>
    <t xml:space="preserve">PGR INDUSTRIAL </t>
  </si>
  <si>
    <t xml:space="preserve">ORACLE AMERICA </t>
  </si>
  <si>
    <t xml:space="preserve">INAM </t>
  </si>
  <si>
    <t xml:space="preserve">SHENZHEN SANMAO </t>
  </si>
  <si>
    <t>MR AGBAI OLEMA AGBAI /IMPORT DEPT</t>
  </si>
  <si>
    <t>24</t>
  </si>
  <si>
    <t>HEINEKEN INTERNATIONAL BV</t>
  </si>
  <si>
    <t xml:space="preserve">RAMCO SA </t>
  </si>
  <si>
    <t>VASCO-BURKINA</t>
  </si>
  <si>
    <t>MSC JORDAN</t>
  </si>
  <si>
    <t xml:space="preserve">TOTAL OUTRE MER </t>
  </si>
  <si>
    <t xml:space="preserve">TOTAL TOGO </t>
  </si>
  <si>
    <t xml:space="preserve">KONECRANES FINLAND </t>
  </si>
  <si>
    <t xml:space="preserve">CONDADO PORTUCALENSE-SOCIEDADE </t>
  </si>
  <si>
    <t xml:space="preserve">MARKET CONSULT </t>
  </si>
  <si>
    <t>CONDE MONTECRISTO-COM</t>
  </si>
  <si>
    <t>SOLAR HOME SYSTEM</t>
  </si>
  <si>
    <t xml:space="preserve">FOSHAN DESSION PACKING MACHINERY CO LTD </t>
  </si>
  <si>
    <t xml:space="preserve">SAKINDI AISHA </t>
  </si>
  <si>
    <t>27</t>
  </si>
  <si>
    <t xml:space="preserve">OCEAN 2 OCEAN </t>
  </si>
  <si>
    <t xml:space="preserve">UNDP OFFICE IN TOGO </t>
  </si>
  <si>
    <t xml:space="preserve">KEIM France SAS </t>
  </si>
  <si>
    <t xml:space="preserve">ETOPEB SARL </t>
  </si>
  <si>
    <t>SILCA SPA</t>
  </si>
  <si>
    <t>DIALLO MAMOUDOU</t>
  </si>
  <si>
    <t xml:space="preserve">SAS MARIANI </t>
  </si>
  <si>
    <t xml:space="preserve">TRANSAM P SARL </t>
  </si>
  <si>
    <t xml:space="preserve">PGR INDUSTRIAL CONSULTANTS </t>
  </si>
  <si>
    <t xml:space="preserve">PERENZ SRL </t>
  </si>
  <si>
    <t xml:space="preserve">TMB EXPO </t>
  </si>
  <si>
    <t xml:space="preserve">CLEVE R ZONEN BV </t>
  </si>
  <si>
    <t xml:space="preserve">VAL VLIET TOGO SA </t>
  </si>
  <si>
    <t xml:space="preserve">HENAN WADLEY IMPORT &amp; EXPORT </t>
  </si>
  <si>
    <t xml:space="preserve">WEMBOU MAKANDOLOU </t>
  </si>
  <si>
    <t xml:space="preserve">TIANJIN ORIENTAL KSD </t>
  </si>
  <si>
    <t xml:space="preserve">SEG LE SALUT </t>
  </si>
  <si>
    <t xml:space="preserve">MSC ALABAMA </t>
  </si>
  <si>
    <t xml:space="preserve">SHANGHAI ZHENHUA </t>
  </si>
  <si>
    <t xml:space="preserve">CYPRESS DIAGNOSTICS </t>
  </si>
  <si>
    <t xml:space="preserve">PROLABO DIAGNOSTICS </t>
  </si>
  <si>
    <t xml:space="preserve">CTP LOGISTIC GMBH </t>
  </si>
  <si>
    <t xml:space="preserve">DEMBA YATTASSAYE </t>
  </si>
  <si>
    <t xml:space="preserve">AUMUND France SARL </t>
  </si>
  <si>
    <t xml:space="preserve">DIAMOND CEMENT </t>
  </si>
  <si>
    <t xml:space="preserve">TOULASSI AKPENE </t>
  </si>
  <si>
    <t xml:space="preserve">CONDAT LTD OFFICE II </t>
  </si>
  <si>
    <t xml:space="preserve">SOTOTOLES </t>
  </si>
  <si>
    <t xml:space="preserve">THERMOFLAN </t>
  </si>
  <si>
    <t xml:space="preserve">UBUNTU GENERAL TRADING COMPANY SARL </t>
  </si>
  <si>
    <t xml:space="preserve">GUANGZHOU HELIZHANCHUANG ELECTRIC TECHNOLOGY CO </t>
  </si>
  <si>
    <t>SABI ISSA KASSIM</t>
  </si>
  <si>
    <t>25</t>
  </si>
  <si>
    <t xml:space="preserve">TEREX GLOBAL GMBH </t>
  </si>
  <si>
    <t>MSC INDIA</t>
  </si>
  <si>
    <t>ANR/LFW/06126</t>
  </si>
  <si>
    <t>HEINEKEN BROUWERIJEN BV</t>
  </si>
  <si>
    <t>ETS HADDAD KHALIL</t>
  </si>
  <si>
    <t>1 PALLET STC</t>
  </si>
  <si>
    <t>ANR/LFW/06127</t>
  </si>
  <si>
    <t>RAMCO SA</t>
  </si>
  <si>
    <t>1 PALLET</t>
  </si>
  <si>
    <t>ANR/LFW/06128</t>
  </si>
  <si>
    <t>VASCO - MALI</t>
  </si>
  <si>
    <t>ANR/LFW/06129</t>
  </si>
  <si>
    <t>VASCO - BURKINA</t>
  </si>
  <si>
    <t>3 PALLETS</t>
  </si>
  <si>
    <t>ANR/LFW/06131</t>
  </si>
  <si>
    <t>CFAO MOTORS TOGO</t>
  </si>
  <si>
    <t>3 PALLETS STC</t>
  </si>
  <si>
    <t>ANR/LFW/06132</t>
  </si>
  <si>
    <t>7 CASES STC</t>
  </si>
  <si>
    <t>ANR/LFW/06136</t>
  </si>
  <si>
    <t>APPRO-TECHNO</t>
  </si>
  <si>
    <t>MINISTERE DES AFFAIRES ETRANGERES DE L'INTEGRATION</t>
  </si>
  <si>
    <t>DKR/LFW/06134</t>
  </si>
  <si>
    <t>ZENA EXOTICFUITS</t>
  </si>
  <si>
    <t>KALYAN HOSPITALITY DEVELOPMENT</t>
  </si>
  <si>
    <t>1 COLIS STC</t>
  </si>
  <si>
    <t>JEA/LFW/00002</t>
  </si>
  <si>
    <t>SYNERGY PROJECT MANAGEMENT</t>
  </si>
  <si>
    <t>ISLAMIC CENTRE FOR SOCIAL SERVICES AND EDUCATION</t>
  </si>
  <si>
    <t>MIL/LFW/01524</t>
  </si>
  <si>
    <t>MULTILOGISTICS SPA ON BEHALF OF</t>
  </si>
  <si>
    <t>TO MASTER OF SKS DARENT</t>
  </si>
  <si>
    <t>6 CAGES STC</t>
  </si>
  <si>
    <t>RTM/LFW/00761</t>
  </si>
  <si>
    <t>CENTRIEXPERT</t>
  </si>
  <si>
    <t>1 PACKAGE STC</t>
  </si>
  <si>
    <t>XIC/LFW/06133</t>
  </si>
  <si>
    <t>4 PACKAGE STC</t>
  </si>
  <si>
    <t>YOK/LFW/00123</t>
  </si>
  <si>
    <t>YAMAZAKI MACHINERY</t>
  </si>
  <si>
    <t>MARCELO BEACH</t>
  </si>
  <si>
    <t>1 CASE STC</t>
  </si>
  <si>
    <t>MSC ORIANE</t>
  </si>
  <si>
    <t>ANR/LFW/06137</t>
  </si>
  <si>
    <t>TTL France</t>
  </si>
  <si>
    <t>2 PALLETS STC</t>
  </si>
  <si>
    <t>ANR/LFW/06138</t>
  </si>
  <si>
    <t>GANTREX SPRL</t>
  </si>
  <si>
    <t>LCT - LOME CONTAINER TERMINAL</t>
  </si>
  <si>
    <t>5 COLIS STC</t>
  </si>
  <si>
    <t>ANR/LFW/06139</t>
  </si>
  <si>
    <t>ELSO AMERICAN</t>
  </si>
  <si>
    <t>1 CARTON STC</t>
  </si>
  <si>
    <t>ANR/LFW/06142</t>
  </si>
  <si>
    <t>VANGUARD LOGISTICS SERVICES</t>
  </si>
  <si>
    <t>KHH/LFW/06135</t>
  </si>
  <si>
    <t>E-PLAST MACHINERY T LTD</t>
  </si>
  <si>
    <t>APT SA</t>
  </si>
  <si>
    <t>1 WOODEN CASE STC</t>
  </si>
  <si>
    <t>RTM/LFW/00122</t>
  </si>
  <si>
    <t>FURUNO ELECTRIC CO LTD</t>
  </si>
  <si>
    <t>MASTER MV RIVER OAK</t>
  </si>
  <si>
    <t>RTM/LFW/00764</t>
  </si>
  <si>
    <t>RAK PORCELAIN LLC</t>
  </si>
  <si>
    <t>5 PACKAGES STC</t>
  </si>
  <si>
    <t>MSC KATYAYNI</t>
  </si>
  <si>
    <t>ANR/LFW/00002</t>
  </si>
  <si>
    <t>COSMAPROF CO LTD</t>
  </si>
  <si>
    <t>KIMMAKON EPSE KASSA BENEDICTA</t>
  </si>
  <si>
    <t>1 PALETTE STC</t>
  </si>
  <si>
    <t>ANR/LFW/06122</t>
  </si>
  <si>
    <t>MAGOTTEAUX LIEGE SA</t>
  </si>
  <si>
    <t>ANR/LFW/06124</t>
  </si>
  <si>
    <t>UNIPEX SOLUTIONS</t>
  </si>
  <si>
    <t>A L'ORDRE SIVOP-TOGO</t>
  </si>
  <si>
    <t>1 PALLET  STC</t>
  </si>
  <si>
    <t>ANR/LFW/06130</t>
  </si>
  <si>
    <t>SOGEA SATOM</t>
  </si>
  <si>
    <t>LON/LFW/00345</t>
  </si>
  <si>
    <t>COOPER RESEARCH TECHNOLOGY LTD</t>
  </si>
  <si>
    <t>ERES TOGO SA</t>
  </si>
  <si>
    <t>LYS/LFW/01283</t>
  </si>
  <si>
    <t>EQUIPMENT MINING QUARRY SERVICE (EMQS)</t>
  </si>
  <si>
    <t>MINING AND CONTRACTING OPERATIONS-TOGO</t>
  </si>
  <si>
    <t>LYS/LFW/01284</t>
  </si>
  <si>
    <t>CONDUCTIX WAMPFLER France SAS</t>
  </si>
  <si>
    <t>MRS/LFW/01282</t>
  </si>
  <si>
    <t>WATER AFRICAN PROJECT</t>
  </si>
  <si>
    <t>CENTRO SA</t>
  </si>
  <si>
    <t>MSC MARGARITA</t>
  </si>
  <si>
    <t>AMD/LFW/00300</t>
  </si>
  <si>
    <t>CITIZEN METALLOYS LTD</t>
  </si>
  <si>
    <t>IMBALLAGGI WEST AFRICA(IWA)</t>
  </si>
  <si>
    <t>3 BOXES STC</t>
  </si>
  <si>
    <t>ANR/LFW/06112</t>
  </si>
  <si>
    <t>TRANSMARE CHEMIE NV</t>
  </si>
  <si>
    <t>5 INTERMEDIAT E BULK CONTAINERS STC</t>
  </si>
  <si>
    <t>ANR/LFW/06120</t>
  </si>
  <si>
    <t>SOCIETE DECELEX</t>
  </si>
  <si>
    <t>ANR/LFW/06121</t>
  </si>
  <si>
    <t>FAST TRANSIT LINE</t>
  </si>
  <si>
    <t>TAAL SA</t>
  </si>
  <si>
    <t>2 CASES STC</t>
  </si>
  <si>
    <t>ANR/LFW/06123</t>
  </si>
  <si>
    <t>1 COLLI STC</t>
  </si>
  <si>
    <t>BCN/LFW/00314</t>
  </si>
  <si>
    <t>IFS INTRNATIONAL FORWARDING SL</t>
  </si>
  <si>
    <t>ORDER OF THE HOLDER OF THE EXPRESS BL</t>
  </si>
  <si>
    <t>33 CARTONS STC</t>
  </si>
  <si>
    <t>LEH/LFW/01277</t>
  </si>
  <si>
    <t>ASECNA</t>
  </si>
  <si>
    <t>M REPRESENTANT ASECNA AUPRES DU TOGO</t>
  </si>
  <si>
    <t>LEH/LFW/01279</t>
  </si>
  <si>
    <t>SAS BORDEAUX TRADING</t>
  </si>
  <si>
    <t>ETS LA BOUTIQUE DES SURGELES</t>
  </si>
  <si>
    <t>3 PACKAGES STC</t>
  </si>
  <si>
    <t>LEH/LFW/01281</t>
  </si>
  <si>
    <t>LON/LFW/00344</t>
  </si>
  <si>
    <t>HYDRACHEM LTD</t>
  </si>
  <si>
    <t>H2E(HYGIENE EAU &amp; ENVIRONNEMENT)</t>
  </si>
  <si>
    <t>1 PIECE STC</t>
  </si>
  <si>
    <t>MIL/LFW/01522</t>
  </si>
  <si>
    <t>ORTEA SPA</t>
  </si>
  <si>
    <t>BOLLORE TRANSPORT &amp; LOGISTICS TOGO</t>
  </si>
  <si>
    <t>7 PALLETS STC</t>
  </si>
  <si>
    <t>MIL/LFW/01523</t>
  </si>
  <si>
    <t>IDEA EFFE SRL</t>
  </si>
  <si>
    <t>MAPOLO SARL</t>
  </si>
  <si>
    <t>90 CARTONS</t>
  </si>
  <si>
    <t>MRS/LFW/01276</t>
  </si>
  <si>
    <t>SAS NEO PARFUMS</t>
  </si>
  <si>
    <t>5 PALLETS STC</t>
  </si>
  <si>
    <t>PAR/LFW/01275</t>
  </si>
  <si>
    <t>SARIE INTERNATIONAL</t>
  </si>
  <si>
    <t>FFA TOGO</t>
  </si>
  <si>
    <t>2 PACKAGES STC</t>
  </si>
  <si>
    <t>MSC DYMPHNA</t>
  </si>
  <si>
    <t>ANR/LFW/06113</t>
  </si>
  <si>
    <t>ANR/LFW/06116</t>
  </si>
  <si>
    <t>SOCIETE NOUVELLE DES PHOSPHATES DU TOGO(SNPT)</t>
  </si>
  <si>
    <t>3 BUNDLES STC</t>
  </si>
  <si>
    <t>ANR/LFW/06118</t>
  </si>
  <si>
    <t>SARL STIGE</t>
  </si>
  <si>
    <t>LEH/LFW/01274</t>
  </si>
  <si>
    <t>JIANGSU SHANGSHANG CABLE GROUP CO LTD</t>
  </si>
  <si>
    <t>CIMBURKINA SA</t>
  </si>
  <si>
    <t>LON/LFW/00340</t>
  </si>
  <si>
    <t>CMS CEPCOR LTD</t>
  </si>
  <si>
    <t>LLOYD TRACTOR SERVICE</t>
  </si>
  <si>
    <t>LON/LFW/00341</t>
  </si>
  <si>
    <t>PPI ENGINEERING LIMITED</t>
  </si>
  <si>
    <t>CONTOUR GLOBAL CENTRAL THERMIQUE DE LOME</t>
  </si>
  <si>
    <t>LON/LFW/00342</t>
  </si>
  <si>
    <t>EXCEL SHIPPING LTD</t>
  </si>
  <si>
    <t>LON/LFW/00343</t>
  </si>
  <si>
    <t>HY-RAM ENGINEERING CO LTD</t>
  </si>
  <si>
    <t>TMS OFFSHORE TOGO SARL</t>
  </si>
  <si>
    <t>MRS/LFW/01278</t>
  </si>
  <si>
    <t>MMPI INTERNATIONAL</t>
  </si>
  <si>
    <t>NAV/LFW/00291</t>
  </si>
  <si>
    <t>WALCHANDNAGAR INDUSTRIES LIMITED</t>
  </si>
  <si>
    <t>RTM/LFW/00759</t>
  </si>
  <si>
    <t>HYVA INTERNATIONAL BV</t>
  </si>
  <si>
    <t>HEAVYMAT INDUSTRY</t>
  </si>
  <si>
    <t>4 PALLETS STC</t>
  </si>
  <si>
    <t>ANR/LFW/06143</t>
  </si>
  <si>
    <t>ANR/LFW/06147</t>
  </si>
  <si>
    <t>BONGARD SAS</t>
  </si>
  <si>
    <t>SOCIETE HOTEL DU 02 FEVRIER</t>
  </si>
  <si>
    <t>ANR/LFW/06148</t>
  </si>
  <si>
    <t>ANR/LFW/06152</t>
  </si>
  <si>
    <t>SPEEDWAY FREIGHT SERVICE(POLAND)</t>
  </si>
  <si>
    <t>LE LOGISTICIEN SARL</t>
  </si>
  <si>
    <t>ANR/LFW/06153</t>
  </si>
  <si>
    <t>CARROCERIAS INSONORIZADAS SURESTE</t>
  </si>
  <si>
    <t>KHH/LFW/06144</t>
  </si>
  <si>
    <t>PAKER PLASTIC MACHINERY CO LTD</t>
  </si>
  <si>
    <t>DODO COSMETICS SA</t>
  </si>
  <si>
    <t>LEH/LFW/01291</t>
  </si>
  <si>
    <t>COMPAGNIE INTERNATIONALE DE MAINTENANCE(CIM)</t>
  </si>
  <si>
    <t>SOCIETE NOUVELLE DES PHOSPHATES(SNPT)</t>
  </si>
  <si>
    <t>LYS/LFW/01295</t>
  </si>
  <si>
    <t>CONDAT SA</t>
  </si>
  <si>
    <t>MAFI STEEL SARL</t>
  </si>
  <si>
    <t>MRS/LFW/01294</t>
  </si>
  <si>
    <t>SARL LVANTO</t>
  </si>
  <si>
    <t>PRONATURA WEST AFRICA</t>
  </si>
  <si>
    <t>PAR/LFW/01296</t>
  </si>
  <si>
    <t>CODIREL France</t>
  </si>
  <si>
    <t>SHA/LFW/06150</t>
  </si>
  <si>
    <t>DSV ORIGIN-SHANGAI</t>
  </si>
  <si>
    <t>LEH/LFW/01289</t>
  </si>
  <si>
    <t>LABOMODERNE</t>
  </si>
  <si>
    <t>BIOMEDICAL PRO</t>
  </si>
  <si>
    <t>LON/LFW/00346</t>
  </si>
  <si>
    <t>LYS/LFW/01292</t>
  </si>
  <si>
    <t>STRACAU VALVES France</t>
  </si>
  <si>
    <t>MRS/LFW/01288</t>
  </si>
  <si>
    <t>MRS/LFW/01293</t>
  </si>
  <si>
    <t>ENYS POWER</t>
  </si>
  <si>
    <t>ESE2I SARL</t>
  </si>
  <si>
    <t>NAV/LFW/00307</t>
  </si>
  <si>
    <t>INDO GULF COMPANY</t>
  </si>
  <si>
    <t>LABORATOIRE GAMET</t>
  </si>
  <si>
    <t>NAV/LFW/00311</t>
  </si>
  <si>
    <t>BEUMER INDIA PRIVATE LIMITED</t>
  </si>
  <si>
    <t>FORTIA CEMENT SA</t>
  </si>
  <si>
    <t>RTM/LFW/00766</t>
  </si>
  <si>
    <t>CLEVE&amp;ZONEN BV</t>
  </si>
  <si>
    <t>SINDIE HODALO</t>
  </si>
  <si>
    <t>RTM/LFW/00768</t>
  </si>
  <si>
    <t>CAMEG</t>
  </si>
  <si>
    <t>RTM/LFW/00769</t>
  </si>
  <si>
    <t>J CONSOL LINE CO LTD</t>
  </si>
  <si>
    <t>TO THE HOLDER OF THE MASTER OF MT</t>
  </si>
  <si>
    <t>10 PACKAGES STC</t>
  </si>
  <si>
    <t>RTM/LFW/00770</t>
  </si>
  <si>
    <t>GLOBAL AIR COMPASS</t>
  </si>
  <si>
    <t>TO THE MASTER OF ESHIPS EAGLE</t>
  </si>
  <si>
    <t>11 PACKAGES STC</t>
  </si>
  <si>
    <t>AAR/LFW/02094</t>
  </si>
  <si>
    <t>KJAER &amp; KJAER A/S</t>
  </si>
  <si>
    <t>4 CASES</t>
  </si>
  <si>
    <t>LEH/LFW/01285</t>
  </si>
  <si>
    <t>LU HONG INTERNATIONAL ENGINEERING CO LIMITED</t>
  </si>
  <si>
    <t>FAISSAL G AKAN LCT</t>
  </si>
  <si>
    <t>LYS/LFW/01286</t>
  </si>
  <si>
    <t>CSEP EXPORT PHARMA</t>
  </si>
  <si>
    <t>CAMEG TOGO</t>
  </si>
  <si>
    <t>MIL/LFW/01525</t>
  </si>
  <si>
    <t>PARORA SRLS UNIPERSONALE CORSO VITTORIO</t>
  </si>
  <si>
    <t>STD SOCIETE TECHNOLOGIQUE DE DISTRIBUTION</t>
  </si>
  <si>
    <t>4 CRATES STC</t>
  </si>
  <si>
    <t>MIL/LFW/01527</t>
  </si>
  <si>
    <t>DSV SPA</t>
  </si>
  <si>
    <t>NAV/LFW/00306</t>
  </si>
  <si>
    <t>SAI INDO METAL RESSOURCES PVT LTD</t>
  </si>
  <si>
    <t>RTM/LFW/00763</t>
  </si>
  <si>
    <t>IDA FOUNDATION</t>
  </si>
  <si>
    <t>CENTRALE D'ACHATS DES MEDICAMENTS ESSENTIELS &amp; GENERIQUES</t>
  </si>
  <si>
    <t>XIC/LFW/06140</t>
  </si>
  <si>
    <t>BEIJING YUEJI INDUSTRY CO LTD</t>
  </si>
  <si>
    <t>ANR/LFW/06160</t>
  </si>
  <si>
    <t>MAYUMBE CONNECTING SERVICE</t>
  </si>
  <si>
    <t>ABIMEX INTERNATIONAL</t>
  </si>
  <si>
    <t>ANR/LFW/06180</t>
  </si>
  <si>
    <t>7 PACKAGES STC</t>
  </si>
  <si>
    <t>ANR/LFW/06182</t>
  </si>
  <si>
    <t>22 CARTONS</t>
  </si>
  <si>
    <t>SHIPPED ON BOARD</t>
  </si>
  <si>
    <t>BNC/LFW/00316</t>
  </si>
  <si>
    <t>IFS INTERNATIONAL</t>
  </si>
  <si>
    <t>TO THE ORDER OF THE HOLDER OF THE ORIGINAL BL</t>
  </si>
  <si>
    <t>BNC/LFW/06317</t>
  </si>
  <si>
    <t>LON/LFW/00347</t>
  </si>
  <si>
    <t>NRP(EXPORT-IMPORT) LTD</t>
  </si>
  <si>
    <t>MIL/LFW/01533</t>
  </si>
  <si>
    <t>CERACARTA SPA</t>
  </si>
  <si>
    <t>ADVANTAGE PARTNERS</t>
  </si>
  <si>
    <t>MRS/LFW/01312</t>
  </si>
  <si>
    <t>SINES France</t>
  </si>
  <si>
    <t>E-HUB SARL</t>
  </si>
  <si>
    <t>8 PALLETS STC</t>
  </si>
  <si>
    <t>FRE/OUA/00009</t>
  </si>
  <si>
    <t>SGS(MAURITUS) LTD</t>
  </si>
  <si>
    <t>SGS BURKINA SA</t>
  </si>
  <si>
    <t>ANR/LFW/06162</t>
  </si>
  <si>
    <t>DTS DEGRILLON TECHNICAL SUPPLIES</t>
  </si>
  <si>
    <t>ANR/LFW/06166</t>
  </si>
  <si>
    <t>FAES FARMA</t>
  </si>
  <si>
    <t>CSC PHARMA SARL</t>
  </si>
  <si>
    <t>ANR/LFW/06167</t>
  </si>
  <si>
    <t>EMMONYA BIOTECH LTD</t>
  </si>
  <si>
    <t>EDIMAMEL TOGO</t>
  </si>
  <si>
    <t>ANR/LFW/06172</t>
  </si>
  <si>
    <t>ANR/LFW/06173</t>
  </si>
  <si>
    <t>JINHUA BESTONE MACHINERY CO LTD</t>
  </si>
  <si>
    <t>RUEBEN DERY</t>
  </si>
  <si>
    <t>ANR/LFW/06174</t>
  </si>
  <si>
    <t>MALWI MARINE ENTREPRISES</t>
  </si>
  <si>
    <t>MASTER OF MV MSC</t>
  </si>
  <si>
    <t>ANR/LFW/06175</t>
  </si>
  <si>
    <t>AFRICA BIOTECH</t>
  </si>
  <si>
    <t>ANR/LFW/06177</t>
  </si>
  <si>
    <t>DAFRA PHARMA GMBH</t>
  </si>
  <si>
    <t>ENERGIA PROMOTION TOGO</t>
  </si>
  <si>
    <t>ANR/LFW/06178</t>
  </si>
  <si>
    <t>FUSSENEGGER TEXTIL</t>
  </si>
  <si>
    <t>WEND PANGA SARL</t>
  </si>
  <si>
    <t>BNC/LFW/00315</t>
  </si>
  <si>
    <t>EISMARITIMO SA</t>
  </si>
  <si>
    <t>TO THE ORDER OF THE HOLDER OF THE ORIGINAL BL IFSN 977950</t>
  </si>
  <si>
    <t>LEH/LFW/01309</t>
  </si>
  <si>
    <t>France NEIR</t>
  </si>
  <si>
    <t>DJIDO KOKOU OLIVIER</t>
  </si>
  <si>
    <t>LYS/LFW/01304</t>
  </si>
  <si>
    <t>LYCEE JULES FERRY</t>
  </si>
  <si>
    <t>LYCEE D'ENSEIGNEMENT TECHNIQUE ET DE LA FORMATION PROFESSIONNELLE D'ANEHO GLIDJI</t>
  </si>
  <si>
    <t>2 CRATES STC</t>
  </si>
  <si>
    <t>MIL/LFW/01532</t>
  </si>
  <si>
    <t>CIR-CONSORZIO</t>
  </si>
  <si>
    <t>MRS/LFW/01313</t>
  </si>
  <si>
    <t>TECHNIDRILL</t>
  </si>
  <si>
    <t>FORAGES TECHNIC-EAU SARL</t>
  </si>
  <si>
    <t>NGB/LFW/07840</t>
  </si>
  <si>
    <t>NINGBO EBI BEARINGS AND AUTO PARTS INDUSTRY CO LTD</t>
  </si>
  <si>
    <t>HI-SPEED AUTU PARTS</t>
  </si>
  <si>
    <t>RTM/LFW/00778</t>
  </si>
  <si>
    <t>LANFENG TECHNOLOGY INC</t>
  </si>
  <si>
    <t>TECHNO-DIMENSION SARLU(TOGO)</t>
  </si>
  <si>
    <t>ANR/LFW/06159</t>
  </si>
  <si>
    <t>ANR/LFW/06161</t>
  </si>
  <si>
    <t>WEGROW GMBH</t>
  </si>
  <si>
    <t>TTF SARL</t>
  </si>
  <si>
    <t>2 ONE WAY PALLET STC</t>
  </si>
  <si>
    <t>ANR/LFW/06164</t>
  </si>
  <si>
    <t>GEI</t>
  </si>
  <si>
    <t>ANR/LFW/06165</t>
  </si>
  <si>
    <t>ETS DJAMAF</t>
  </si>
  <si>
    <t>LEH/LFW/01310</t>
  </si>
  <si>
    <t>DSV AIR &amp; SEA SAS-I462</t>
  </si>
  <si>
    <t>REC LOGISTIC</t>
  </si>
  <si>
    <t>LYS/LFW/01311</t>
  </si>
  <si>
    <t>MIL/LFW/01530</t>
  </si>
  <si>
    <t>MIL/LFW/01531</t>
  </si>
  <si>
    <t>NAV/LFW/00319</t>
  </si>
  <si>
    <t>CARGO ONE OCEANAIR LOGISTICS PVT LTD</t>
  </si>
  <si>
    <t>30 PACKAGES STC</t>
  </si>
  <si>
    <t>RTM/LFW/00775</t>
  </si>
  <si>
    <t>FOSHAN SUNCHON MACHINERY CO LTD</t>
  </si>
  <si>
    <t>STE YENTOUMI</t>
  </si>
  <si>
    <t>RTM/LFW/00776</t>
  </si>
  <si>
    <t>TO THE HOLDER OF HB/L NO. JEX200100503</t>
  </si>
  <si>
    <t>SHA/LFW/06168</t>
  </si>
  <si>
    <t>DSV ORIGIN-SHANGHAI</t>
  </si>
  <si>
    <t>SZP/LFW/00516</t>
  </si>
  <si>
    <t>ANR/LFW/06155</t>
  </si>
  <si>
    <t>MAISON BOUEY</t>
  </si>
  <si>
    <t>ANR/LFW/06157</t>
  </si>
  <si>
    <t>ANR/LFW/06158</t>
  </si>
  <si>
    <t>VROMAN NV</t>
  </si>
  <si>
    <t>BOSS OIL</t>
  </si>
  <si>
    <t>LEH/LFW/01305</t>
  </si>
  <si>
    <t>SINO MARINE &amp; ENGINEERING CO  LTD</t>
  </si>
  <si>
    <t>MASTER OF MV</t>
  </si>
  <si>
    <t>LYS/LFW/01307</t>
  </si>
  <si>
    <t>LYS/LFW/01308</t>
  </si>
  <si>
    <t>MRS/LFW/01302</t>
  </si>
  <si>
    <t>TRADING SERVICES INTERNATIONAL(TSI)</t>
  </si>
  <si>
    <t>CONTOUR GLOBAL TOGO</t>
  </si>
  <si>
    <t>NAV/LFW/00322</t>
  </si>
  <si>
    <t>ASIAN WORLD WIDE SERVICES PVT LTD</t>
  </si>
  <si>
    <t>TO THE HOLDER OF ASIAN WORLDWIDE</t>
  </si>
  <si>
    <t>9 BALES STC</t>
  </si>
  <si>
    <t>RTM/LFW/00773</t>
  </si>
  <si>
    <t>CRUX UNIPEDSSOAL LDA</t>
  </si>
  <si>
    <t>LOME CONTAINER TERMINAL</t>
  </si>
  <si>
    <t>RTM/LFW/00774</t>
  </si>
  <si>
    <t>BUISCAR CARGO SOLUTIONS</t>
  </si>
  <si>
    <t>LCT SA</t>
  </si>
  <si>
    <t>ANR/LFW/01300</t>
  </si>
  <si>
    <t>LABELIANS-GROUPE CML-ID</t>
  </si>
  <si>
    <t>PROLABO DIAGNOSTICS LOME</t>
  </si>
  <si>
    <t>ANR/LFW/0141</t>
  </si>
  <si>
    <t>ALM INTERNATIONAL</t>
  </si>
  <si>
    <t>ANR/LFW/0154</t>
  </si>
  <si>
    <t>FIRMENICH(MEYRIN) SA</t>
  </si>
  <si>
    <t>SOCIETE UNIFOOD</t>
  </si>
  <si>
    <t>LEH/LFW/01297</t>
  </si>
  <si>
    <t>PROMARITIME INTERNATIONAL P/C DIVERS FOURNISSEURS</t>
  </si>
  <si>
    <t>ULYSSE TRANSACTION SARL</t>
  </si>
  <si>
    <t>25 PACKAGES STC</t>
  </si>
  <si>
    <t>LEH/LFW/01301</t>
  </si>
  <si>
    <t>SFT GONDRAND FRERES</t>
  </si>
  <si>
    <t>PRESSING DU GOLF</t>
  </si>
  <si>
    <t>MIL/LFW/01528</t>
  </si>
  <si>
    <t>TOTAL OUTRE MER</t>
  </si>
  <si>
    <t>TOTAL TOGO</t>
  </si>
  <si>
    <t>MIL/LFW/01529</t>
  </si>
  <si>
    <t>MULTILOGISTICS SPA ON BEHALF OF ISOIL IMPIANTI SPA</t>
  </si>
  <si>
    <t>TO MASTER OF SKS DARENT SHIPS SPARES IN TRANSIT CO CTR SARL</t>
  </si>
  <si>
    <t>MRS/LFW/01299</t>
  </si>
  <si>
    <t>OPTIMUM PLUS</t>
  </si>
  <si>
    <t>TO THE ORDER OF SOCIETE GENERALE D'ELECTRONIQUE(SGE)</t>
  </si>
  <si>
    <t>SIN/LFW/00129</t>
  </si>
  <si>
    <t>VOLVO GROUP SINGAPORE(PTE) LTD</t>
  </si>
  <si>
    <t>SMT TOGO</t>
  </si>
  <si>
    <t>4 PACKAGES STC</t>
  </si>
  <si>
    <t>SZP/LFW/00511</t>
  </si>
  <si>
    <t>VASCO-MALI</t>
  </si>
  <si>
    <t>SZP/LFW/00512</t>
  </si>
  <si>
    <t>SZP/LFW/00513</t>
  </si>
  <si>
    <t>XIC/LFW/06151</t>
  </si>
  <si>
    <t>SINOMA TECHNICAL SERVICE CO LTD</t>
  </si>
  <si>
    <t>ANR/LFW/06206</t>
  </si>
  <si>
    <t>METWORLD DMCC</t>
  </si>
  <si>
    <t>METTOGO OIL REFINERY SARL</t>
  </si>
  <si>
    <t>AVRIL</t>
  </si>
  <si>
    <t>ANR/LFW/06208</t>
  </si>
  <si>
    <t>ANR/LFW/06212</t>
  </si>
  <si>
    <t>FAST TRANSIT LINE NV</t>
  </si>
  <si>
    <t>LON/LFW/00349</t>
  </si>
  <si>
    <t>COMMISSION NATIONALE DE LUTTE CONTRE LA PROLIFERATION LA CIRCULATION ET LE TRAFIC ILLICITES DES ARMES LEGERES ET DE PETIT CALIBRE(CNLPAL)</t>
  </si>
  <si>
    <t>3 PALETTS STC</t>
  </si>
  <si>
    <t>MIL/LFW/01537</t>
  </si>
  <si>
    <t>DIVISIONE RATTI SPA</t>
  </si>
  <si>
    <t>COMPTOIR DES ETOFFES</t>
  </si>
  <si>
    <t>MRS/LFW/01318</t>
  </si>
  <si>
    <t>CAT INTERNATIONAL</t>
  </si>
  <si>
    <t>STE SOCIETE TOGOLAISE D'ENTREPOSAGE</t>
  </si>
  <si>
    <t>MRS/LFW/01324</t>
  </si>
  <si>
    <t>SOCIETE NOUVELLE DU LITTORAL ZA</t>
  </si>
  <si>
    <t>CIMAF(CIMENT DE L'AFRIQUE) BF</t>
  </si>
  <si>
    <t>PAR/LFW/01323</t>
  </si>
  <si>
    <t>SARL THEKAMAT EQUIPEMENT</t>
  </si>
  <si>
    <t>SOROUBAT-TG</t>
  </si>
  <si>
    <t>PAR/LFW/01325</t>
  </si>
  <si>
    <t>IT &amp; NET SERVICES</t>
  </si>
  <si>
    <t>6 PALLETS STC</t>
  </si>
  <si>
    <t>RTM/LFW/00782</t>
  </si>
  <si>
    <t>CLEVE &amp; ZONEN BV</t>
  </si>
  <si>
    <t>CHINA ROAD &amp; BRIDGE CORPORATION TOGO</t>
  </si>
  <si>
    <t>3 CASES STC</t>
  </si>
  <si>
    <t>RTM/LFW/00790</t>
  </si>
  <si>
    <t>ROHLIG INDIA PRIVATE LIMITED</t>
  </si>
  <si>
    <t>SAV/LFW/06210</t>
  </si>
  <si>
    <t>US STATE DEPARTEMENT CO ABLE MOVING &amp; STORAGE</t>
  </si>
  <si>
    <t>1 LIFTVAN STC</t>
  </si>
  <si>
    <t>ANR/LFW/06200</t>
  </si>
  <si>
    <t>ANR/LFW/06202</t>
  </si>
  <si>
    <t>PANDROL</t>
  </si>
  <si>
    <t>8 PALETTS</t>
  </si>
  <si>
    <t>ANR/LFW/06203</t>
  </si>
  <si>
    <t>VAN MEERBEECK SA</t>
  </si>
  <si>
    <t>ANR/LFW/06204</t>
  </si>
  <si>
    <t>CCU/LFW/00327</t>
  </si>
  <si>
    <t>SAF FILTER PVT LTD</t>
  </si>
  <si>
    <t>LEH/LFW/01322</t>
  </si>
  <si>
    <t>CAFE CORSINI</t>
  </si>
  <si>
    <t>CASE A CAFE INTERNATIONAL</t>
  </si>
  <si>
    <t>LON/LFW/00348</t>
  </si>
  <si>
    <t>NAV/LFW/00329</t>
  </si>
  <si>
    <t>PGR INDUSTRIAL CONSULTANTS</t>
  </si>
  <si>
    <t>NAV/LFW/00331</t>
  </si>
  <si>
    <t>BEST MARINE EXPORTS</t>
  </si>
  <si>
    <t>SHIP STORES IN TRANSIT MASTER AND OR OWNERS MV MULTIPLE VESSELS</t>
  </si>
  <si>
    <t>3 PALLETTS STC</t>
  </si>
  <si>
    <t>RTM/LFW/00787</t>
  </si>
  <si>
    <t>GUANDONG BEILIN ENERGY EQUIPMENT CO LTD</t>
  </si>
  <si>
    <t>GLOBE TECHNOLOGY SARL</t>
  </si>
  <si>
    <t>ANR/LFW/06191</t>
  </si>
  <si>
    <t>ANR/LFW/06194</t>
  </si>
  <si>
    <t>DEVEXPORT</t>
  </si>
  <si>
    <t>ANR/LFW/06195</t>
  </si>
  <si>
    <t>LUX MAGNET SA</t>
  </si>
  <si>
    <t>SIMFASO</t>
  </si>
  <si>
    <t>ANR/LFW/06196</t>
  </si>
  <si>
    <t>ARTEMIS LA LIBRAIRIE DE L'EDUCATION</t>
  </si>
  <si>
    <t>BOUTIQUE ETABLISSEMENT ELITEX</t>
  </si>
  <si>
    <t>HOU/LFW/06193</t>
  </si>
  <si>
    <t>LANDSTAR GLOBAL LOGISTICS</t>
  </si>
  <si>
    <t>HPI RHINO LININGS SARL</t>
  </si>
  <si>
    <t>IST/LFW/00012</t>
  </si>
  <si>
    <t>BMS BATARI MUSLUK</t>
  </si>
  <si>
    <t>ETS SICA-SE</t>
  </si>
  <si>
    <t>LEH/LFW/01320</t>
  </si>
  <si>
    <t>LIMOUZY EXPORT</t>
  </si>
  <si>
    <t>IME SARL-U</t>
  </si>
  <si>
    <t>MIL/LFW/01536</t>
  </si>
  <si>
    <t>MIDIS SPA</t>
  </si>
  <si>
    <t>1 BUNDLE STC</t>
  </si>
  <si>
    <t>MRS/LFW/01319</t>
  </si>
  <si>
    <t>NAV/LFW/00328</t>
  </si>
  <si>
    <t>TROIKAA PHARMACEUTICALS LTD</t>
  </si>
  <si>
    <t>PHARMACOL REPRESENTATION-PROMOTION MEDICALE</t>
  </si>
  <si>
    <t>NAV/LFW/00330</t>
  </si>
  <si>
    <t>CORPORATE CHANNELS INDIA PVT LTD</t>
  </si>
  <si>
    <t>MINISTERE DE LA SANTE ET DE LA PROTECTION SOCIALE,DIVISION DE LA SANTE MATERNELLE ET INFANTILE ET DE LA PLANIFICATION FAMILIALE</t>
  </si>
  <si>
    <t>RTM/LFW/00781</t>
  </si>
  <si>
    <t>FILTRES EAU DISTRIBUTION(FEDIS)</t>
  </si>
  <si>
    <t>SHA/LFW/06190</t>
  </si>
  <si>
    <t>JIANGSU BOLT INTELLIGENT TECHNOLOGY CO LTD</t>
  </si>
  <si>
    <t>BYTEBLOCS INTERNATIONL</t>
  </si>
  <si>
    <t>6 BOXES STC</t>
  </si>
  <si>
    <t>ANR/LFW/06181</t>
  </si>
  <si>
    <t>ANR/LFW/06183</t>
  </si>
  <si>
    <t>SAINT-GOBAIN PAM</t>
  </si>
  <si>
    <t>TO THE ORDER LUDWIG PFEIFFER HOCH-UND TIEFBAUGMGH CO KG</t>
  </si>
  <si>
    <t>ANR/LFW/06185</t>
  </si>
  <si>
    <t>KISSING GMBH</t>
  </si>
  <si>
    <t>CET OCDI NATIONALE</t>
  </si>
  <si>
    <t>ANR/LFW/06186</t>
  </si>
  <si>
    <t>IBERCHEM SA</t>
  </si>
  <si>
    <t>DODO COSMETICS</t>
  </si>
  <si>
    <t>ANR/LFW/06187</t>
  </si>
  <si>
    <t>SECURITY LABEL GMBH</t>
  </si>
  <si>
    <t>SOCIETE TOGOLAISE DE HANDLING</t>
  </si>
  <si>
    <t>ANR/LFW/06188</t>
  </si>
  <si>
    <t>CARGO-PARTNER GMBH</t>
  </si>
  <si>
    <t>CAT LOGISTICS TOGO SARL</t>
  </si>
  <si>
    <t>ANR/LFW/06189</t>
  </si>
  <si>
    <t>ERBA LACHEMA SRO</t>
  </si>
  <si>
    <t>BELIEVER TOGO SARL-U</t>
  </si>
  <si>
    <t>BCN/LFW/00318</t>
  </si>
  <si>
    <t>GRUPO CARINSA</t>
  </si>
  <si>
    <t>ETS MACRO BUSINESS CENTRE FWA</t>
  </si>
  <si>
    <t>IST/LFW/00011</t>
  </si>
  <si>
    <t>YAGA MUHENDISLIK VE DANISMANLIK TIC SAN LTD STI</t>
  </si>
  <si>
    <t>LEH/LFW/01316</t>
  </si>
  <si>
    <t>NITRAM SASU</t>
  </si>
  <si>
    <t>ENSEMBLE</t>
  </si>
  <si>
    <t>LYS/LFW/01315</t>
  </si>
  <si>
    <t>SAVINO DEL BENE France SA</t>
  </si>
  <si>
    <t>MIL/LFW/01534</t>
  </si>
  <si>
    <t>POWER REGULATION</t>
  </si>
  <si>
    <t>MRS/LFW/01314</t>
  </si>
  <si>
    <t>OKO SOLUTION</t>
  </si>
  <si>
    <t>ONG INTERNATIONALE OADC PH</t>
  </si>
  <si>
    <t>RTM/LFW/00780</t>
  </si>
  <si>
    <t>HOLLAND FARMING BV</t>
  </si>
  <si>
    <t>KETE SANKOU YABO</t>
  </si>
  <si>
    <t>RTM/LFW/00783</t>
  </si>
  <si>
    <t>NEELIKON FOOD DYES AND CHEMICALS LTD</t>
  </si>
  <si>
    <t>RTM/LFW/00784</t>
  </si>
  <si>
    <t>NIMESH PHARMA</t>
  </si>
  <si>
    <t>TO THE ORDER OF COMPAGNIE PHARMACEUTIQUE AFRICA</t>
  </si>
  <si>
    <t>SHA/LFW/06192</t>
  </si>
  <si>
    <t>SINOMA(SHANGRAO)MACHINERY CO LTD</t>
  </si>
  <si>
    <t>XIC/LFW/06169</t>
  </si>
  <si>
    <t>DSV AIR&amp;SEA CO LTD</t>
  </si>
  <si>
    <t>2 STEEL BOXES STC</t>
  </si>
  <si>
    <t>ANR/LFW/06253</t>
  </si>
  <si>
    <t>GIVAUDAN INTERNATIONAL SA</t>
  </si>
  <si>
    <t>COMPANY UNIFOOD</t>
  </si>
  <si>
    <t>MAI</t>
  </si>
  <si>
    <t>ANR/LFW/06255</t>
  </si>
  <si>
    <t>FIRMENICH SA</t>
  </si>
  <si>
    <t>ANR/LFW/06260</t>
  </si>
  <si>
    <t>4 CARTONS CRATES</t>
  </si>
  <si>
    <t>ANR/LFW/00327</t>
  </si>
  <si>
    <t>IFS INTERNATIONAL FORWARDING SL</t>
  </si>
  <si>
    <t>TO THE HOLDER OF HBL IFS BOOKING 997916</t>
  </si>
  <si>
    <t>BCN/LFW/00330</t>
  </si>
  <si>
    <t>INTERNATIONAL FOWARDING SL</t>
  </si>
  <si>
    <t>AGAINST ORIGINAL BILL OF LANDING IFSN 999314</t>
  </si>
  <si>
    <t>PAR/LFW/01342</t>
  </si>
  <si>
    <t>SENSIENT COSMETICS TECHNOLOGIES</t>
  </si>
  <si>
    <t>ECOBANK TOGO</t>
  </si>
  <si>
    <t>RTM/LFW/00806</t>
  </si>
  <si>
    <t>WARTSILA GLOBAL LOGISTICS SERVICES</t>
  </si>
  <si>
    <t>CONTOUR GLOBAL TOGO SA</t>
  </si>
  <si>
    <t>6 CASES STC</t>
  </si>
  <si>
    <t>ANR/LFW/06238</t>
  </si>
  <si>
    <t>CMD ENGRENAGES ET REDUCTEURS</t>
  </si>
  <si>
    <t>ANR/LFW/06248</t>
  </si>
  <si>
    <t>BRAEM NV</t>
  </si>
  <si>
    <t>ANR/LFW/06250</t>
  </si>
  <si>
    <t>ANR/LFW/06251</t>
  </si>
  <si>
    <t>KALYAN HOSPITALITY DEVELLOPEMENT HOTEL 2 FEVRIER</t>
  </si>
  <si>
    <t>BCN/LFW/00325</t>
  </si>
  <si>
    <t>TO THE HOLDER OF ORIGINAL BL 20GZRMER52</t>
  </si>
  <si>
    <t>BCN/LFW/00328</t>
  </si>
  <si>
    <t>TO THE ORDER OF THE HOLDER OF IFS NEUTRAL MARITIME SERVICE BL 200401736/0801</t>
  </si>
  <si>
    <t>BCN/LFW/00329</t>
  </si>
  <si>
    <t>TO THE ORDER OF THE HOLDER OF BL 200401736/0402</t>
  </si>
  <si>
    <t>LEH/LFW/01339</t>
  </si>
  <si>
    <t>PARLYM INTERNATIONAL</t>
  </si>
  <si>
    <t>LEH/LFW/01341</t>
  </si>
  <si>
    <t>LESSONIA</t>
  </si>
  <si>
    <t>MIL/LFW/01539</t>
  </si>
  <si>
    <t>BEDESCHI SPA</t>
  </si>
  <si>
    <t>ANR/LFW/06222</t>
  </si>
  <si>
    <t>ANR/LFW/06237</t>
  </si>
  <si>
    <t>BIMS</t>
  </si>
  <si>
    <t>ANIEK&amp;AYO</t>
  </si>
  <si>
    <t>1 CAISSE STC</t>
  </si>
  <si>
    <t>ANR/LFW/06241</t>
  </si>
  <si>
    <t>AUMUND France SARL</t>
  </si>
  <si>
    <t>1 BOX STC</t>
  </si>
  <si>
    <t>ANR/LFW/06242</t>
  </si>
  <si>
    <t>NORD REDUCTEURS SARL</t>
  </si>
  <si>
    <t>ANR/LFW/06243</t>
  </si>
  <si>
    <t>GUARDSMANS LTD</t>
  </si>
  <si>
    <t>ANR/LFW/06244</t>
  </si>
  <si>
    <t>NV VAN MEERBEEK EXPERT SA</t>
  </si>
  <si>
    <t>ANR/LFW/06245</t>
  </si>
  <si>
    <t>SMT TOGO SARL</t>
  </si>
  <si>
    <t>ANR/LFW/06246</t>
  </si>
  <si>
    <t>DHL GLOBAL FORWARDING(BELGIUM)NV</t>
  </si>
  <si>
    <t>ANR/LFW/06247</t>
  </si>
  <si>
    <t>DKR/LFW/06236</t>
  </si>
  <si>
    <t>LEH/LFW/01337</t>
  </si>
  <si>
    <t>LYS/LFW/01334</t>
  </si>
  <si>
    <t>ORAPI INTERNATIONAL</t>
  </si>
  <si>
    <t>MS INNOVATIVE HYGIENE</t>
  </si>
  <si>
    <t>LYS/LFW/01338</t>
  </si>
  <si>
    <t>MBO</t>
  </si>
  <si>
    <t>SOCIETE DE TRANSFORMATION INDUSTRIELLE</t>
  </si>
  <si>
    <t>LYS/LFW/01340</t>
  </si>
  <si>
    <t>NBO/LFW/00505</t>
  </si>
  <si>
    <t>GREENLIGHT PLANET LTD</t>
  </si>
  <si>
    <t>ENTREPRENEURS DU MONDE</t>
  </si>
  <si>
    <t>RTM/LFW/00801</t>
  </si>
  <si>
    <t>LEGERO INTERNATIONAL HOLLAND BV</t>
  </si>
  <si>
    <t>THE OWNERS/MASTER OF MT</t>
  </si>
  <si>
    <t>RTM/LFW/00802</t>
  </si>
  <si>
    <t>KASE LOGISTICS PTE LTD</t>
  </si>
  <si>
    <t>TO RELEASE AGAINST ORINAL RS LOGISTICS LIMITED</t>
  </si>
  <si>
    <t>MRS/LFW/01329</t>
  </si>
  <si>
    <t>REPUBLIC TECHNOLOGIES INTERNATIONAL</t>
  </si>
  <si>
    <t>ETS MACRO BUSINESS</t>
  </si>
  <si>
    <t>MRS/LFW/01330</t>
  </si>
  <si>
    <t>RTM/LFW/00792</t>
  </si>
  <si>
    <t>CLEVER&amp;ZONEN BV</t>
  </si>
  <si>
    <t>SHA/LFW/06216</t>
  </si>
  <si>
    <t>DSV AIR&amp;SEA</t>
  </si>
  <si>
    <t>ANR/LFW/06205</t>
  </si>
  <si>
    <t>SOEXIMEX</t>
  </si>
  <si>
    <t>HI-SPEED AUTO PARTS</t>
  </si>
  <si>
    <t>7 BOX PALLETS STC</t>
  </si>
  <si>
    <t>ANR/LFW/06207</t>
  </si>
  <si>
    <t>AUTOREDO</t>
  </si>
  <si>
    <t>DECO-IC SA U</t>
  </si>
  <si>
    <t>ANR/LFW/06213</t>
  </si>
  <si>
    <t>2 DRUMS STC</t>
  </si>
  <si>
    <t>ANR/LFW/06214</t>
  </si>
  <si>
    <t>ANR/LFW/06215</t>
  </si>
  <si>
    <t>ATL/LFW/06211</t>
  </si>
  <si>
    <t>US STATE DEPARTEMENT C/O ABLE MOVING&amp;STORAGE</t>
  </si>
  <si>
    <t>2 LIFTVANS STC</t>
  </si>
  <si>
    <t>LEH/LFW/01326</t>
  </si>
  <si>
    <t>MOLYDAL SA</t>
  </si>
  <si>
    <t>NIOTO SA</t>
  </si>
  <si>
    <t>LON/LFW/00351</t>
  </si>
  <si>
    <t>FENDERCARE LTD</t>
  </si>
  <si>
    <t>MASTER OF TF VICTORIA C/O TMS</t>
  </si>
  <si>
    <t>MIL/LFW/01538</t>
  </si>
  <si>
    <t>ENNE PI SRL</t>
  </si>
  <si>
    <t>SODIGAZ SA</t>
  </si>
  <si>
    <t>MRS/LFW/01327</t>
  </si>
  <si>
    <t>CAPPA INTERNATIONAL</t>
  </si>
  <si>
    <t>CHINA GEO ENGINEERING CORPORATION INTERNATIONAL LTD</t>
  </si>
  <si>
    <t>MRS/LFW/01328</t>
  </si>
  <si>
    <t>PKG/LFW/00109</t>
  </si>
  <si>
    <t>OCEAN LINK FREIGHT SERVICES SDN BHD</t>
  </si>
  <si>
    <t>TO BE RELEASE AGAINST OCEAN LINK FREIGHT SERVICES SDN BHD</t>
  </si>
  <si>
    <t>SHA/LFW/06197</t>
  </si>
  <si>
    <t>SHA/LFW/06198</t>
  </si>
  <si>
    <t>TIANJIN BARRY INTERNATIONAL TRADE CO LTD</t>
  </si>
  <si>
    <t>JUIN</t>
  </si>
  <si>
    <t>ANR/LFW/06271</t>
  </si>
  <si>
    <t>ARPEGE</t>
  </si>
  <si>
    <t>SOCIETE BURVAL CORPORATE</t>
  </si>
  <si>
    <t>ANR/LFW/06276</t>
  </si>
  <si>
    <t>9 PALLETS</t>
  </si>
  <si>
    <t>ANR/LFW/06278</t>
  </si>
  <si>
    <t>LEGHORNGROUP BV</t>
  </si>
  <si>
    <t>ERES TOGO SASU</t>
  </si>
  <si>
    <t>KHH/LFW/06258</t>
  </si>
  <si>
    <t>CHAO WEI PLASTIC MACHENERY CO LTD</t>
  </si>
  <si>
    <t>NOSITO SARL</t>
  </si>
  <si>
    <t>LEH/LFW/01350</t>
  </si>
  <si>
    <t>WILO France SAS</t>
  </si>
  <si>
    <t>ECLIPS</t>
  </si>
  <si>
    <t>LYS/LFW/01351</t>
  </si>
  <si>
    <t>LIEBHERR MINING EQUIPMENT COLMAR SAS</t>
  </si>
  <si>
    <t>8 PACKAGES STC</t>
  </si>
  <si>
    <t>LYS/LFW/01354</t>
  </si>
  <si>
    <t>RETIS SOLUTIONS DERVIEUX</t>
  </si>
  <si>
    <t>ELECTRICITE TOGOLAISE SARLU</t>
  </si>
  <si>
    <t>MRS/LFW/01353</t>
  </si>
  <si>
    <t>TSI(TRADING SERVICES INTERNATIONAL)</t>
  </si>
  <si>
    <t>NAV/LFW/00337</t>
  </si>
  <si>
    <t>VERVE HUMAN CARE LABORATORIES</t>
  </si>
  <si>
    <t>M/S CAMEG-TOGO</t>
  </si>
  <si>
    <t>RTM/LFW/00807</t>
  </si>
  <si>
    <t>NORSTAR SHIP MANAGEMENT PTE LTD</t>
  </si>
  <si>
    <t>TO THE MASTER OF MV NOSTAR INTREPID</t>
  </si>
  <si>
    <t>RTM/LFW/00808</t>
  </si>
  <si>
    <t>JIANGMEN AYT ELECTRICAL APPLIANCE CO LTD</t>
  </si>
  <si>
    <t>SHA/LFW/06259</t>
  </si>
  <si>
    <t>DSV ORIGIN-SHANGHAI: DSV AIR&amp;SEA CO LTD</t>
  </si>
  <si>
    <t>ANR/LFW/00008</t>
  </si>
  <si>
    <t>AIUT SP ZOO</t>
  </si>
  <si>
    <t>ANR/LFW/01349</t>
  </si>
  <si>
    <t>CONTITECH France</t>
  </si>
  <si>
    <t>ANR/LFW/06262</t>
  </si>
  <si>
    <t>ANR/LFW/06263</t>
  </si>
  <si>
    <t>ANR/LFW/06268</t>
  </si>
  <si>
    <t>ANR/LFW/06270</t>
  </si>
  <si>
    <t>16 PACKAGES STC</t>
  </si>
  <si>
    <t>ANR/LFW/06272</t>
  </si>
  <si>
    <t>ERIKS NV</t>
  </si>
  <si>
    <t>ERES TOGO</t>
  </si>
  <si>
    <t>HAM/LFW/00285</t>
  </si>
  <si>
    <t>GEBR PFEIFFER SE</t>
  </si>
  <si>
    <t>LEH/LFW/01343</t>
  </si>
  <si>
    <t>REXEL EXPORT</t>
  </si>
  <si>
    <t>LEH/LFW/01345</t>
  </si>
  <si>
    <t>RENAULT SAS DLPA</t>
  </si>
  <si>
    <t>STAR GROUP FADOUL</t>
  </si>
  <si>
    <t>LON/LFW/00354</t>
  </si>
  <si>
    <t>LON/LFW/00355</t>
  </si>
  <si>
    <t>MIL/LFW/01540</t>
  </si>
  <si>
    <t>PARROCCHIA SPIRITO SANTO</t>
  </si>
  <si>
    <t xml:space="preserve">OCDI NATIONALE </t>
  </si>
  <si>
    <t>ANR/LFW/06264</t>
  </si>
  <si>
    <t>KELA NV</t>
  </si>
  <si>
    <t>CEVETO SARL</t>
  </si>
  <si>
    <t>ANR/LFW/06265</t>
  </si>
  <si>
    <t>PROJECT MANAGEMENT INTERTIONAL LTD</t>
  </si>
  <si>
    <t>NV PMI TIGER CO PAKO AGENCY LTD</t>
  </si>
  <si>
    <t>ANR/LFW/06266</t>
  </si>
  <si>
    <t>ANR/LFW/06269</t>
  </si>
  <si>
    <t>JD PHARMA</t>
  </si>
  <si>
    <t>21 CARTONS</t>
  </si>
  <si>
    <t>SPS BURKINA</t>
  </si>
  <si>
    <t>9 BOXES</t>
  </si>
  <si>
    <t>HAM/LFW/00007</t>
  </si>
  <si>
    <t>ORPHEE SA</t>
  </si>
  <si>
    <t>GLOBAL SERVICES GT</t>
  </si>
  <si>
    <t>LEH/LFW/01346</t>
  </si>
  <si>
    <t>FABER</t>
  </si>
  <si>
    <t>TOUT POUR LE SERVICE MECANIQUE</t>
  </si>
  <si>
    <t>LEH/LFW/01347</t>
  </si>
  <si>
    <t>REXEL LE HAVRE EXPORT</t>
  </si>
  <si>
    <t>LEH/LFW/01348</t>
  </si>
  <si>
    <t>TECHDATA France</t>
  </si>
  <si>
    <t>ICBM TOGO</t>
  </si>
  <si>
    <t>MIL/LFW/01541</t>
  </si>
  <si>
    <t>SHA/LFW/06256</t>
  </si>
  <si>
    <t>SHA/LFW/06252</t>
  </si>
  <si>
    <t>1 STEEL PLYWOOD</t>
  </si>
  <si>
    <t>ANR/LFW/06305</t>
  </si>
  <si>
    <t>3 PARCELS STC</t>
  </si>
  <si>
    <t>JUILLET</t>
  </si>
  <si>
    <t>ANR/LFW/06307</t>
  </si>
  <si>
    <t>ANR/LFW/06308</t>
  </si>
  <si>
    <t>AMBASSADE USA</t>
  </si>
  <si>
    <t>ODOS</t>
  </si>
  <si>
    <t>LEH/LFW/01365</t>
  </si>
  <si>
    <t>TRANS INDUSTRIAL DEVELOPMENT(SHANGHAI)CO LTD</t>
  </si>
  <si>
    <t>LEH/LFW/01366</t>
  </si>
  <si>
    <t>ZHEJIANG BUCT FORLONG PRINT TECH CO LTD</t>
  </si>
  <si>
    <t>IMPRIMERIE LUMIERE PLUS</t>
  </si>
  <si>
    <t>LEH/LFW/01367</t>
  </si>
  <si>
    <t>HANGZHOU GEEVO TECHNOLOGY CO LTD</t>
  </si>
  <si>
    <t>DO PHARMA SA</t>
  </si>
  <si>
    <t>LEH/LFW/01373</t>
  </si>
  <si>
    <t>LYS/LFW/01370</t>
  </si>
  <si>
    <t>EQUIPMENT MINING QUARRY SERVICE(EMQS)</t>
  </si>
  <si>
    <t>LYS/LFW/01372</t>
  </si>
  <si>
    <t>MIL/LFW/01546</t>
  </si>
  <si>
    <t>EKUBERG PHARMA SURL</t>
  </si>
  <si>
    <t>NEODIS TOGO SARL</t>
  </si>
  <si>
    <t>MRS/LFW/01368</t>
  </si>
  <si>
    <t>NAV/LFW/00338</t>
  </si>
  <si>
    <t>KILITCH DRUGS(INDIA)LTD</t>
  </si>
  <si>
    <t>PAR/LFW/01369</t>
  </si>
  <si>
    <t>POUGET SARL</t>
  </si>
  <si>
    <t>1 CRATE STC</t>
  </si>
  <si>
    <t>PAR/LFW/01371</t>
  </si>
  <si>
    <t>PEN/LFW/00112</t>
  </si>
  <si>
    <t>MAXREAL RESOURCES</t>
  </si>
  <si>
    <t>INTERNATIONAL VISION</t>
  </si>
  <si>
    <t>PUS/LFW/06303</t>
  </si>
  <si>
    <t>HONGWOO GLS CO LTD</t>
  </si>
  <si>
    <t>CERRA LOGISTICS TOGO</t>
  </si>
  <si>
    <t>MSC SAMANTHA</t>
  </si>
  <si>
    <t>ANR/LFW/06317</t>
  </si>
  <si>
    <t>SOLAR-TECH ENGINEERING SCRL</t>
  </si>
  <si>
    <t>ETIENNE BOUDET CSJ KARA</t>
  </si>
  <si>
    <t>LEH/LFW/01376</t>
  </si>
  <si>
    <t>6 PACKAGES STC</t>
  </si>
  <si>
    <t>LEH/LFW/01381</t>
  </si>
  <si>
    <t>NMMEDICAL</t>
  </si>
  <si>
    <t>LON/LFW/00358</t>
  </si>
  <si>
    <t>DANTEC LIMITED</t>
  </si>
  <si>
    <t>OWNERS/MASTER OF TF VICTORA SHIP SPARES IN TRANSIT TOP MARINE SERVICES OFFSHORE TOGO SARL</t>
  </si>
  <si>
    <t>LYS/LFW/01380</t>
  </si>
  <si>
    <t>SFE INTERNATIONAL</t>
  </si>
  <si>
    <t>STEG INTERNATIONAL SERVICE</t>
  </si>
  <si>
    <t>MRS/LFW/01377</t>
  </si>
  <si>
    <t>EGH</t>
  </si>
  <si>
    <t>RTM/LFW/00823</t>
  </si>
  <si>
    <t>S&amp;C HEAVY EQUIPMENT CO LTD</t>
  </si>
  <si>
    <t>RTM/LFW/00827</t>
  </si>
  <si>
    <t>CENTRIEXPERT ENGINEERS PVT LTD</t>
  </si>
  <si>
    <t>MSC MARTA</t>
  </si>
  <si>
    <t>ANR/LFW/06301</t>
  </si>
  <si>
    <t>ANR/LFW/06306</t>
  </si>
  <si>
    <t>4 DRUMS</t>
  </si>
  <si>
    <t>ANR/LFW/06310</t>
  </si>
  <si>
    <t>ANR/LFW/06311</t>
  </si>
  <si>
    <t>NPR OF EUROPE GMBH</t>
  </si>
  <si>
    <t>CHEZ BINU AUTO PARTS</t>
  </si>
  <si>
    <t>ANR/LFW/06312</t>
  </si>
  <si>
    <t>UNIVEX AUTOMOTIVE EXPORTS</t>
  </si>
  <si>
    <t>ALLIN K EKOUE</t>
  </si>
  <si>
    <t>ANR/LFW/06313</t>
  </si>
  <si>
    <t>STOCKMEIER CHEMIE GMBH&amp;CO KG</t>
  </si>
  <si>
    <t>LIBS BRASSERIE SARL</t>
  </si>
  <si>
    <t>ANR/LFW/06314</t>
  </si>
  <si>
    <t>WYNN'S BELGIUM BVBA</t>
  </si>
  <si>
    <t>STE HI-SPEED AUTO PARTS</t>
  </si>
  <si>
    <t>ANR/LFW/06316</t>
  </si>
  <si>
    <t>LEH/LFW/01375</t>
  </si>
  <si>
    <t>AERZEN-France SAS</t>
  </si>
  <si>
    <t>NAV/LFW/00339</t>
  </si>
  <si>
    <t>NAV/LFW/00341</t>
  </si>
  <si>
    <t>CPA SA</t>
  </si>
  <si>
    <t>RTM/LFW/00824</t>
  </si>
  <si>
    <t>EMQ LOGISTICS BV</t>
  </si>
  <si>
    <t>THE HOLDER OF ORIGINAL AISC LINE</t>
  </si>
  <si>
    <t>RTM/LFW/00825</t>
  </si>
  <si>
    <t>STX SERVICE EUROPE BV</t>
  </si>
  <si>
    <t>TO THE MASTER OF MV SEA FORCE</t>
  </si>
  <si>
    <t>RTM/LFW/00826</t>
  </si>
  <si>
    <t>NAVARINO TECHNOLOGY CY LTD</t>
  </si>
  <si>
    <t>MASTER MV BLUEFIN</t>
  </si>
  <si>
    <t>SHA/LFW/06302</t>
  </si>
  <si>
    <t>LAERDAL MEDICAL(SUZHOU)CO LTD</t>
  </si>
  <si>
    <t>SIN/LFW/00131</t>
  </si>
  <si>
    <t>SERVICES MACHINERY AND TRUCKS(MAURICE)LTD</t>
  </si>
  <si>
    <t>4 CASES STC</t>
  </si>
  <si>
    <t>TAO/LFW/00133</t>
  </si>
  <si>
    <t>HENAN SINO OCEAN INTERNATIONAL CARGO AGENCY CO LTD</t>
  </si>
  <si>
    <t>TO ORDER OF THE HOLDER OF ORINAL OF HB/L HNYY202006151SSUED</t>
  </si>
  <si>
    <t>ANR/LFW/06293</t>
  </si>
  <si>
    <t>ANR/LFW/06296</t>
  </si>
  <si>
    <t>ANR/LFW/06297</t>
  </si>
  <si>
    <t>10 CASES STC</t>
  </si>
  <si>
    <t>BNC/LFW/06298</t>
  </si>
  <si>
    <t>OLINQUI 2006 SL</t>
  </si>
  <si>
    <t>BNC/LFW/00338</t>
  </si>
  <si>
    <t>NALCO France SAS</t>
  </si>
  <si>
    <t>LEH/LFW/01361</t>
  </si>
  <si>
    <t>E2ME</t>
  </si>
  <si>
    <t>LEH/LFW/01363</t>
  </si>
  <si>
    <t>DSV AIR&amp;SEA LE HAVRE</t>
  </si>
  <si>
    <t>LEH/LFW/01364</t>
  </si>
  <si>
    <t>UROMAR PC DIVERS EXPEDITEURS</t>
  </si>
  <si>
    <t>6 COLIS STC</t>
  </si>
  <si>
    <t>LON/LFW/00357</t>
  </si>
  <si>
    <t>BOLLORE LOGISTICS UK LTD</t>
  </si>
  <si>
    <t>MRS/LFW/01359</t>
  </si>
  <si>
    <t>MRS/LFW/01360</t>
  </si>
  <si>
    <t>IFE SAS</t>
  </si>
  <si>
    <t>NGB/LFW/08118</t>
  </si>
  <si>
    <t>CGP(WUHU)SEALING CO LTD</t>
  </si>
  <si>
    <t>RTM/LFW/00819</t>
  </si>
  <si>
    <t>BARU SERVICES BV</t>
  </si>
  <si>
    <t>MASTER OF TOGO VENTURE CO ADONAY SHIPPING</t>
  </si>
  <si>
    <t>RTM/LFW/00820</t>
  </si>
  <si>
    <t>F SENYUI</t>
  </si>
  <si>
    <t>J DECO CARREFOUR</t>
  </si>
  <si>
    <t>SHA/LFW/06289</t>
  </si>
  <si>
    <t>DESSIN MARINE &amp; INDUSTRY SERVICES LTD</t>
  </si>
  <si>
    <t>MASTER M/T</t>
  </si>
  <si>
    <t>ANR/LFW/06319</t>
  </si>
  <si>
    <t>BEUMER MASCHINENFABRIK GMBH&amp;CO KG</t>
  </si>
  <si>
    <t>AOUT</t>
  </si>
  <si>
    <t>ANR/LFW/06321</t>
  </si>
  <si>
    <t>ANR/LFW/06322</t>
  </si>
  <si>
    <t>3 CRATES STC</t>
  </si>
  <si>
    <t>HKG/LFW/12590</t>
  </si>
  <si>
    <t>SUN CARGO INTERNATIONAL LTD</t>
  </si>
  <si>
    <t>TO ORDER OF THE HOLDER OF ORINAL B/L 801200117</t>
  </si>
  <si>
    <t>LEH/LFW/01382</t>
  </si>
  <si>
    <t>SNVL VARAY LABORIX</t>
  </si>
  <si>
    <t>GHG M ABALO AMEVI AHOEFA</t>
  </si>
  <si>
    <t>LYS/LFW/01379</t>
  </si>
  <si>
    <t>LYS/LFW/01384</t>
  </si>
  <si>
    <t>RTM/LFW/00830</t>
  </si>
  <si>
    <t>FUJI GLOBAL LOGISTICS CO LTD</t>
  </si>
  <si>
    <t>THE MASTER OF RIVER OAK</t>
  </si>
  <si>
    <t>20 PACKAGES STC</t>
  </si>
  <si>
    <t>ANR/LFW/06287</t>
  </si>
  <si>
    <t>DECELEX</t>
  </si>
  <si>
    <t>ANR/LFW/06295</t>
  </si>
  <si>
    <t>ROHLIG FRANCE SAS AEROPORT</t>
  </si>
  <si>
    <t>OIL AND MARINE AGENCIES TOGO(OMA TOGO)</t>
  </si>
  <si>
    <t>ANR/LFW/06298</t>
  </si>
  <si>
    <t>ATL/LFW/00001</t>
  </si>
  <si>
    <t>BOLLORE LOGISTICS USA INC</t>
  </si>
  <si>
    <t>HAM/LFW/00286</t>
  </si>
  <si>
    <t>SANDVIK MINING AND CONSTRUCTION LOGISTICS LTD</t>
  </si>
  <si>
    <t>SOROUBAT-BF</t>
  </si>
  <si>
    <t>LEH/LFW/01355</t>
  </si>
  <si>
    <t>MIL/LFW/01544</t>
  </si>
  <si>
    <t>MIL/LFW/01545</t>
  </si>
  <si>
    <t>FCL MARINE</t>
  </si>
  <si>
    <t>RTM/LFW/00811</t>
  </si>
  <si>
    <t>DIMENSION BV</t>
  </si>
  <si>
    <t>M NABY MAGASSOUBA</t>
  </si>
  <si>
    <t>RTM/LFW/00812</t>
  </si>
  <si>
    <t>SHENZHEN ANT-PRINT SCIENCE&amp;TECHNOLOGY CO LTD</t>
  </si>
  <si>
    <t>TO ORDER OF THE HOLDER OF SURRENDERED</t>
  </si>
  <si>
    <t>RTM/LFW/00814</t>
  </si>
  <si>
    <t>RTM/LFW/00817</t>
  </si>
  <si>
    <t>FENER DUNLOP BV</t>
  </si>
  <si>
    <t>SHA/LFW/06288</t>
  </si>
  <si>
    <t>GLOBETECH GROUP FZE</t>
  </si>
  <si>
    <t>THE MASTER OF MV SEYMOUR SHIPS SPARES IN TRANSIT</t>
  </si>
  <si>
    <t>ANR/LFW/06320</t>
  </si>
  <si>
    <t>POLYTRA NV</t>
  </si>
  <si>
    <t>LA BELGITUDE TOGO</t>
  </si>
  <si>
    <t>ANR/LFW/06324</t>
  </si>
  <si>
    <t>ANR/LFW/06326</t>
  </si>
  <si>
    <t>OCTOGONE SAS</t>
  </si>
  <si>
    <t>OCTOGONE SARL</t>
  </si>
  <si>
    <t>ANR/LFW/06327</t>
  </si>
  <si>
    <t>4 COLIS STC</t>
  </si>
  <si>
    <t>BNC/LFW/06324</t>
  </si>
  <si>
    <t>TO THE ORDER OF THE SURRENDER BL EURFLZ2070435LFW</t>
  </si>
  <si>
    <t>BNC/LFW/00341</t>
  </si>
  <si>
    <t>TO THE ORDER OF THE HOLDER THE ORIGINAL IFS BL 200403002-0402</t>
  </si>
  <si>
    <t>KHH/LFW/06315</t>
  </si>
  <si>
    <t>CHEN WAY MACHINERY CO LTD</t>
  </si>
  <si>
    <t>WAFO INDUSTRY SARL</t>
  </si>
  <si>
    <t>3 WOODEN CASES STC</t>
  </si>
  <si>
    <t>MIL/LFW/01547</t>
  </si>
  <si>
    <t>VIMAR SPA</t>
  </si>
  <si>
    <t>TET SARL</t>
  </si>
  <si>
    <t>MRS/LFW/01383</t>
  </si>
  <si>
    <t>HAUSSMANN FAMILLE</t>
  </si>
  <si>
    <t>NGB/LFW/08189</t>
  </si>
  <si>
    <t>AA TOP TRADING CO LTD</t>
  </si>
  <si>
    <t>SHA/LFW/06318</t>
  </si>
  <si>
    <t>JIANGSU NANTONG</t>
  </si>
  <si>
    <t>LEADER AFRICA TOGO</t>
  </si>
  <si>
    <t>TAO/LFW/00134</t>
  </si>
  <si>
    <t>WEIFANG SHENGXUAN MACHINERY CO LTD</t>
  </si>
  <si>
    <t>DABOUGUI MAHAMADOU</t>
  </si>
  <si>
    <t>ANR/LFW/06280</t>
  </si>
  <si>
    <t>ANR/LFW/06284</t>
  </si>
  <si>
    <t>STIGE</t>
  </si>
  <si>
    <t>ANR/LFW/06286</t>
  </si>
  <si>
    <t>ANR/LFW/06290</t>
  </si>
  <si>
    <t>MENZELL DOEHLE LOGISTICS GMBH</t>
  </si>
  <si>
    <t>A ORDRE</t>
  </si>
  <si>
    <t>24 COLLIS</t>
  </si>
  <si>
    <t>ANR/LFW/06291</t>
  </si>
  <si>
    <t>CAMIB</t>
  </si>
  <si>
    <t>ANR/LFW/00335</t>
  </si>
  <si>
    <t>SAICE SA</t>
  </si>
  <si>
    <t>ETS MARCO BUSINESS CENTRE FWA</t>
  </si>
  <si>
    <t>ANR/LFW/00336</t>
  </si>
  <si>
    <t>TO THE ORDER OF THE HOLDER OF THE ORIGINAL HBL IFS0401</t>
  </si>
  <si>
    <t>ANR/LFW/01357</t>
  </si>
  <si>
    <t>ADVACARE INTERNATIONAL LIMITED</t>
  </si>
  <si>
    <t>LEDER SANTE SARLU</t>
  </si>
  <si>
    <t>5 CARTONS PACKAGES</t>
  </si>
  <si>
    <t>ANR/LFW/00356</t>
  </si>
  <si>
    <t>LLOYD TRACTOR SERVICES</t>
  </si>
  <si>
    <t>ANR/LFW/00358</t>
  </si>
  <si>
    <t>SPIRAX SARCO TRAPPES</t>
  </si>
  <si>
    <t>XIC/LFW/06275</t>
  </si>
  <si>
    <t>1 PLYWOOD CASE STC</t>
  </si>
  <si>
    <t>ANR/LFW/06281</t>
  </si>
  <si>
    <t>10 CRATES STC</t>
  </si>
  <si>
    <t>ANR/LFW/06285</t>
  </si>
  <si>
    <t>BCN/LFW/00333</t>
  </si>
  <si>
    <t>BCN/LFW/00334</t>
  </si>
  <si>
    <t>IZM/LFW/00013</t>
  </si>
  <si>
    <t>KLIMASAN KLIMA SAN VE TIC AS</t>
  </si>
  <si>
    <t>5 PIECES STC</t>
  </si>
  <si>
    <t>LEH/LFW/01356</t>
  </si>
  <si>
    <t>PRINT AND PACK</t>
  </si>
  <si>
    <t>ESSOLISSAM HOLADEM</t>
  </si>
  <si>
    <t>MIL/LFW/01542</t>
  </si>
  <si>
    <t>USCO SPA</t>
  </si>
  <si>
    <t>MIL/LFW/01543</t>
  </si>
  <si>
    <t>ENCELEC P/C</t>
  </si>
  <si>
    <t>NGB/LFW/08048</t>
  </si>
  <si>
    <t>WUHU JIESEN AUTOMOBILE COMPONENTS SALES CO LTD</t>
  </si>
  <si>
    <t>32 CARTONS STC</t>
  </si>
  <si>
    <t>RTM/LFW/00809</t>
  </si>
  <si>
    <t>JINAN EVERHARVEST INTERNATIONAL TRADE CO LTD</t>
  </si>
  <si>
    <t>RTM/LFW/00810</t>
  </si>
  <si>
    <t>DOOR TO DECK GLOBAL LOGISTIC SERVICES LIMITED CO</t>
  </si>
  <si>
    <t>MASTER OF MV LEON</t>
  </si>
  <si>
    <t>SHA/LFW/06283</t>
  </si>
  <si>
    <t>JIANGSU GAOBIAO VALVE CO LTD</t>
  </si>
  <si>
    <t>SIN/LFW/00130</t>
  </si>
  <si>
    <t>ANR/LFW/06348</t>
  </si>
  <si>
    <t>CHEM-LAB NV</t>
  </si>
  <si>
    <t>CODIP DIAGNOSTICS SARLU</t>
  </si>
  <si>
    <t>SEPTEMBRE</t>
  </si>
  <si>
    <t>ANR/LFW/06354</t>
  </si>
  <si>
    <t>ANR/LFW/06355</t>
  </si>
  <si>
    <t>ZINGAMETALL BVBA INDUSTRIE PARK</t>
  </si>
  <si>
    <t>ANR/LFW/06357</t>
  </si>
  <si>
    <t>ANR/LFW/06359</t>
  </si>
  <si>
    <t>B MEDICAL SYSTEMS</t>
  </si>
  <si>
    <t>SID SARL</t>
  </si>
  <si>
    <t>2 BOX PALLETS STC</t>
  </si>
  <si>
    <t>BCN/LFW/00344</t>
  </si>
  <si>
    <t>CASANET</t>
  </si>
  <si>
    <t>MOOV TOGO</t>
  </si>
  <si>
    <t>LYS/LFW/01399</t>
  </si>
  <si>
    <t>PAD INDUSTRIE</t>
  </si>
  <si>
    <t>LYS/LFW/01402</t>
  </si>
  <si>
    <t>MIL/LFW/01552</t>
  </si>
  <si>
    <t>LYNX GROUP SAL</t>
  </si>
  <si>
    <t>PREMIUM TOGO</t>
  </si>
  <si>
    <t>MRS/LFW/01403</t>
  </si>
  <si>
    <t>RTM/LFW/00843</t>
  </si>
  <si>
    <t>AAR/LFW/02106</t>
  </si>
  <si>
    <t>IMRES BV</t>
  </si>
  <si>
    <t>ANR/LFW/06344</t>
  </si>
  <si>
    <t>ANR/LFW/06347</t>
  </si>
  <si>
    <t>SPROCA</t>
  </si>
  <si>
    <t>ANR/LFW/06349</t>
  </si>
  <si>
    <t>ANR/LFW/06351</t>
  </si>
  <si>
    <t>TRANS AUTOMOBILE</t>
  </si>
  <si>
    <t>GROUP ID</t>
  </si>
  <si>
    <t>ANR/LFW/06353</t>
  </si>
  <si>
    <t>ANR/LFW/01394</t>
  </si>
  <si>
    <t>ANR/LFW/01553</t>
  </si>
  <si>
    <t>MENICHETTI GLUES &amp; ADHESIVES SRL</t>
  </si>
  <si>
    <t>RTM/LFW/00842</t>
  </si>
  <si>
    <t>TERBERG MIDDLE EAST</t>
  </si>
  <si>
    <t>ANR/LFW/06345</t>
  </si>
  <si>
    <t>ANR/LFW/06346</t>
  </si>
  <si>
    <t>KHH/LFW/06323</t>
  </si>
  <si>
    <t>PARKER PLASTIC MACHINERY CO LTD</t>
  </si>
  <si>
    <t>LEH/LFW/01396</t>
  </si>
  <si>
    <t>LYS/LFW/01395</t>
  </si>
  <si>
    <t>LYS/LFW/01397</t>
  </si>
  <si>
    <t>4 CAISSES DC</t>
  </si>
  <si>
    <t>PUS/LFW/06334</t>
  </si>
  <si>
    <t>JEENWON LOGISTICS CO LTD</t>
  </si>
  <si>
    <t>TO THE MASTER OF MT LEON HERC</t>
  </si>
  <si>
    <t>2 PAQUETS DC</t>
  </si>
  <si>
    <t>RTM/LFW/00837</t>
  </si>
  <si>
    <t>V SHIPS France SAS</t>
  </si>
  <si>
    <t>TO THE MASTER OF MT ESHIPS</t>
  </si>
  <si>
    <t>RTM/LFW/00838</t>
  </si>
  <si>
    <t>7 PAQUETS DC</t>
  </si>
  <si>
    <t>SIN/LFW/00132</t>
  </si>
  <si>
    <t>8 PAQUETS DC</t>
  </si>
  <si>
    <t>ANR/LFW/06337</t>
  </si>
  <si>
    <t>8 PALETTS STC</t>
  </si>
  <si>
    <t>ANR/LFW/06338</t>
  </si>
  <si>
    <t>BIA EQUIPEMENTS AND SERVICES</t>
  </si>
  <si>
    <t>EQUIPEMENTS &amp; SERVICES TOGO SAU</t>
  </si>
  <si>
    <t>2 COLIS STC</t>
  </si>
  <si>
    <t>ANR/LFW/06339</t>
  </si>
  <si>
    <t>ANR/LFW/06341</t>
  </si>
  <si>
    <t>SAADEM</t>
  </si>
  <si>
    <t>ETRADIS</t>
  </si>
  <si>
    <t>SOSAF BF</t>
  </si>
  <si>
    <t>BCN/LFW/00340</t>
  </si>
  <si>
    <t>BIO FERTILIZER UNIT SARL</t>
  </si>
  <si>
    <t>BIOCHEM</t>
  </si>
  <si>
    <t>BCN/LFW/00342</t>
  </si>
  <si>
    <t>TO THE ORDER OF THE HOLDER OF THE ORIGINAL IFS BL</t>
  </si>
  <si>
    <t>LEH/LFW/01386</t>
  </si>
  <si>
    <t>SHANGHAI LONGZHENG INDUSTRIAL CO LTD</t>
  </si>
  <si>
    <t>SHIP SPARES IN TRANSIT MASTER AND OWNERS MV CONTSHIP NEW</t>
  </si>
  <si>
    <t>LEH/LFW/01393</t>
  </si>
  <si>
    <t>GAMBLIN P/C</t>
  </si>
  <si>
    <t>AUGUSTIN DE L'ASSOMPTION</t>
  </si>
  <si>
    <t>LON/LFW/00359</t>
  </si>
  <si>
    <t>TRANS SERVICE LINE</t>
  </si>
  <si>
    <t>NV ATLANTA CO PAKO AGENCY LTD</t>
  </si>
  <si>
    <t>LON/LFW/00361</t>
  </si>
  <si>
    <t>LON/LFW/00362</t>
  </si>
  <si>
    <t>NAV/LFW/00344</t>
  </si>
  <si>
    <t>SAI INDO METAL RESOURCES PVT LTD</t>
  </si>
  <si>
    <t>RTM/LFW/00834</t>
  </si>
  <si>
    <t>GANNON COCOU RAYMOND</t>
  </si>
  <si>
    <t>X PRESS GANGES</t>
  </si>
  <si>
    <t>CCU/LFW/00345</t>
  </si>
  <si>
    <t>45 PACKAGES STC</t>
  </si>
  <si>
    <t>CCU/LFW/00346</t>
  </si>
  <si>
    <t>63 PACKAGES STC</t>
  </si>
  <si>
    <t>ANR/LFW/06328</t>
  </si>
  <si>
    <t>ANR/LFW/06332</t>
  </si>
  <si>
    <t>ARKEMA France</t>
  </si>
  <si>
    <t>SOCIETE DE ROUTES ET DE BATIMENTS AU BURKINA FASO</t>
  </si>
  <si>
    <t>ANR/LFW/06333</t>
  </si>
  <si>
    <t>LEH/LFW/01387</t>
  </si>
  <si>
    <t>LEH/LFW/01392</t>
  </si>
  <si>
    <t>LON/LFW/0360</t>
  </si>
  <si>
    <t>CARDINAL MARITIME LTD</t>
  </si>
  <si>
    <t>LOGISTIQUE COMMERCIALE D'AFRIQUE</t>
  </si>
  <si>
    <t>2 PIECES STC</t>
  </si>
  <si>
    <t>MIL/LFW/01549</t>
  </si>
  <si>
    <t>PAR/LFW/01389</t>
  </si>
  <si>
    <t>PAR/LFW/01390</t>
  </si>
  <si>
    <t>PUS/LFW/06309</t>
  </si>
  <si>
    <t>NAURI LOGISTICS CO LTD</t>
  </si>
  <si>
    <t>TO THE ORDER OF HOLDER BL NAURLFW20071147</t>
  </si>
  <si>
    <t>RTM/LFW/00835</t>
  </si>
  <si>
    <t>BERNARD SCHULTE</t>
  </si>
  <si>
    <t>TO THE MASTER OF MV KONRAD SCHULTE</t>
  </si>
  <si>
    <t>ANR/LFW/06385</t>
  </si>
  <si>
    <t>BRASSERIE ST-FEUILLIEN SA</t>
  </si>
  <si>
    <t>OCTOBRE</t>
  </si>
  <si>
    <t>ANR/LFW/06388</t>
  </si>
  <si>
    <t>ANR/LFW/06391</t>
  </si>
  <si>
    <t>ANR/LFW/06394</t>
  </si>
  <si>
    <t>5 BOX PALLETS STC</t>
  </si>
  <si>
    <t>ATL/LFW/00005</t>
  </si>
  <si>
    <t>US STATE DEPARTMENT CO ABLE MOVING &amp; STORAGE</t>
  </si>
  <si>
    <t>LEH/LFW/01411</t>
  </si>
  <si>
    <t>ADEMI PESAGE</t>
  </si>
  <si>
    <t>LEH/LFW/01416</t>
  </si>
  <si>
    <t>LYS/LFW/01423</t>
  </si>
  <si>
    <t>MAA/LFW/00349</t>
  </si>
  <si>
    <t>ZIBAL EXIM</t>
  </si>
  <si>
    <t>TROPICAL NATURAL RESSOURCES TOGO SARLU</t>
  </si>
  <si>
    <t>MIL/LFW/01560</t>
  </si>
  <si>
    <t>PARFER SITI SRL</t>
  </si>
  <si>
    <t>CIM METAL</t>
  </si>
  <si>
    <t>1 BOXPALLET STC</t>
  </si>
  <si>
    <t>MRS/LFW/01419</t>
  </si>
  <si>
    <t>France HELICES SAS</t>
  </si>
  <si>
    <t>FAITH BASE INCORPORATION(FBI)</t>
  </si>
  <si>
    <t>MRS/LFW/01422</t>
  </si>
  <si>
    <t>3 BUNDLES CARTONS</t>
  </si>
  <si>
    <t>PUS/LFW/06373</t>
  </si>
  <si>
    <t>DINTEC CO LTD</t>
  </si>
  <si>
    <t>MASTER OF RIVER OAK/SK-109</t>
  </si>
  <si>
    <t>RTM/LFW/00854</t>
  </si>
  <si>
    <t>COMITE NATIONAL OLYMPIQUE DU TOGO</t>
  </si>
  <si>
    <t>XIC/LFW/06362</t>
  </si>
  <si>
    <t>XIC/LFW/06363</t>
  </si>
  <si>
    <t>JIAMUSI WANXING INTERNATIONAL TRADE COMPANY LIMITED</t>
  </si>
  <si>
    <t>ALLIO GROUPE</t>
  </si>
  <si>
    <t>ANR/LFW/01555</t>
  </si>
  <si>
    <t>NOVEMBRE</t>
  </si>
  <si>
    <t>ANR/LFW/06361</t>
  </si>
  <si>
    <t>CORSINO CORSINI SPA</t>
  </si>
  <si>
    <t>SOCIETE SODICAF</t>
  </si>
  <si>
    <t>ANR/LFW/06378</t>
  </si>
  <si>
    <t>BASF SE CARL-BOSCH-STRASSE</t>
  </si>
  <si>
    <t>SOPAL SA</t>
  </si>
  <si>
    <t>ANR/LFW/06379</t>
  </si>
  <si>
    <t>SOTRAD WATER</t>
  </si>
  <si>
    <t>TDE</t>
  </si>
  <si>
    <t>ANR/LFW/06389</t>
  </si>
  <si>
    <t>UNIFOOD</t>
  </si>
  <si>
    <t>BCN/LFW/00349</t>
  </si>
  <si>
    <t>MIL/LFW/01554</t>
  </si>
  <si>
    <t>BRIEDA CABINS SRL A</t>
  </si>
  <si>
    <t>MRS/LFW/01415</t>
  </si>
  <si>
    <t>NAV/LFW/00350</t>
  </si>
  <si>
    <t>RTM/LFW/00851</t>
  </si>
  <si>
    <t>ANR/LFW/06366</t>
  </si>
  <si>
    <t>ANR/LFW/06374</t>
  </si>
  <si>
    <t>SUBSEA INDUSTRIES</t>
  </si>
  <si>
    <t>MARINA PLONGEE SARLU</t>
  </si>
  <si>
    <t>ANR/LFW/06377</t>
  </si>
  <si>
    <t>BOS/LFW/00004</t>
  </si>
  <si>
    <t>MOHAWK GLOBAL</t>
  </si>
  <si>
    <t>GEBANA TOGO SARL</t>
  </si>
  <si>
    <t>LEH/LFW/01404</t>
  </si>
  <si>
    <t>LEH/LFW/01406</t>
  </si>
  <si>
    <t>WUXI COBETTER SCIENCE TECHNOLOGY CO LTD</t>
  </si>
  <si>
    <t>JANVIER KOMLA WUSSINU</t>
  </si>
  <si>
    <t>LEH/LFW/01407</t>
  </si>
  <si>
    <t>SHANGHAI ZHENHUA HEAVY INDUSTRIES CO LTD</t>
  </si>
  <si>
    <t>LEH/LFW/01408</t>
  </si>
  <si>
    <t>HUBEI YUAN AO IMPORT AND EXPORT CO</t>
  </si>
  <si>
    <t>ETS REDEMPTION &amp; VIE</t>
  </si>
  <si>
    <t>LEH/LFW/01409</t>
  </si>
  <si>
    <t>DEXTER INTERNATIONAL TRADE</t>
  </si>
  <si>
    <t>LON/LFW/00363</t>
  </si>
  <si>
    <t>MRS/LFW/01412</t>
  </si>
  <si>
    <t>SA STE TOGOLAISE D'ENTREPOSAGE</t>
  </si>
  <si>
    <t>MRS/LFW/01413</t>
  </si>
  <si>
    <t>CAPTELS P/C GROUPE AFRIQUE PESAGE</t>
  </si>
  <si>
    <t>EEBTP</t>
  </si>
  <si>
    <t>NAV/LFW/00348</t>
  </si>
  <si>
    <t>PRANEEL EXPORTS</t>
  </si>
  <si>
    <t>PAR/LFW/01414</t>
  </si>
  <si>
    <t>SN APAGEO SAS</t>
  </si>
  <si>
    <t>FONDATIONS ET FORAGES D'AFRIQUE(FFA)</t>
  </si>
  <si>
    <t>RTM/LFW/00848</t>
  </si>
  <si>
    <t>SIN/LFW/00133</t>
  </si>
  <si>
    <t>AQUARIUS MARINE SERVICES &amp; LOGISTICS PTE LTD</t>
  </si>
  <si>
    <t>THE MASTER OF MV WEST MINSTER SHIP SPARES IN TRANSIT</t>
  </si>
  <si>
    <t>AAR/LFW/02108</t>
  </si>
  <si>
    <t>SEMCO SHIPPING APS</t>
  </si>
  <si>
    <t>GCS MARITIME SARL</t>
  </si>
  <si>
    <t>ANR/LFW/06368</t>
  </si>
  <si>
    <t>ANR/LFW/06371</t>
  </si>
  <si>
    <t>ANR/LFW/06372</t>
  </si>
  <si>
    <t>ANR/LFW/06375</t>
  </si>
  <si>
    <t>LEH/LFW/01405</t>
  </si>
  <si>
    <t>DIFCO France</t>
  </si>
  <si>
    <t>RTM/LFW/00845</t>
  </si>
  <si>
    <t>MASTER M/T SEA ICON SHIP SPARES IN TRANSIT</t>
  </si>
  <si>
    <t>RTM/LFW/00846</t>
  </si>
  <si>
    <t>ANR/LFW/06649</t>
  </si>
  <si>
    <t>CENTRE D'ACHAT DES MED ESS</t>
  </si>
  <si>
    <t>ANR/LFW/06651</t>
  </si>
  <si>
    <t>ANR/LFW/06653</t>
  </si>
  <si>
    <t>ZF FRIEDRICHSHAFEN AG</t>
  </si>
  <si>
    <t>FOBAK</t>
  </si>
  <si>
    <t>ANR/LFW/06654</t>
  </si>
  <si>
    <t>FREIGHT PREPAID</t>
  </si>
  <si>
    <t>ANR/LFW/06655</t>
  </si>
  <si>
    <t>CYPRESS DIAGNOSTICS</t>
  </si>
  <si>
    <t>PROLABO DIAGNOSTICS</t>
  </si>
  <si>
    <t>ANR/LFW/06657</t>
  </si>
  <si>
    <t>ANR/LFW/06659</t>
  </si>
  <si>
    <t>INTER-HARZ GMBH</t>
  </si>
  <si>
    <t>LEH/LFW/01574</t>
  </si>
  <si>
    <t>DEF-AFRIQUE DE L'OUEST</t>
  </si>
  <si>
    <t>CER-ETI TOGO</t>
  </si>
  <si>
    <t>LEH/LFW/01577</t>
  </si>
  <si>
    <t>FLOWSERVE POMPES SAS</t>
  </si>
  <si>
    <t>COMPEL</t>
  </si>
  <si>
    <t>LEH/LFW/01578</t>
  </si>
  <si>
    <t>LEH/LFW/01579</t>
  </si>
  <si>
    <t>ZHENGZHOU HONGCAI DIGITAL TECHNOLOGY CO LTD</t>
  </si>
  <si>
    <t>EDITIONS PETRA</t>
  </si>
  <si>
    <t>LEH/LFW/01584</t>
  </si>
  <si>
    <t>HASLER GROUP</t>
  </si>
  <si>
    <t>LEH/LFW/01588</t>
  </si>
  <si>
    <t>DEVEA</t>
  </si>
  <si>
    <t>IP STORE SARL</t>
  </si>
  <si>
    <t>LYS/LFW/01575</t>
  </si>
  <si>
    <t>LYS/LFW/01582</t>
  </si>
  <si>
    <t>HYDRAULIQUE SAN FRONTIERES</t>
  </si>
  <si>
    <t>MME CHRISTINE</t>
  </si>
  <si>
    <t>MIL/LFW/01649</t>
  </si>
  <si>
    <t>DAVID ROSS</t>
  </si>
  <si>
    <t>AYMAN SERVICE</t>
  </si>
  <si>
    <t>MRS/LFW/01583</t>
  </si>
  <si>
    <t>NAV/LFW/00428</t>
  </si>
  <si>
    <t>NAV/LFW/00433</t>
  </si>
  <si>
    <t>NAV/LFW/00445</t>
  </si>
  <si>
    <t>DIVYA ENTERPRISES</t>
  </si>
  <si>
    <t>PAR/LFW/01573</t>
  </si>
  <si>
    <t>TAF</t>
  </si>
  <si>
    <t>SCHNELL ANSCHLUSS</t>
  </si>
  <si>
    <t>RTM/LFW/00929</t>
  </si>
  <si>
    <t>ANR/LFW/06424</t>
  </si>
  <si>
    <t>DECEMBRE</t>
  </si>
  <si>
    <t>ANR/LFW/06425</t>
  </si>
  <si>
    <t>VM STEEL</t>
  </si>
  <si>
    <t>AFFORD TOGO</t>
  </si>
  <si>
    <t>ANR/LFW/06426</t>
  </si>
  <si>
    <t>LEH/LFW/01434</t>
  </si>
  <si>
    <t>ZHENGZHOU MOTRIKE</t>
  </si>
  <si>
    <t>NETCHE CORPORATION</t>
  </si>
  <si>
    <t>LEH/LFW/01436</t>
  </si>
  <si>
    <t>SINO MARINE&amp;ENGINEERING CO LTD</t>
  </si>
  <si>
    <t>THE OWNERS/MASTER OF MT &amp; DOVER</t>
  </si>
  <si>
    <t>LON/LFW/00368</t>
  </si>
  <si>
    <t>LON/LFW/00371</t>
  </si>
  <si>
    <t>LYS/LFW/01439</t>
  </si>
  <si>
    <t>CHAUVIN SAS</t>
  </si>
  <si>
    <t>LYS/LFW/01441</t>
  </si>
  <si>
    <t>MAN/LFW/00370</t>
  </si>
  <si>
    <t>REVIVAL MOVEMENT ASSOCIATION</t>
  </si>
  <si>
    <t>CEF OF TOGO(AEE DU TOGO)</t>
  </si>
  <si>
    <t>MIL/LFW/01563</t>
  </si>
  <si>
    <t>MARCHETTI SRL</t>
  </si>
  <si>
    <t>GRAND TECHNICIENS FERRONNIERS GTF SARL</t>
  </si>
  <si>
    <t>MIL/LFW/01565</t>
  </si>
  <si>
    <t>TROPICAL FOOD</t>
  </si>
  <si>
    <t>JUS DELICE SA</t>
  </si>
  <si>
    <t>MIL/LFW/01567</t>
  </si>
  <si>
    <t>HITEQ-M DEREK ADJANA</t>
  </si>
  <si>
    <t>MRS/LFW/01437</t>
  </si>
  <si>
    <t>QUERCUS DEVELOPMENT</t>
  </si>
  <si>
    <t>M GOZO ANANI</t>
  </si>
  <si>
    <t>NAV/LFW/00353</t>
  </si>
  <si>
    <t>THYSSENKRUPP INDUSTRIES INDIA PVT LTD</t>
  </si>
  <si>
    <t>NAV/LFW/00354</t>
  </si>
  <si>
    <t>CARGOONE OCEANAIR LOGISTICS PVT LTD</t>
  </si>
  <si>
    <t>RTM/LFW/00863</t>
  </si>
  <si>
    <t>SIN/LFW/00134</t>
  </si>
  <si>
    <t>ANR/LFW/06412</t>
  </si>
  <si>
    <t>ANR/LFW/06413</t>
  </si>
  <si>
    <t>ANR/LFW/06417</t>
  </si>
  <si>
    <t>ANR/LFW/06418</t>
  </si>
  <si>
    <t>ANR/LFW/06419</t>
  </si>
  <si>
    <t>LEH/LFW/01431</t>
  </si>
  <si>
    <t>LEH/LFW/01432</t>
  </si>
  <si>
    <t>CASTOLIN France SA</t>
  </si>
  <si>
    <t>AAR/LFW/02110</t>
  </si>
  <si>
    <t>UNICEF</t>
  </si>
  <si>
    <t>9 PACKAGES STC</t>
  </si>
  <si>
    <t>ANR/LFW/06395</t>
  </si>
  <si>
    <t>8 DRUMS STC</t>
  </si>
  <si>
    <t>ANR/LFW/06396</t>
  </si>
  <si>
    <t>ANR/LFW/06399</t>
  </si>
  <si>
    <t>ANR/LFW/06402</t>
  </si>
  <si>
    <t>SILICON REFRACTORY</t>
  </si>
  <si>
    <t>ANR/LFW/06407</t>
  </si>
  <si>
    <t>1 DRUM STC</t>
  </si>
  <si>
    <t>ANR/LFW/06408</t>
  </si>
  <si>
    <t>HAM/LFW/00287</t>
  </si>
  <si>
    <t>PRYSMIAN KABEL UND SYSTÈME GMBH</t>
  </si>
  <si>
    <t>LEH/LFW/01417</t>
  </si>
  <si>
    <t>LEH/LFW/01426</t>
  </si>
  <si>
    <t>CARLIER CHAINES</t>
  </si>
  <si>
    <t>LEH/LFW/01427</t>
  </si>
  <si>
    <t>LEH/LFW/01428</t>
  </si>
  <si>
    <t>MINA MAKINA SERVIS</t>
  </si>
  <si>
    <t>LEH/LFW/01430</t>
  </si>
  <si>
    <t>LAB-TP</t>
  </si>
  <si>
    <t>LHR/LFW/00366</t>
  </si>
  <si>
    <t>M ROOBEN MOOTIN</t>
  </si>
  <si>
    <t>M AYITE AJAVON/M NICOLAS LAWSON</t>
  </si>
  <si>
    <t>LON/LFW/00364</t>
  </si>
  <si>
    <t>MIL/LFW/01557</t>
  </si>
  <si>
    <t>BOLLORE LOGISTICS</t>
  </si>
  <si>
    <t>MIL/LFW/01561</t>
  </si>
  <si>
    <t>COMET SRL</t>
  </si>
  <si>
    <t>IMBALLAGI WEST AFRICA(IWA)</t>
  </si>
  <si>
    <t>RTM/LFW/00855</t>
  </si>
  <si>
    <t>BILAL AGBERE</t>
  </si>
  <si>
    <t>RTM/LFW/00856</t>
  </si>
  <si>
    <t>SWIFT MARINE</t>
  </si>
  <si>
    <t>MASTER OF MV DUKE</t>
  </si>
  <si>
    <t>17 PALLETS STC</t>
  </si>
  <si>
    <t>ANR/LFW/06436</t>
  </si>
  <si>
    <t>MINET LACING TECHNOLOGY SA</t>
  </si>
  <si>
    <t>CHI/LFW/00012</t>
  </si>
  <si>
    <t>GULF EXPRESS LINE USA</t>
  </si>
  <si>
    <t>LEH/LFW/01456</t>
  </si>
  <si>
    <t>SORDALAB</t>
  </si>
  <si>
    <t>PROFESSEUR KOFFI TOZO</t>
  </si>
  <si>
    <t>LEH/LFW/01457</t>
  </si>
  <si>
    <t>DISTRIMEX</t>
  </si>
  <si>
    <t>EPICENTRE SARLU</t>
  </si>
  <si>
    <t>MIL/LFW/01570</t>
  </si>
  <si>
    <t>MRS/LFW/01455</t>
  </si>
  <si>
    <t>GLOBAL ACCES</t>
  </si>
  <si>
    <t>NAV/LFW/00356</t>
  </si>
  <si>
    <t>MACLEODS PHAMACEUTICALS LTD</t>
  </si>
  <si>
    <t>28 CARTONS STC</t>
  </si>
  <si>
    <t>NGB/LFW/08409</t>
  </si>
  <si>
    <t>ZHEJIANG TOPY AULD TECHNOLOGY CO LTD</t>
  </si>
  <si>
    <t>HI-SPEED</t>
  </si>
  <si>
    <t>174 CARTONS STC</t>
  </si>
  <si>
    <t>RTM/LFW/00870</t>
  </si>
  <si>
    <t>ANR/LFW/06431</t>
  </si>
  <si>
    <t>BHX/LFW/00376</t>
  </si>
  <si>
    <t>BRUNSWICK INTERNATIONAL</t>
  </si>
  <si>
    <t>LEH/LFW/01398</t>
  </si>
  <si>
    <t>JF HILLEBRAND France</t>
  </si>
  <si>
    <t>34 PACKAGES STC</t>
  </si>
  <si>
    <t>LEH/LFW/01442</t>
  </si>
  <si>
    <t>TOTAL OUTRE MER TOUR</t>
  </si>
  <si>
    <t>LEH/LFW/01443</t>
  </si>
  <si>
    <t>SHANGRAO HAODI IMP&amp;EXP TRADING CO LTD</t>
  </si>
  <si>
    <t>GOUNGOU BIVAINA</t>
  </si>
  <si>
    <t>17 CARTONS STC</t>
  </si>
  <si>
    <t>LEH/LFW/01451</t>
  </si>
  <si>
    <t>M2M FACTORY</t>
  </si>
  <si>
    <t>GENDARMERIE NATIONALE TOGOLAISE</t>
  </si>
  <si>
    <t>LON/LFW/00374</t>
  </si>
  <si>
    <t>NRP (EXPORT-IMPORT) LTD</t>
  </si>
  <si>
    <t>LON/LFW/00375</t>
  </si>
  <si>
    <t>MIL/LFW/01569</t>
  </si>
  <si>
    <t>GENIE ELECTRIQUE TOGO SARL</t>
  </si>
  <si>
    <t>MRS/LFW/01447</t>
  </si>
  <si>
    <t>DESHONS HYDRAULIQUE</t>
  </si>
  <si>
    <t>NDT &amp; QUALITY EXPERTISES</t>
  </si>
  <si>
    <t>RTM/LFW/00868</t>
  </si>
  <si>
    <t>RTM/LFW/00869</t>
  </si>
  <si>
    <t>ANR/LFW/06438</t>
  </si>
  <si>
    <t>BASF SE CARL BOSCH STRASSE</t>
  </si>
  <si>
    <t>SIVOP TOGO SARL</t>
  </si>
  <si>
    <t>ANR/LFW/06440</t>
  </si>
  <si>
    <t>IVC GROUP</t>
  </si>
  <si>
    <t>CONFORTIS PROPERTIES SASU</t>
  </si>
  <si>
    <t>24 PALLETS STC</t>
  </si>
  <si>
    <t>ANR/LFW/06443</t>
  </si>
  <si>
    <t>PROJECT MANAGEMENT INTERNATIONAL LTD</t>
  </si>
  <si>
    <t>CAPTAIN OF ATLANTA II CO PAKO AGENCY LTD</t>
  </si>
  <si>
    <t>ANR/LFW/06448</t>
  </si>
  <si>
    <t>LEH/LFW/01463</t>
  </si>
  <si>
    <t>SVD France CHEZ EXERTIS CONNECT</t>
  </si>
  <si>
    <t>GROUPEMENT COMELEC-SUDETEL PROJECT BSIC</t>
  </si>
  <si>
    <t>LYS/LFW/01464</t>
  </si>
  <si>
    <t>MIL/LFW/01571</t>
  </si>
  <si>
    <t>NAV/LFW/00358</t>
  </si>
  <si>
    <t>TROIKAA PHARMACEUTICALS LIMITED</t>
  </si>
  <si>
    <t>AGENCE PHARMACOL</t>
  </si>
  <si>
    <t>106 PACKAGES STC</t>
  </si>
  <si>
    <t>NAV/LFW/00359</t>
  </si>
  <si>
    <t>FRIGATE TEKNOLOGIES PVT LTD</t>
  </si>
  <si>
    <t>RTM/LFW/00867</t>
  </si>
  <si>
    <t>COOPERATIE AVEBE UA</t>
  </si>
  <si>
    <t>UNIFOOD SARL</t>
  </si>
  <si>
    <t>SHA/LFW/06432</t>
  </si>
  <si>
    <t>AAR/LFW/02111</t>
  </si>
  <si>
    <t>ANR/LFW/06430</t>
  </si>
  <si>
    <t>IKN GMBH</t>
  </si>
  <si>
    <t>ANR/LFW/06435</t>
  </si>
  <si>
    <t>15 PALLETS STC</t>
  </si>
  <si>
    <t>LEH/LFW/01449</t>
  </si>
  <si>
    <t>DEF AFRIQUE DE L'OUEST</t>
  </si>
  <si>
    <t>LEH/LFW/01452</t>
  </si>
  <si>
    <t>SINOOCEAN GROUP LTD</t>
  </si>
  <si>
    <t>MASTER M/V SARONIC BAY SUPERMARITIME</t>
  </si>
  <si>
    <t>MAN/LFW/00373</t>
  </si>
  <si>
    <t>BENJN R VICKERS &amp; SONS LTD</t>
  </si>
  <si>
    <t>MASTER &amp; OWNERS BAKERLOO TOP MARINE SERVICES OFFSHORE TOGO</t>
  </si>
  <si>
    <t>NBO/LFW/00506</t>
  </si>
  <si>
    <t>EPIROC EASTERN AFRICA LIMITED</t>
  </si>
  <si>
    <t>EPIROC BURKINA FASO SARL</t>
  </si>
  <si>
    <t>NYC/LFW/00007</t>
  </si>
  <si>
    <t>MOUTAWAKIL BELO</t>
  </si>
  <si>
    <t>ZONE FRANCHE INDUSTRIAL</t>
  </si>
  <si>
    <t>PAR/LFW/01454</t>
  </si>
  <si>
    <t>PROMILL SAS</t>
  </si>
  <si>
    <t>PRG/LFW/00002</t>
  </si>
  <si>
    <t>INGERSOLL-RAND INDUSTRIAL</t>
  </si>
  <si>
    <t>PUS/LFW/06397</t>
  </si>
  <si>
    <t>UK KOREA SEA &amp; AIR CO LTD</t>
  </si>
  <si>
    <t>HWANG OG GON PHOTO COMMERCE GENERAL</t>
  </si>
  <si>
    <t>RTM/LFW/00862</t>
  </si>
  <si>
    <t>SHA/LFW/06414</t>
  </si>
  <si>
    <t>MSC ALYSSA</t>
  </si>
  <si>
    <t>AAR/LFW/02112</t>
  </si>
  <si>
    <t>ANR/LFW/06441</t>
  </si>
  <si>
    <t>MICHIELS SA/NV</t>
  </si>
  <si>
    <t>COGEA INTERNATIONAL SA</t>
  </si>
  <si>
    <t>ANR/LFW/06450</t>
  </si>
  <si>
    <t>ATL/LFW/00010</t>
  </si>
  <si>
    <t>US STATE DEPARTMENT C/O ABLE MOVING &amp; STORAGE</t>
  </si>
  <si>
    <t>ATL/LFW/00011</t>
  </si>
  <si>
    <t>LEH/LFW/01459</t>
  </si>
  <si>
    <t>SHANGHAI ZHENHUA HEAVY IND</t>
  </si>
  <si>
    <t>LEH/LFW/01460</t>
  </si>
  <si>
    <t>DEXTER INTERNATIONAL</t>
  </si>
  <si>
    <t>LEH/LFW/01461</t>
  </si>
  <si>
    <t>SETRAFER SA</t>
  </si>
  <si>
    <t>LEH/LFW/01462</t>
  </si>
  <si>
    <t>SUNPAL POWER CO LTD</t>
  </si>
  <si>
    <t>SDE TECHNOLOGIES SARL</t>
  </si>
  <si>
    <t>NAV/LFW/00361</t>
  </si>
  <si>
    <t>PUS/LFW/06420</t>
  </si>
  <si>
    <t>ECORAY CO LTD</t>
  </si>
  <si>
    <t>ETS MAMEX</t>
  </si>
  <si>
    <t>2 WOODEN CASES STC</t>
  </si>
  <si>
    <t>RTM/LFW/00871</t>
  </si>
  <si>
    <t>SPEEDAIR</t>
  </si>
  <si>
    <t>MASTER M/T BONITO</t>
  </si>
  <si>
    <t>MP THE LAW</t>
  </si>
  <si>
    <t>AMD/LFW/00375</t>
  </si>
  <si>
    <t>ASE EXPORTS PRIVATE LIMITED</t>
  </si>
  <si>
    <t>SORETARP SARL</t>
  </si>
  <si>
    <t>200 BOXES STC</t>
  </si>
  <si>
    <t>AMD/LFW/00376</t>
  </si>
  <si>
    <t>SAR INDUSTRIES</t>
  </si>
  <si>
    <t>2 BOXES STC</t>
  </si>
  <si>
    <t>AMD/LFW/00377</t>
  </si>
  <si>
    <t>PERFECT BELTS PRIVATE LIMITED</t>
  </si>
  <si>
    <t>34 BOXES STC</t>
  </si>
  <si>
    <t>ANR/LFW/06434</t>
  </si>
  <si>
    <t>NP GANDOUR</t>
  </si>
  <si>
    <t>7 BUNDLES STC</t>
  </si>
  <si>
    <t>ANR/LFW/06457</t>
  </si>
  <si>
    <t>SAINT GOBAIN PAM</t>
  </si>
  <si>
    <t>LUDWIG PFEIFFER</t>
  </si>
  <si>
    <t>ANR/LFW/06463</t>
  </si>
  <si>
    <t>12 PIECES STC</t>
  </si>
  <si>
    <t>ANR/LFW/06464</t>
  </si>
  <si>
    <t>ANR/LFW/06470</t>
  </si>
  <si>
    <t>ATL/LFW/06471</t>
  </si>
  <si>
    <t>GLOBAL SHIPPING SERVICES LLC</t>
  </si>
  <si>
    <t>NAV/LFW/00363</t>
  </si>
  <si>
    <t>NELION EXPORTS</t>
  </si>
  <si>
    <t>CIM METAL SA</t>
  </si>
  <si>
    <t>RTM/LFW/00874</t>
  </si>
  <si>
    <t>WILHELMSEN SHIPS SERVICE</t>
  </si>
  <si>
    <t>TO THE MASTER OF HUNTER DISEN SHIP SPARES IN TRANSIT</t>
  </si>
  <si>
    <t>RTM/LFW/00876</t>
  </si>
  <si>
    <t>YOVO KODJO</t>
  </si>
  <si>
    <t>RTM/LFW/00877</t>
  </si>
  <si>
    <t>SIN/LFW/00137</t>
  </si>
  <si>
    <t>EASTERN ORIENTAL SINGAPORE PTE LTD</t>
  </si>
  <si>
    <t>BL RSLCL20114404</t>
  </si>
  <si>
    <t>ANR/LFW/06451</t>
  </si>
  <si>
    <t>ANR/LFW/06452</t>
  </si>
  <si>
    <t>1 PARCEL STC</t>
  </si>
  <si>
    <t>ANR/LFW/06453</t>
  </si>
  <si>
    <t>ANR/LFW/06454</t>
  </si>
  <si>
    <t>TILBEX SPRL</t>
  </si>
  <si>
    <t>TILBEX BURKINA SA</t>
  </si>
  <si>
    <t>ANR/LFW/06455</t>
  </si>
  <si>
    <t>ANR/LFW/06456</t>
  </si>
  <si>
    <t>ANR/LFW/06458</t>
  </si>
  <si>
    <t>AUROCHEM LABORATORIES PVT LTD</t>
  </si>
  <si>
    <t>DR ROBERT K KAIZER</t>
  </si>
  <si>
    <t>11 CARTONS STC</t>
  </si>
  <si>
    <t>LEH/LFW/01458</t>
  </si>
  <si>
    <t>ALM RED</t>
  </si>
  <si>
    <t>STIEA SARL</t>
  </si>
  <si>
    <t>LEH/LFW/01465</t>
  </si>
  <si>
    <t>COLOR 36</t>
  </si>
  <si>
    <t>OTR</t>
  </si>
  <si>
    <t>LYS/LFW/01468</t>
  </si>
  <si>
    <t>STRACAU VALVES</t>
  </si>
  <si>
    <t>ECOBA-K</t>
  </si>
  <si>
    <t>NAV/LFW/00357</t>
  </si>
  <si>
    <t>NAV/LFW/00362</t>
  </si>
  <si>
    <t>NAV/LFW/00364</t>
  </si>
  <si>
    <t>NAV/LFW/00368</t>
  </si>
  <si>
    <t>SKYSTAR SHIPPING AGENCIES PVT LTD</t>
  </si>
  <si>
    <t>M/S REDISPHARMA INTERNATIONAL SARLU</t>
  </si>
  <si>
    <t>94 PACKAGES STC</t>
  </si>
  <si>
    <t>PAR/LFW/01466</t>
  </si>
  <si>
    <t>EXPRESS NEGOCE ET SERVICES</t>
  </si>
  <si>
    <t>RTM/LFW/00872</t>
  </si>
  <si>
    <t>RTM/LFW/00873</t>
  </si>
  <si>
    <t>SHA/LFW/06437</t>
  </si>
  <si>
    <t>MSC MELISSA</t>
  </si>
  <si>
    <t>ANR/LFW/01482</t>
  </si>
  <si>
    <t>FIVE PILLARD</t>
  </si>
  <si>
    <t>ANR/LFW/06273</t>
  </si>
  <si>
    <t>MEDI EARTH INTERNATIONAL</t>
  </si>
  <si>
    <t>CHR SOKODE</t>
  </si>
  <si>
    <t>19 COLLIS STC</t>
  </si>
  <si>
    <t>ANR/LFW/06485</t>
  </si>
  <si>
    <t>THYSSENKRUPP INDUSTRIAL SOLUTIONS France SAS</t>
  </si>
  <si>
    <t>ANR/LFW/06487</t>
  </si>
  <si>
    <t>ANR/LFW/06489</t>
  </si>
  <si>
    <t>EQUIPMENTS &amp; SERVICES TOGO SAU</t>
  </si>
  <si>
    <t>ANR/LFW/06490</t>
  </si>
  <si>
    <t>GIVAUDAN INTERNATIONAL AG</t>
  </si>
  <si>
    <t>25 JERRICANS STC</t>
  </si>
  <si>
    <t>ANR/LFW/06491</t>
  </si>
  <si>
    <t>DHL GLOBAL FORWARDING(BELGIUM) NV</t>
  </si>
  <si>
    <t>ANR/LFW/06492</t>
  </si>
  <si>
    <t>3 COLLIS STC</t>
  </si>
  <si>
    <t>ANR/LFW/06494</t>
  </si>
  <si>
    <t>TROPIC INTERPORT SPRL</t>
  </si>
  <si>
    <t>ANR/LFW/06496</t>
  </si>
  <si>
    <t>ANR/LFW/06510</t>
  </si>
  <si>
    <t>LEH/LFW/01472</t>
  </si>
  <si>
    <t>SHANGHAI LEKIN ENTERPRISE CO</t>
  </si>
  <si>
    <t>AKAKPO</t>
  </si>
  <si>
    <t>13 COLLIS STC</t>
  </si>
  <si>
    <t>LEH/LFW/01473</t>
  </si>
  <si>
    <t>LEH/LFW/01476</t>
  </si>
  <si>
    <t>SINO GREAT CRANE TECH BEIJING</t>
  </si>
  <si>
    <t>LEH/LFW/01480</t>
  </si>
  <si>
    <t>NINGBO FENGYA IMP &amp; EXP</t>
  </si>
  <si>
    <t>ETS SMITH INVESTMENT SARL</t>
  </si>
  <si>
    <t>3 CAISSES STC</t>
  </si>
  <si>
    <t>LYS/LFW/01486</t>
  </si>
  <si>
    <t>PAR/LFW/01475</t>
  </si>
  <si>
    <t>SOUDOTEC ABIDJAN</t>
  </si>
  <si>
    <t>RTM/LFW/00884</t>
  </si>
  <si>
    <t>RTM/LFW/00885</t>
  </si>
  <si>
    <t>35 PACKAGES STC</t>
  </si>
  <si>
    <t>RTM/LFW/00886</t>
  </si>
  <si>
    <t>ANR/LFW/01481</t>
  </si>
  <si>
    <t>ALLIOS SAS</t>
  </si>
  <si>
    <t>BOAD</t>
  </si>
  <si>
    <t>LEH/LFW/01487</t>
  </si>
  <si>
    <t>VALSEM INDUSTRIES SAS</t>
  </si>
  <si>
    <t>S/C MCOOP TOGO</t>
  </si>
  <si>
    <t>LYS/LFW/01483</t>
  </si>
  <si>
    <t>SODIMAS SA</t>
  </si>
  <si>
    <t>SODEMA SA</t>
  </si>
  <si>
    <t>MAA/LFW/00373</t>
  </si>
  <si>
    <t>MAN/LFW/00380</t>
  </si>
  <si>
    <t>MV OF TF VICTORIA SHIPS</t>
  </si>
  <si>
    <t>MIL/LFW/01573</t>
  </si>
  <si>
    <t>CIR CONSORZIO</t>
  </si>
  <si>
    <t>MIL/LFW/01578</t>
  </si>
  <si>
    <t>ELAFLEX ITALIA SRL</t>
  </si>
  <si>
    <t>SOTAM TOGO</t>
  </si>
  <si>
    <t>MIL/LFW/01580</t>
  </si>
  <si>
    <t>GROUPE ID</t>
  </si>
  <si>
    <t>MIL/LFW/01581</t>
  </si>
  <si>
    <t>STUCCO ITALIANO SRL</t>
  </si>
  <si>
    <t>RTM/LFW/00889</t>
  </si>
  <si>
    <t>RTM/LFW/00890</t>
  </si>
  <si>
    <t>TXG/LFW/2012090</t>
  </si>
  <si>
    <t>ANR/LFW/06478</t>
  </si>
  <si>
    <t>5 CAISSES STC</t>
  </si>
  <si>
    <t>ANR/LFW/06482</t>
  </si>
  <si>
    <t>ANR/LFW/06483</t>
  </si>
  <si>
    <t>NAV/LFW/00372</t>
  </si>
  <si>
    <t>GLOGE EXPRESS SERVICES PVT LTD</t>
  </si>
  <si>
    <t>RICHARD KOMIVI EDOE</t>
  </si>
  <si>
    <t>NAV/LFW/00374</t>
  </si>
  <si>
    <t>RTM/LFW/00879</t>
  </si>
  <si>
    <t>TOP MARINE SERVICES OFFSHORE TOGO SARL</t>
  </si>
  <si>
    <t>SHANR20019476X</t>
  </si>
  <si>
    <t>SHANR20020418J</t>
  </si>
  <si>
    <t>THE MASTER OF MT BOURNE</t>
  </si>
  <si>
    <t>AAR/LFW/02114</t>
  </si>
  <si>
    <t>BUNKER ONE A/S</t>
  </si>
  <si>
    <t>THE MASTER OF MT DUKE C/O</t>
  </si>
  <si>
    <t>ANR/LFW/06462</t>
  </si>
  <si>
    <t>ANR/LFW/06467</t>
  </si>
  <si>
    <t>NORD REDUCTEURS</t>
  </si>
  <si>
    <t>ANR/LFW/06469</t>
  </si>
  <si>
    <t>ANR/LFW/06474</t>
  </si>
  <si>
    <t>ANR/LFW/06476</t>
  </si>
  <si>
    <t>ANR/LFW/06479</t>
  </si>
  <si>
    <t>LEGHORN-PERFRA</t>
  </si>
  <si>
    <t>ANR/LFW/06480</t>
  </si>
  <si>
    <t>HAM/LFW/00288</t>
  </si>
  <si>
    <t>PLANMED OY</t>
  </si>
  <si>
    <t>BABEL HA SARL</t>
  </si>
  <si>
    <t>KHH/LFW/2012014</t>
  </si>
  <si>
    <t>CHAO WEI PLASTIC MACHINERY CO LTD</t>
  </si>
  <si>
    <t>LEH/LFW/01474</t>
  </si>
  <si>
    <t>LS13TJ2012058</t>
  </si>
  <si>
    <t>MRS/LFW/01471</t>
  </si>
  <si>
    <t>SA SOCIETE NOUVELLE DU LITTORAL</t>
  </si>
  <si>
    <t>RTM/LFW/00880</t>
  </si>
  <si>
    <t>SNAIGE SARL</t>
  </si>
  <si>
    <t>SHANR20018993Q</t>
  </si>
  <si>
    <t>SZP/LFW/00517</t>
  </si>
  <si>
    <t>ESL LOGISTIC SERVICES(SHENZHEN) LTD</t>
  </si>
  <si>
    <t>TO ORDER OF HOLDER OF ORIGINAL BL SZLOME2012001</t>
  </si>
  <si>
    <t>TKL/LFW/00370</t>
  </si>
  <si>
    <t>M/S NSN BIOTECH(PVT) LIMITED</t>
  </si>
  <si>
    <t>ACCORD PHARMA SARL</t>
  </si>
  <si>
    <t>XIC/LFW/00881</t>
  </si>
  <si>
    <t>ANR/LFW/06517</t>
  </si>
  <si>
    <t>ANR/LFW/06520</t>
  </si>
  <si>
    <t>PANPHARMA GMBH</t>
  </si>
  <si>
    <t>ANR/LFW/06523</t>
  </si>
  <si>
    <t>LEH/LFW/01501</t>
  </si>
  <si>
    <t>BALGUERIE SAS</t>
  </si>
  <si>
    <t>AWESSO PALAKIYEME</t>
  </si>
  <si>
    <t>LEH/LFW/01503</t>
  </si>
  <si>
    <t>LEH/LFW/01505</t>
  </si>
  <si>
    <t>BABCOCK WANSON</t>
  </si>
  <si>
    <t>LON/LFW/00378</t>
  </si>
  <si>
    <t>LYS/LFW/01504</t>
  </si>
  <si>
    <t>HAULOTTE SERVICES</t>
  </si>
  <si>
    <t>MRS/LFW/01506</t>
  </si>
  <si>
    <t>EGH SAS</t>
  </si>
  <si>
    <t>RTM/LFW/00892</t>
  </si>
  <si>
    <t>RTM/LFW/00894</t>
  </si>
  <si>
    <t>RTM/LFW/00897</t>
  </si>
  <si>
    <t>45 CARTONS STC</t>
  </si>
  <si>
    <t>MSC KRYSTAL</t>
  </si>
  <si>
    <t>ANR/LFW/01488</t>
  </si>
  <si>
    <t>STE TOGOLAISE D'ENTREPOSAGE</t>
  </si>
  <si>
    <t>ANR/LFW/06500</t>
  </si>
  <si>
    <t>ANR/LFW/06502</t>
  </si>
  <si>
    <t>MAGOTTEAUX(PTY) LTD</t>
  </si>
  <si>
    <t>ANR/LFW/06505</t>
  </si>
  <si>
    <t>CABLERIES NAMUROISES</t>
  </si>
  <si>
    <t>LOCAMAT SARL</t>
  </si>
  <si>
    <t>ANR/LFW/06507</t>
  </si>
  <si>
    <t>BHX/LFW/00383</t>
  </si>
  <si>
    <t>PELGAR INTERNATIONAL LIMITED</t>
  </si>
  <si>
    <t>NO PEST INTERNATIONAL SARL</t>
  </si>
  <si>
    <t>HYD/LFW/00384</t>
  </si>
  <si>
    <t>BLEND COLOURS PVT LTD</t>
  </si>
  <si>
    <t>LEH/LFW/01492</t>
  </si>
  <si>
    <t>XI AN LUCKY CLOVER BIOTECH CO</t>
  </si>
  <si>
    <t>LEH/LFW/01493</t>
  </si>
  <si>
    <t>TECHNICAL DEPARTMENT</t>
  </si>
  <si>
    <t>LON/LFW/00382</t>
  </si>
  <si>
    <t>FENDERCARE MARINE</t>
  </si>
  <si>
    <t>MV DUTCH BLUE CO OMA LOGISTICS</t>
  </si>
  <si>
    <t>MAN/LFW/00381</t>
  </si>
  <si>
    <t>MIL/LFW/01585</t>
  </si>
  <si>
    <t>CA-MI SRL</t>
  </si>
  <si>
    <t>MIL/LFW/01586</t>
  </si>
  <si>
    <t>CROATIA PUMPE NOVA</t>
  </si>
  <si>
    <t>THE OWNERS / MASTER OF HARCOURT SHIP SPARES IN TRANSIT</t>
  </si>
  <si>
    <t>MIL/LFW/01588</t>
  </si>
  <si>
    <t>MK-MUSTAFA AHMED</t>
  </si>
  <si>
    <t>MRS/LFW/01497</t>
  </si>
  <si>
    <t>MAKEEN ENERGY France</t>
  </si>
  <si>
    <t>MTR/LFW/00637</t>
  </si>
  <si>
    <t>CBIE</t>
  </si>
  <si>
    <t>MOUSSA EL S ABOUDERMANI</t>
  </si>
  <si>
    <t>1 SKID STC</t>
  </si>
  <si>
    <t>NAV/LFW/00379</t>
  </si>
  <si>
    <t>NAY/TGLFW/261655</t>
  </si>
  <si>
    <t>RTM/LFW/00883</t>
  </si>
  <si>
    <t>IDA FOUDATION</t>
  </si>
  <si>
    <t>UNFPA TOGO</t>
  </si>
  <si>
    <t>RTM/LFW/00888</t>
  </si>
  <si>
    <t>LEON SHIPPING AND TRADING SA</t>
  </si>
  <si>
    <t>THE MASTER OF MT LEON HERC</t>
  </si>
  <si>
    <t>RTM/LFW/00891</t>
  </si>
  <si>
    <t>SHANR21000370E</t>
  </si>
  <si>
    <t>TXG/LFW/21011049</t>
  </si>
  <si>
    <t>SUMA PLASTIC MACHINERY CO LTD</t>
  </si>
  <si>
    <t>ANR/LFW/06498</t>
  </si>
  <si>
    <t>ANR/LFW/06499</t>
  </si>
  <si>
    <t>DEVEXPORT SAS</t>
  </si>
  <si>
    <t>HKG/LFW/12752</t>
  </si>
  <si>
    <t>MIL/LFW/01577</t>
  </si>
  <si>
    <t>INTERNATIONAL GLOBAL TECHNOLOGY SARLU</t>
  </si>
  <si>
    <t>MIL/LFW/06501</t>
  </si>
  <si>
    <t>MRS/LFW/01489</t>
  </si>
  <si>
    <t>RDT P/C EUROSORB</t>
  </si>
  <si>
    <t>BOLUDA LOME</t>
  </si>
  <si>
    <t>TKL/LFW/00371</t>
  </si>
  <si>
    <t>EQEER</t>
  </si>
  <si>
    <t>19 PIECES STB</t>
  </si>
  <si>
    <t>UKB/LFW/00125</t>
  </si>
  <si>
    <t>1-4-1 JOKOJI AMAGASAKI</t>
  </si>
  <si>
    <t>SHIPPING COMPANY TOGO SA</t>
  </si>
  <si>
    <t>ANR/LFW/06524</t>
  </si>
  <si>
    <t>JDJ SPOLKA Z</t>
  </si>
  <si>
    <t>ANR/LFW/06525</t>
  </si>
  <si>
    <t>ANR/LFW/06526</t>
  </si>
  <si>
    <t>SOLERGIE NV BUSINESS CENTER</t>
  </si>
  <si>
    <t>SOLERGIE SARLU</t>
  </si>
  <si>
    <t>ANR/LFW/06528</t>
  </si>
  <si>
    <t>LYS/LFW/011510</t>
  </si>
  <si>
    <t>METAL DEPLOYE RESISTOR</t>
  </si>
  <si>
    <t>MIL/LFW/01593</t>
  </si>
  <si>
    <t>TRAMBUSTI SRL</t>
  </si>
  <si>
    <t>NOUVELLE TECHNOLOGIE ELECTRIQUE</t>
  </si>
  <si>
    <t>MIL/LFW/01595</t>
  </si>
  <si>
    <t>CEVA FREIGHT ITALY SRL</t>
  </si>
  <si>
    <t>MIL/LFW/01597</t>
  </si>
  <si>
    <t>GRUPPO SAN</t>
  </si>
  <si>
    <t>ASSOCIATION SO TES-TOGO S/C TCHAPO ALLASSAN</t>
  </si>
  <si>
    <t>MIL/LFW/01511</t>
  </si>
  <si>
    <t>MRS/LFW/01513</t>
  </si>
  <si>
    <t>HYDREX INTERNATIONAL</t>
  </si>
  <si>
    <t>TEXMED STERIPHARM TOGO</t>
  </si>
  <si>
    <t>ANR/LFW/06539</t>
  </si>
  <si>
    <t>DEVEL+</t>
  </si>
  <si>
    <t>AZON GUILLAUME JULIEN</t>
  </si>
  <si>
    <t>ANR/LFW/06540</t>
  </si>
  <si>
    <t>ANR/LFW/06541</t>
  </si>
  <si>
    <t>32 PACKAGES STC</t>
  </si>
  <si>
    <t>ANR/LFW/06544</t>
  </si>
  <si>
    <t>DIMEXCO INTERNATIONAL SPRL</t>
  </si>
  <si>
    <t>ANR/LFW/06545</t>
  </si>
  <si>
    <t>ATLAS COPCO AIRPOWER NV</t>
  </si>
  <si>
    <t>SANOL GAS</t>
  </si>
  <si>
    <t>ANR/LFW/06547</t>
  </si>
  <si>
    <t>NAV/LFW/00390</t>
  </si>
  <si>
    <t>NAV/LFW/00394</t>
  </si>
  <si>
    <t>PGR INDUTRIAL CONSULTANTS</t>
  </si>
  <si>
    <t>ANR/LFW/02119</t>
  </si>
  <si>
    <t>ANR/LFW/06536</t>
  </si>
  <si>
    <t>ANR/LFW/06537</t>
  </si>
  <si>
    <t>ANR/LFW/06538</t>
  </si>
  <si>
    <t>PROVULCO</t>
  </si>
  <si>
    <t>ANR/LFW/06543</t>
  </si>
  <si>
    <t>HENAN XUANHUA IMP &amp; EXP TRADING CO LTD</t>
  </si>
  <si>
    <t>COMPANY NAME LE ROI DU LAIT</t>
  </si>
  <si>
    <t>LEH/LFW/01514</t>
  </si>
  <si>
    <t>OCDI</t>
  </si>
  <si>
    <t>MIL/LFW/01599</t>
  </si>
  <si>
    <t>FOSCARIN GROUP SPA</t>
  </si>
  <si>
    <t>INOVA TOGO</t>
  </si>
  <si>
    <t>MIL/LFW/01600</t>
  </si>
  <si>
    <t>FCL MARINE AGENCIES ITALY</t>
  </si>
  <si>
    <t>NAV/LFW/00389</t>
  </si>
  <si>
    <t>SKIPPERSEIL LTD</t>
  </si>
  <si>
    <t>COMPAGNIE ENERGIE ELECTRIQUE DU TOGO(CEET)</t>
  </si>
  <si>
    <t>NAV/LFW/00401</t>
  </si>
  <si>
    <t>TKL/LFW/00391</t>
  </si>
  <si>
    <t>SACHEEROME PRIVATE LIMITED</t>
  </si>
  <si>
    <t>MEGABAR TOGO SARL</t>
  </si>
  <si>
    <t>10 BOXES STC</t>
  </si>
  <si>
    <t>ANR/LFW/01512</t>
  </si>
  <si>
    <t>ANR/LFW/06529</t>
  </si>
  <si>
    <t>ANR/LFW/06531</t>
  </si>
  <si>
    <t>ANR/LFW/06532</t>
  </si>
  <si>
    <t>GEBRUDER WEISS GMBH</t>
  </si>
  <si>
    <t>OIL &amp; MARINE AGENCIES</t>
  </si>
  <si>
    <t>ANR/LFW/06534</t>
  </si>
  <si>
    <t>FRANKLIN FUELING SYSTEMS GMBH</t>
  </si>
  <si>
    <t>BLR/LFW/00395</t>
  </si>
  <si>
    <t>MICRO LABS LIMITED</t>
  </si>
  <si>
    <t>M/S GRAABEL PHARMA TOGO</t>
  </si>
  <si>
    <t>HAM/LFW/00289</t>
  </si>
  <si>
    <t>DANMAR LINES LIMITED C/O</t>
  </si>
  <si>
    <t>SOCIETE DES ROUTES ET DE BATIMENTS</t>
  </si>
  <si>
    <t>HAM/LFW/00290</t>
  </si>
  <si>
    <t>JOSEF OTTEN GMBH &amp; CO KG</t>
  </si>
  <si>
    <t>CMA</t>
  </si>
  <si>
    <t>HAM/LFW/00291</t>
  </si>
  <si>
    <t>DOUMBOUYA MAMADY</t>
  </si>
  <si>
    <t>IST/LFW/00015</t>
  </si>
  <si>
    <t>KSB POMPA ARMATUR</t>
  </si>
  <si>
    <t>ECM SARL</t>
  </si>
  <si>
    <t>KHH/LFW/06514</t>
  </si>
  <si>
    <t>3 WOODEN CASE STC</t>
  </si>
  <si>
    <t>LAX/LFW/00016</t>
  </si>
  <si>
    <t>AIRGROUP(SAN)</t>
  </si>
  <si>
    <t>SKY FREIGHT &amp; LOGISTICS TOGO SRL</t>
  </si>
  <si>
    <t>LAX/LFW/06522</t>
  </si>
  <si>
    <t>ALLSTATES LOGISTICS</t>
  </si>
  <si>
    <t>ATLAS SERVICES</t>
  </si>
  <si>
    <t>LEH/LFW/01500</t>
  </si>
  <si>
    <t>LEH/LFW/01508</t>
  </si>
  <si>
    <t>NAV/LFW/00385</t>
  </si>
  <si>
    <t>FREIGHT SYSTEMS(INDIA) PVT LTD</t>
  </si>
  <si>
    <t>NOUVELLE SOTOTOLES SA</t>
  </si>
  <si>
    <t>NAV/LFW/00386</t>
  </si>
  <si>
    <t>THE OWNERS / MASTER OF ASM SHIP SPARES IN TRANSIT</t>
  </si>
  <si>
    <t>NAV/LFW/00393</t>
  </si>
  <si>
    <t>ALICE PHARMA PVT LTD</t>
  </si>
  <si>
    <t>REPROPHARMA</t>
  </si>
  <si>
    <t>NAV/LFW/00396</t>
  </si>
  <si>
    <t>LOHIA CORP LIMITED</t>
  </si>
  <si>
    <t>STP SARLU</t>
  </si>
  <si>
    <t>NAV/LFW/00399</t>
  </si>
  <si>
    <t>TKL/LFW/00387</t>
  </si>
  <si>
    <t>R S OVERSEAS</t>
  </si>
  <si>
    <t>SOCIETE SAINT GOTT SARL</t>
  </si>
  <si>
    <t>TUT/LFW/06521</t>
  </si>
  <si>
    <t>SREE RAM TUBEWELL</t>
  </si>
  <si>
    <t>ALLASSANE IBRAHIM</t>
  </si>
  <si>
    <t>XIC/LFW/06519</t>
  </si>
  <si>
    <t>ANR/LFW/06575</t>
  </si>
  <si>
    <t>BCN/LFW/00361</t>
  </si>
  <si>
    <t>COMODALITY SPAIN SL</t>
  </si>
  <si>
    <t>W&amp;S PRIVILEGE IMPORT SARL</t>
  </si>
  <si>
    <t>BOS/LFW/00021</t>
  </si>
  <si>
    <t>WORLD WIDE OF NEW ENGLAND LLC</t>
  </si>
  <si>
    <t>STE EVAME SARL</t>
  </si>
  <si>
    <t>12 CARTONS STC</t>
  </si>
  <si>
    <t>HAM/LFW/00292</t>
  </si>
  <si>
    <t>LON/LFW/00391</t>
  </si>
  <si>
    <t>LINX P/C DIFCO France</t>
  </si>
  <si>
    <t>LON/LFW/00394</t>
  </si>
  <si>
    <t>COWLING &amp; PAYNE</t>
  </si>
  <si>
    <t>MAYTN TROTMAN</t>
  </si>
  <si>
    <t>MIL/LFW/01613</t>
  </si>
  <si>
    <t>BOLLORE LOGISTICS ITALY SPA</t>
  </si>
  <si>
    <t>MIL/LFW/01617</t>
  </si>
  <si>
    <t>LYNX INTERNATIONAL SASU</t>
  </si>
  <si>
    <t>RTM/LFW/00905</t>
  </si>
  <si>
    <t>SHA/LFW/06546</t>
  </si>
  <si>
    <t>3 CARTONS STC</t>
  </si>
  <si>
    <t>ANR/LFW/06578</t>
  </si>
  <si>
    <t>ANR/LFW/06565</t>
  </si>
  <si>
    <t>LES TONTONS SARL</t>
  </si>
  <si>
    <t>ANR/LFW/06567</t>
  </si>
  <si>
    <t>13 PALLETS STC</t>
  </si>
  <si>
    <t>ANR/LFW/06569</t>
  </si>
  <si>
    <t>SMT ANTWERP SA/NV</t>
  </si>
  <si>
    <t>ANR/LFW/06570</t>
  </si>
  <si>
    <t>DPS DAFRA PHARMA GMBH</t>
  </si>
  <si>
    <t>ANR/LFW/06572</t>
  </si>
  <si>
    <t>LEH/LFW/01527</t>
  </si>
  <si>
    <t>TOTAL BURKINA SA</t>
  </si>
  <si>
    <t>NAV/LFW/00407</t>
  </si>
  <si>
    <t>5 CASES STC</t>
  </si>
  <si>
    <t>NAV/LFW/00408</t>
  </si>
  <si>
    <t>38 PACKAGES STC</t>
  </si>
  <si>
    <t>RTM/LFW/00409</t>
  </si>
  <si>
    <t>ANR/LFW/06566</t>
  </si>
  <si>
    <t>12 PALLETS STC</t>
  </si>
  <si>
    <t>ANR/LFW/06568</t>
  </si>
  <si>
    <t>CTP LOGISTIC GMBH</t>
  </si>
  <si>
    <t>ZOURKOULAINI TAHIROU</t>
  </si>
  <si>
    <t>BRS/LFW/00389</t>
  </si>
  <si>
    <t>MOTIVATION DIRECT</t>
  </si>
  <si>
    <t>ONG INTERNATIONALE OADCPH</t>
  </si>
  <si>
    <t>LEH/LFW/01526</t>
  </si>
  <si>
    <t>VYGON</t>
  </si>
  <si>
    <t>DISPOMED SARL</t>
  </si>
  <si>
    <t>MAN/LFW/00388</t>
  </si>
  <si>
    <t>THE OWNERS / MASTER OF TF VICTORIA</t>
  </si>
  <si>
    <t>MIL/LFW/01606</t>
  </si>
  <si>
    <t>10 PALLETS STC</t>
  </si>
  <si>
    <t>MIL/LFW/01609</t>
  </si>
  <si>
    <t>ENCELEC P/C NOSITO SARL</t>
  </si>
  <si>
    <t>MRS/LFW/01525</t>
  </si>
  <si>
    <t>SASU OCEANE PRODUCTION</t>
  </si>
  <si>
    <t>RTM/LFW/00902</t>
  </si>
  <si>
    <t>2 CARTONS CASES</t>
  </si>
  <si>
    <t>TAO/LFW/00135</t>
  </si>
  <si>
    <t>2 ROLLS STC</t>
  </si>
  <si>
    <t>TKL/LFW/00403</t>
  </si>
  <si>
    <t>MAURIA UDYOG LIMITED</t>
  </si>
  <si>
    <t>SODIGAZ TOGO SA</t>
  </si>
  <si>
    <t>ANR/LFW/06554</t>
  </si>
  <si>
    <t>ORGANISATION INTERNATIONALE DE PROTECTION CIVILE(OIPC)</t>
  </si>
  <si>
    <t>DEPOT REGIONAL OIPC</t>
  </si>
  <si>
    <t>11 PALLETS STC</t>
  </si>
  <si>
    <t>ANR/LFW/06556</t>
  </si>
  <si>
    <t>TRANSAUTOMOBILE SA</t>
  </si>
  <si>
    <t>IS AFRIC</t>
  </si>
  <si>
    <t>ANR/LFW/06559</t>
  </si>
  <si>
    <t>LEH/LFW/01522</t>
  </si>
  <si>
    <t>GSN SEMENCES</t>
  </si>
  <si>
    <t>MRS/LFW/01502</t>
  </si>
  <si>
    <t>RHODANIENNE DE TRANSIT</t>
  </si>
  <si>
    <t>NAV/LFW/00402</t>
  </si>
  <si>
    <t>RTM/LFW/00901</t>
  </si>
  <si>
    <t>KOSTER KEUNEN HOLLAND BV</t>
  </si>
  <si>
    <t>KOSTER KEUNEN WEST AFRICA</t>
  </si>
  <si>
    <t>ANR/LFW/06584</t>
  </si>
  <si>
    <t>5 ONE WAY PALLETS STC</t>
  </si>
  <si>
    <t>ANR/LFW/06587</t>
  </si>
  <si>
    <t>ANR/LFW/06588</t>
  </si>
  <si>
    <t>LYS/LFW/01530</t>
  </si>
  <si>
    <t>STEPHANIX</t>
  </si>
  <si>
    <t>POLE DE MAINTENANCE BIOMEDICALE</t>
  </si>
  <si>
    <t>MRS/LFW/01540</t>
  </si>
  <si>
    <t>MRS/LFW/01541</t>
  </si>
  <si>
    <t>RTM/LFW/00916</t>
  </si>
  <si>
    <t>MSC SARISKA</t>
  </si>
  <si>
    <t>ANR/LFW/01618</t>
  </si>
  <si>
    <t>ETS GATEC CONSULTING</t>
  </si>
  <si>
    <t>ANR/LFW/06573</t>
  </si>
  <si>
    <t xml:space="preserve">REMA TIP TOP AFRIQUE(PTY) LTD </t>
  </si>
  <si>
    <t>PRO-LIAINS SERVICES</t>
  </si>
  <si>
    <t>ANR/LFW/06581</t>
  </si>
  <si>
    <t>ANR/LFW/06582</t>
  </si>
  <si>
    <t>ANR/LFW/06583</t>
  </si>
  <si>
    <t>ANR/LFW/06585</t>
  </si>
  <si>
    <t>HAEFELE SE &amp; CO KG</t>
  </si>
  <si>
    <t>LEH/LFW/01537</t>
  </si>
  <si>
    <t>TRANS INDUSTRIAL DEVELOPMENT(SHANGHAI)</t>
  </si>
  <si>
    <t>MIL/LFW/01610</t>
  </si>
  <si>
    <t>MRS/LFW/01532</t>
  </si>
  <si>
    <t>TUBESCA-COMABI</t>
  </si>
  <si>
    <t>FAMETO</t>
  </si>
  <si>
    <t>MRS/LFW/01533</t>
  </si>
  <si>
    <t>MRS/LFW/00912</t>
  </si>
  <si>
    <t>DUTCH AUTO PARTS</t>
  </si>
  <si>
    <t>LALWANI MANESH</t>
  </si>
  <si>
    <t>MRS/LFW/00913</t>
  </si>
  <si>
    <t>MRS/LFW/00914</t>
  </si>
  <si>
    <t>ANR/LFW/06576</t>
  </si>
  <si>
    <t>ANR/LFW/06577</t>
  </si>
  <si>
    <t>NEXANS France</t>
  </si>
  <si>
    <t>ANR/LFW/06579</t>
  </si>
  <si>
    <t>ANR/LFW/06580</t>
  </si>
  <si>
    <t>ANR/LFW/01615</t>
  </si>
  <si>
    <t>ANR/LFW/01528</t>
  </si>
  <si>
    <t>BANQUE ATLANTIQUE TOGO</t>
  </si>
  <si>
    <t>MRS/LFW/01531</t>
  </si>
  <si>
    <t>EDISER</t>
  </si>
  <si>
    <t>CAS EQUIPEMENT</t>
  </si>
  <si>
    <t>NAV/LFW/00409</t>
  </si>
  <si>
    <t>RYDER SHIPPING LINES PRIVATE LIMITED</t>
  </si>
  <si>
    <t>ATITSOGBE KOSSI</t>
  </si>
  <si>
    <t>14 BOXES STC</t>
  </si>
  <si>
    <t>NAV/LFW/00410</t>
  </si>
  <si>
    <t>PAR/LFW/01529</t>
  </si>
  <si>
    <t>TECH DATA P/C</t>
  </si>
  <si>
    <t>ANR/LFW/06612</t>
  </si>
  <si>
    <t>1 PLASTIC PALLET</t>
  </si>
  <si>
    <t>ANR/LFW/06614</t>
  </si>
  <si>
    <t>ANR/LFW/06618</t>
  </si>
  <si>
    <t>ATL/LFW/00027</t>
  </si>
  <si>
    <t>LEH/LFW/01557</t>
  </si>
  <si>
    <t>SUEZ INTERNATIONAL</t>
  </si>
  <si>
    <t>CORIS BANK INTERNATIONAL SA</t>
  </si>
  <si>
    <t>LHR/LFW/00396</t>
  </si>
  <si>
    <t>LYS/LFW/01556</t>
  </si>
  <si>
    <t>LYS/LFW/01558</t>
  </si>
  <si>
    <t>LYS/LFW/01559</t>
  </si>
  <si>
    <t>MIL/LFW/01635</t>
  </si>
  <si>
    <t>MIL/LFW/01637</t>
  </si>
  <si>
    <t>MTR/LFW/00639</t>
  </si>
  <si>
    <t>HYDR-O-SERVICE INTERNATIONAL INC</t>
  </si>
  <si>
    <t>3 SKIDS STC</t>
  </si>
  <si>
    <t>NAV/LFW/00425</t>
  </si>
  <si>
    <t>SHA/LFW/06605</t>
  </si>
  <si>
    <t>FLSMIDTH LIMITED</t>
  </si>
  <si>
    <t>SHA/LFW/06606</t>
  </si>
  <si>
    <t>AAR/LFW/03120</t>
  </si>
  <si>
    <t>ANR/LFW/06608</t>
  </si>
  <si>
    <t>ANR/LFW/06609</t>
  </si>
  <si>
    <t>ANR/LFW/06611</t>
  </si>
  <si>
    <t>15 PACKAGES STC</t>
  </si>
  <si>
    <t>M DALMEIDA</t>
  </si>
  <si>
    <t>CIS AFRICA</t>
  </si>
  <si>
    <t>TMS OFFSHORE</t>
  </si>
  <si>
    <t>LHR/LFW/00395</t>
  </si>
  <si>
    <t>LYS/LFW/01554</t>
  </si>
  <si>
    <t>MIA/LFW/00025</t>
  </si>
  <si>
    <t>INTERNATIONAL BEAUTY EXCHANGE</t>
  </si>
  <si>
    <t>ETS QUEEN BEAUTY</t>
  </si>
  <si>
    <t>MRS/LFW/01552</t>
  </si>
  <si>
    <t>NAV/LFW/00420</t>
  </si>
  <si>
    <t>CLASQUIN INDIA PVT LTD</t>
  </si>
  <si>
    <t>ACKEY A KOMI</t>
  </si>
  <si>
    <t>NAV/LFW/00421</t>
  </si>
  <si>
    <t>NAV/LFW/00423</t>
  </si>
  <si>
    <t>TILL &amp; YIELD EXPORTS PRIVATE LIMITED</t>
  </si>
  <si>
    <t>PAMELA AGLOH</t>
  </si>
  <si>
    <t>TKL/LFW/00415</t>
  </si>
  <si>
    <t>IMPACT HEALTHCARE PRIVATE LIMITED</t>
  </si>
  <si>
    <t>SOTOMED SOCIETE TOGOLAISE DE MEDICAMENTS SA</t>
  </si>
  <si>
    <t>TKL/LFW/00417</t>
  </si>
  <si>
    <t>LABELPHARMA</t>
  </si>
  <si>
    <t>ANR/LFW/06593</t>
  </si>
  <si>
    <t>ZINGAMETALL BV</t>
  </si>
  <si>
    <t>SOMECO-CENTRE DE SOUDAGE METALLIQUE ET CO</t>
  </si>
  <si>
    <t>ANR/LFW/06596</t>
  </si>
  <si>
    <t>ANR/LFW/06599</t>
  </si>
  <si>
    <t>ANR/LFW/06600</t>
  </si>
  <si>
    <t>BKK/LFW/00007</t>
  </si>
  <si>
    <t>EITOKU TRADING CO LTD</t>
  </si>
  <si>
    <t>CHINA ROAD &amp; BRIDGE CORPORATION</t>
  </si>
  <si>
    <t>LEH/LFW/01549</t>
  </si>
  <si>
    <t>STSL</t>
  </si>
  <si>
    <t>LEH/LFW/01551</t>
  </si>
  <si>
    <t>HANGZHOU CHINCAN TRADING CO</t>
  </si>
  <si>
    <t>TM LABORATOIRES</t>
  </si>
  <si>
    <t>MIL/LFW/01624</t>
  </si>
  <si>
    <t>MIL/LFW/01625</t>
  </si>
  <si>
    <t>MIL/LFW/01629</t>
  </si>
  <si>
    <t>MIL/LFW/01631</t>
  </si>
  <si>
    <t>CARITAS TARVISINA</t>
  </si>
  <si>
    <t>OCDI CARITAS KARA</t>
  </si>
  <si>
    <t>MIL/LFW/01633</t>
  </si>
  <si>
    <t>ALTAMIRA SARL</t>
  </si>
  <si>
    <t>KUTODZO-ETS OPAKOU</t>
  </si>
  <si>
    <t>MRS/LFW/01547</t>
  </si>
  <si>
    <t>LIEBHERR-EXPORT AG</t>
  </si>
  <si>
    <t>OSA/LFW/00128</t>
  </si>
  <si>
    <t>YANMAR POWER TECHNOLOGY CO LTD</t>
  </si>
  <si>
    <t>MASTER M/V NIPAYIA SPARE PARTS IN TRANSIT</t>
  </si>
  <si>
    <t>RTM/LFW/00917</t>
  </si>
  <si>
    <t>ANR/LFW/06594</t>
  </si>
  <si>
    <t>ANR/LFW/06595</t>
  </si>
  <si>
    <t>CHI/LFW/00022</t>
  </si>
  <si>
    <t>DORIAN DRAKE INTERNATIONAL INC</t>
  </si>
  <si>
    <t>3 PIECES STC</t>
  </si>
  <si>
    <t>KHH/LFW/06574</t>
  </si>
  <si>
    <t>TRANSPAK EQUIPMENT CORPORATION</t>
  </si>
  <si>
    <t>MIC-ANN OR LTD</t>
  </si>
  <si>
    <t>LEH/LFW/01542</t>
  </si>
  <si>
    <t>LEH/LFW/01545</t>
  </si>
  <si>
    <t>SHANGHAI RUNYUE INDUSTRIAL DEVELOPMENT CO</t>
  </si>
  <si>
    <t>DIWA INTERNATIONAL</t>
  </si>
  <si>
    <t>TKL/LFW/00411</t>
  </si>
  <si>
    <t>CONTINENTAL CARRIERS PVT LTD</t>
  </si>
  <si>
    <t>INTERLINES TRANSPORT MANAGEMENT SAS</t>
  </si>
  <si>
    <t>XIC/LFW/06551</t>
  </si>
  <si>
    <t>ANR/LFW/01611</t>
  </si>
  <si>
    <t>RIEGELE-LOGISTIKZENTR UM</t>
  </si>
  <si>
    <t>ANR/LFW/06589</t>
  </si>
  <si>
    <t>ANR/LFW/06591</t>
  </si>
  <si>
    <t>ANR/LFW/06592</t>
  </si>
  <si>
    <t>INDUPLAST</t>
  </si>
  <si>
    <t>LEH/LFW/01534</t>
  </si>
  <si>
    <t>CALADAIR</t>
  </si>
  <si>
    <t>LEH/LFW/01536</t>
  </si>
  <si>
    <t>WEG (JIANGSU) ELECTRIC EQUIPMENT CO</t>
  </si>
  <si>
    <t>GEMCO SARL</t>
  </si>
  <si>
    <t>LON/LFW/00392</t>
  </si>
  <si>
    <t>LYS/LFW/01543</t>
  </si>
  <si>
    <t>EKYMOS</t>
  </si>
  <si>
    <t>BANQUE OUEST AFRICAINE DE DEVELOPPEMENT</t>
  </si>
  <si>
    <t>MIL/LFW/01621</t>
  </si>
  <si>
    <t>MIL/LFW/01622</t>
  </si>
  <si>
    <t>MRS/LFW/01539</t>
  </si>
  <si>
    <t>ALTEIA</t>
  </si>
  <si>
    <t>MSC SHAULA</t>
  </si>
  <si>
    <t>ANR/LFW/01567</t>
  </si>
  <si>
    <t>SOCIETE NOUVELLE DU LITTORAL</t>
  </si>
  <si>
    <t>ANR/LFW/06629</t>
  </si>
  <si>
    <t>EQUIPMENT &amp; SERVICE BIA</t>
  </si>
  <si>
    <t>ATL/LFW/00028</t>
  </si>
  <si>
    <t>LYS/LFW/01568</t>
  </si>
  <si>
    <t>NAV/LFW/00418</t>
  </si>
  <si>
    <t>RTM/LFW/00925</t>
  </si>
  <si>
    <t>RTM/LFW/00927</t>
  </si>
  <si>
    <t>SIN/LFW/00138</t>
  </si>
  <si>
    <t>SERVICES MACHINERY AND TRUCKS (MAURICE) LTD</t>
  </si>
  <si>
    <t>ANR/LFW/06622</t>
  </si>
  <si>
    <t>GEODIS FF BELGIUM</t>
  </si>
  <si>
    <t>GEODIS TOGO</t>
  </si>
  <si>
    <t>ANR/LFW/06624</t>
  </si>
  <si>
    <t>ANR/LFW/06626</t>
  </si>
  <si>
    <t>F1-TRADE-GMBH</t>
  </si>
  <si>
    <t>GROUPE YOUNGO</t>
  </si>
  <si>
    <t>LEH/LFW/01562</t>
  </si>
  <si>
    <t>LEH/LFW/01563</t>
  </si>
  <si>
    <t>CARLO ERBA</t>
  </si>
  <si>
    <t>AGRI LAB SARL</t>
  </si>
  <si>
    <t>LYS/LFW/01569</t>
  </si>
  <si>
    <t>MIL/LFW/01639</t>
  </si>
  <si>
    <t>MPS EUROPE SRL</t>
  </si>
  <si>
    <t>PISA IMPEX TOGO SA</t>
  </si>
  <si>
    <t>MIL/LFW/01641</t>
  </si>
  <si>
    <t>MIL/LFW/01643</t>
  </si>
  <si>
    <t>JAS AS AGENT FOR BLUE WORLD LINE</t>
  </si>
  <si>
    <t>MRS/LFW/01564</t>
  </si>
  <si>
    <t>BOREL France SAS</t>
  </si>
  <si>
    <t>MRS/LFW/01566</t>
  </si>
  <si>
    <t>BLG INTERNATIONAL</t>
  </si>
  <si>
    <t>POLY-PACK SA</t>
  </si>
  <si>
    <t>NGB/LFW/08938</t>
  </si>
  <si>
    <t>PAR/LFW/01565</t>
  </si>
  <si>
    <t>SIRECCI</t>
  </si>
  <si>
    <t>LIEUTENANT COLONEL SIGNA</t>
  </si>
  <si>
    <t>ANR/LFW/06613</t>
  </si>
  <si>
    <t>PERIMENIS ELECTRICAL SERVICES</t>
  </si>
  <si>
    <t>MASTER OF M/V MSC FLORIANA C/O MSC TOGO SA</t>
  </si>
  <si>
    <t>ANR/LFW/06615</t>
  </si>
  <si>
    <t>ANR/LFW/06617</t>
  </si>
  <si>
    <t>ANR/LFW/06619</t>
  </si>
  <si>
    <t>FAMECO MEDICAL INSTRUMENTS</t>
  </si>
  <si>
    <t>CLINIQUE TAAMBA</t>
  </si>
  <si>
    <t>ANR/LFW/06620</t>
  </si>
  <si>
    <t>SULZER ITALY SRL</t>
  </si>
  <si>
    <t>CG CO COMM GENERAL ET CONSTRUCTION</t>
  </si>
  <si>
    <t>ANR/LFW/06621</t>
  </si>
  <si>
    <t>ATL/LFW/00026</t>
  </si>
  <si>
    <t>NOUVELLE SOCIETE COTONNIERE DU TOGO</t>
  </si>
  <si>
    <t>LEH/LFW/01555</t>
  </si>
  <si>
    <t>MEDICAL OVERSEAS PHARMA</t>
  </si>
  <si>
    <t>ECHO DISTRIMAL NAP</t>
  </si>
  <si>
    <t>LEH/LFW/01560</t>
  </si>
  <si>
    <t>BRAVIA HOTEL</t>
  </si>
  <si>
    <t>LEH/LFW/01561</t>
  </si>
  <si>
    <t>ABAK CREATION</t>
  </si>
  <si>
    <t>DONATIENNE KHOTOR</t>
  </si>
  <si>
    <t>RTM/LFW/00918</t>
  </si>
  <si>
    <t>RTM/LFW/00920</t>
  </si>
  <si>
    <t>RTM/LFW/00922</t>
  </si>
  <si>
    <t>RTM/LFW/00923</t>
  </si>
  <si>
    <t>SHA/LFW/06607</t>
  </si>
  <si>
    <t>TKL/LFW/00424</t>
  </si>
  <si>
    <t>XIC/LFW/06604</t>
  </si>
  <si>
    <t>ZHENGZHOU VICTOR MACHINERY EQUIPMENT CO LTD</t>
  </si>
  <si>
    <t>ABDOUL RAZAC SAWADOGO</t>
  </si>
  <si>
    <t>MSC CAROLINA</t>
  </si>
  <si>
    <t>ANR/LFW/03121</t>
  </si>
  <si>
    <t>P A TECHNOLOGIES</t>
  </si>
  <si>
    <t>ANR/LFW/06637</t>
  </si>
  <si>
    <t>ANR/LFW/06638</t>
  </si>
  <si>
    <t>TRANS IT AS</t>
  </si>
  <si>
    <t>M/T KARPATHOS C/O BRIGHTNESS MARITIME AGENCY LIMITED</t>
  </si>
  <si>
    <t>6 CARTONS CASES</t>
  </si>
  <si>
    <t>ATL/LFW/00029</t>
  </si>
  <si>
    <t>CHI/LFW/00032</t>
  </si>
  <si>
    <t>MIL/LFW/01647</t>
  </si>
  <si>
    <t>PAMACOM SRL</t>
  </si>
  <si>
    <t>NAV/LFW/00429</t>
  </si>
  <si>
    <t>NAV/LFW/00430</t>
  </si>
  <si>
    <t>NAV/LFW/00431</t>
  </si>
  <si>
    <t>17 PACKAGES STC</t>
  </si>
  <si>
    <t>NAV/LFW/00434</t>
  </si>
  <si>
    <t>APAR INDUSTRIES LIMITED</t>
  </si>
  <si>
    <t>3 BOBINES STC</t>
  </si>
  <si>
    <t>ANR/LFW/06590</t>
  </si>
  <si>
    <t>ANIEK EN AYO</t>
  </si>
  <si>
    <t>ANR/LFW/06636</t>
  </si>
  <si>
    <t>ANR/LFW/06640</t>
  </si>
  <si>
    <t>ANR/LFW/06644</t>
  </si>
  <si>
    <t>FTL-FAST TRANSIT LINE</t>
  </si>
  <si>
    <t>ANR/LFW/06645</t>
  </si>
  <si>
    <t>BCN/LFW/00363</t>
  </si>
  <si>
    <t>ESSENTIAL COMPOSITIONS</t>
  </si>
  <si>
    <t>FRE/LFW/00001</t>
  </si>
  <si>
    <t>LON/LFW/00397</t>
  </si>
  <si>
    <t>LYS/LFW/01571</t>
  </si>
  <si>
    <t>LYS/LFW/01576</t>
  </si>
  <si>
    <t>MIL/LFW/01648</t>
  </si>
  <si>
    <t>ODEL SRL</t>
  </si>
  <si>
    <t>PROTEC MAINTENANCE</t>
  </si>
  <si>
    <t>NAV/LFW/00432</t>
  </si>
  <si>
    <t>BOLLORE LOGISTICS INDIA LIMITED</t>
  </si>
  <si>
    <t>NAV/LFW/00437</t>
  </si>
  <si>
    <t>61 PACKAGES STC</t>
  </si>
  <si>
    <t>ANR/LFW/06679</t>
  </si>
  <si>
    <t>HAFELE SE &amp; CO KG</t>
  </si>
  <si>
    <t>STI SOCIETE DE TRANSFORMATION INDUSTRIELLE</t>
  </si>
  <si>
    <t>14 PACKAGES STC</t>
  </si>
  <si>
    <t>ANR/LFW/06680</t>
  </si>
  <si>
    <t>ANR/LFW/06681</t>
  </si>
  <si>
    <t>LEH/LFW/01599</t>
  </si>
  <si>
    <t>CIM (COMPAGNIE INTERNATIONALE DE MAINTENANCE)</t>
  </si>
  <si>
    <t>NAV/LFW/00448</t>
  </si>
  <si>
    <t>CHAMUNDA GRAVURE SYSTEMS</t>
  </si>
  <si>
    <t>IMBALLAGGI WEST AFRICA</t>
  </si>
  <si>
    <t>NGB/LFW/09091</t>
  </si>
  <si>
    <t>SHA/LFW/06652</t>
  </si>
  <si>
    <t>XIC/LFW/06669</t>
  </si>
  <si>
    <t>XIC/LFW/06670</t>
  </si>
  <si>
    <t>ANR/LFW/06666</t>
  </si>
  <si>
    <t>HKG/LFW/12862</t>
  </si>
  <si>
    <t>TRIMANSON EXPRESS LIMITED</t>
  </si>
  <si>
    <t>TO ORDER OF HOLDER OF ORIGINAL BL TMSSEA000411</t>
  </si>
  <si>
    <t>LYS/LFW/01593</t>
  </si>
  <si>
    <t>LYS/LFW/01597</t>
  </si>
  <si>
    <t>COUP2COEUR ASSOCIATION SOLIDAIRE</t>
  </si>
  <si>
    <t>M EGBESSOR KODJOVI</t>
  </si>
  <si>
    <t>MIL/LFW/01652</t>
  </si>
  <si>
    <t>HITEQ P/C CNSS</t>
  </si>
  <si>
    <t>RTM/LFW/00931</t>
  </si>
  <si>
    <t>RTM/LFW/00932</t>
  </si>
  <si>
    <t>ANR/LFW/06673</t>
  </si>
  <si>
    <t>PEME GOURDIN</t>
  </si>
  <si>
    <t>ANR/LFW/06675</t>
  </si>
  <si>
    <t>TECHNICAL MECHANICAL SERVICES</t>
  </si>
  <si>
    <t>DER/LFW/00447</t>
  </si>
  <si>
    <t>FUJIKAWA POWER</t>
  </si>
  <si>
    <t>AROUN INTERNATIONAL SARLU</t>
  </si>
  <si>
    <t>LEH/LFW/01594</t>
  </si>
  <si>
    <t>ECO-EETP INTERNATIONAL</t>
  </si>
  <si>
    <t>MRS/LFW/01598</t>
  </si>
  <si>
    <t>M ZARIFOU OUO-DJERI</t>
  </si>
  <si>
    <t>PEN/LFW/00114</t>
  </si>
  <si>
    <t>DRS SECRET WORLDWIDE MANUFACTURING SDN</t>
  </si>
  <si>
    <t>YIC LIFE</t>
  </si>
  <si>
    <t>PEN/LFW/00116</t>
  </si>
  <si>
    <t>SAIDOU MOUMOUNI KADRI</t>
  </si>
  <si>
    <t>SHA/LFW/06660</t>
  </si>
  <si>
    <t>TKL/LFW/00452</t>
  </si>
  <si>
    <t>MSC MADRID</t>
  </si>
  <si>
    <t>ANR/LFW/01653</t>
  </si>
  <si>
    <t>9 PALLETS STC</t>
  </si>
  <si>
    <t>ANR/LFW/06682</t>
  </si>
  <si>
    <t>NAV/LFW/00450</t>
  </si>
  <si>
    <t>NAV/LFW/00458</t>
  </si>
  <si>
    <t>PANASONIC LIFE SOLUTIONS INDIA PVT LTD</t>
  </si>
  <si>
    <t>SOCIETE DES TECHNOLOGIES DES ENERGIES RENOUVELABLES</t>
  </si>
  <si>
    <t>NAV/LFW/00460</t>
  </si>
  <si>
    <t>NAV/LFW/00461</t>
  </si>
  <si>
    <t>DIAMOND CEMENT BURKINA SA</t>
  </si>
  <si>
    <t>SHA/LFW/06672</t>
  </si>
  <si>
    <t>CITRINE MARINE SERVICES LTD</t>
  </si>
  <si>
    <t>MASTER OF M/V WESTMORE SHIPS SPARES IN TRANSIT</t>
  </si>
  <si>
    <t>TKL/LFW/00451</t>
  </si>
  <si>
    <t>62 BOXES STC</t>
  </si>
  <si>
    <t>ANR/LFW/06687</t>
  </si>
  <si>
    <t>ANR/LFW/06688</t>
  </si>
  <si>
    <t>KUTHE SAS</t>
  </si>
  <si>
    <t>LEH/LFW/01607</t>
  </si>
  <si>
    <t>BEIJING HENSON ENGINEERING TECHNOLOGY CO LTD</t>
  </si>
  <si>
    <t>LYS/LFW/01608</t>
  </si>
  <si>
    <t>MRS/LFW/01609</t>
  </si>
  <si>
    <t>CAPTELS</t>
  </si>
  <si>
    <t>NAV/LFW/00474</t>
  </si>
  <si>
    <t>MEDIMAT AFRIQUE SARL</t>
  </si>
  <si>
    <t>178 PACKAGES STC</t>
  </si>
  <si>
    <t>RTM/LFW/00935</t>
  </si>
  <si>
    <t>ANR/LFW/06705</t>
  </si>
  <si>
    <t>UNITED NATIONS CHILDRENS FUND</t>
  </si>
  <si>
    <t>ANR/LFW/06707</t>
  </si>
  <si>
    <t>NYKEI WEST AFRICA</t>
  </si>
  <si>
    <t>WEST AFRICAN CEMENT</t>
  </si>
  <si>
    <t>ANR/LFW/06709</t>
  </si>
  <si>
    <t>SIVOP-TOGO</t>
  </si>
  <si>
    <t>ANR/LFW/06711</t>
  </si>
  <si>
    <t>AXAGLASS</t>
  </si>
  <si>
    <t>MOYO CONCEPT SARLU</t>
  </si>
  <si>
    <t>ANR/LFW/06713</t>
  </si>
  <si>
    <t>EQUIPMENTS &amp; SERVICES BIA</t>
  </si>
  <si>
    <t>HOU/LFW/00034</t>
  </si>
  <si>
    <t>LEH/LFW/01622</t>
  </si>
  <si>
    <t>EDWARS LIFESCIENCES</t>
  </si>
  <si>
    <t>MERCYS CHILDREN HOME</t>
  </si>
  <si>
    <t>MIL/LFW/01658</t>
  </si>
  <si>
    <t>INSCO SAS DI G ALDINI &amp; C</t>
  </si>
  <si>
    <t>MRS/LFW/01620</t>
  </si>
  <si>
    <t>MAI PARFUM</t>
  </si>
  <si>
    <t>TRANSAM P SARL</t>
  </si>
  <si>
    <t>2 IBC STC</t>
  </si>
  <si>
    <t>MRS/LFW/01623</t>
  </si>
  <si>
    <t>DACHSER France SAS</t>
  </si>
  <si>
    <t>OMA OIL &amp; MARINE AGENCIES</t>
  </si>
  <si>
    <t>ANR/LFW/06700</t>
  </si>
  <si>
    <t>ANR/LFW/06703</t>
  </si>
  <si>
    <t>DOUASIS</t>
  </si>
  <si>
    <t>ANR/LFW/06704</t>
  </si>
  <si>
    <t>ANR/LFW/06706</t>
  </si>
  <si>
    <t>ZINGAMETALL BVBA</t>
  </si>
  <si>
    <t>LEH/LFW/01615</t>
  </si>
  <si>
    <t>PROMARITIME INTERNATIONAL</t>
  </si>
  <si>
    <t>ETS LA LYONNAISE</t>
  </si>
  <si>
    <t>27 BOXES STC</t>
  </si>
  <si>
    <t>MAN/LFW/00403</t>
  </si>
  <si>
    <t>DANTEC LTD</t>
  </si>
  <si>
    <t>THE OWNERS/MASTER OF TFVICTORIA</t>
  </si>
  <si>
    <t>MRS/LFW/01616</t>
  </si>
  <si>
    <t>ACERTYS HEALTHCARE</t>
  </si>
  <si>
    <t>CNSS</t>
  </si>
  <si>
    <t>NAV/LFW/00478</t>
  </si>
  <si>
    <t>AYAAN INTERNATIONAL SUITE</t>
  </si>
  <si>
    <t>NAV/LFW/00488</t>
  </si>
  <si>
    <t>NAV/LFW/00489</t>
  </si>
  <si>
    <t>NAV/LFW/00491</t>
  </si>
  <si>
    <t>SAI INDO METAL</t>
  </si>
  <si>
    <t>TUT/LFW/00465</t>
  </si>
  <si>
    <t>ATC TIRES PVT LTD</t>
  </si>
  <si>
    <t>ANR/LFW/06694</t>
  </si>
  <si>
    <t>STANDARD INSDUSTRIE INTERNATIONAL</t>
  </si>
  <si>
    <t>ANR/LFW/06695</t>
  </si>
  <si>
    <t>ANR/LFW/06696</t>
  </si>
  <si>
    <t>ANR/LFW/06697</t>
  </si>
  <si>
    <t>BLR/LFW/00449</t>
  </si>
  <si>
    <t>GRAABEL PHARMA TOGO</t>
  </si>
  <si>
    <t>20 PALLETS STC</t>
  </si>
  <si>
    <t>HAM/LFW/00293</t>
  </si>
  <si>
    <t>OMA TOGO</t>
  </si>
  <si>
    <t>HYD/LFW/00486</t>
  </si>
  <si>
    <t>AUROBINDO PHARMA LTD</t>
  </si>
  <si>
    <t>APES PHARMA</t>
  </si>
  <si>
    <t>BCN/LFW/00366</t>
  </si>
  <si>
    <t>CHEMIPOL SA</t>
  </si>
  <si>
    <t>KEKELI EFFICIENT POWER</t>
  </si>
  <si>
    <t>JEA/LFW/00004</t>
  </si>
  <si>
    <t>DORMAKABA GULF FZE</t>
  </si>
  <si>
    <t>ASCO SARL</t>
  </si>
  <si>
    <t>LON/LFW/00400</t>
  </si>
  <si>
    <t>MASTER OF TF VICTORIA C/O TMS OFFSHORE TOGO</t>
  </si>
  <si>
    <t>LON/LFW/00401</t>
  </si>
  <si>
    <t>DSV AIR &amp; SEA LTD</t>
  </si>
  <si>
    <t>MIL/LFW/01655</t>
  </si>
  <si>
    <t>TETI SARL</t>
  </si>
  <si>
    <t>MIL/LFW/01656</t>
  </si>
  <si>
    <t>IBMA SA</t>
  </si>
  <si>
    <t>MRS/LFW/01612</t>
  </si>
  <si>
    <t>CONTOURGLOBAL TOGO SA</t>
  </si>
  <si>
    <t>MRS/LFW/01613</t>
  </si>
  <si>
    <t>PLANET FINESS</t>
  </si>
  <si>
    <t>INERSTIS TOGO</t>
  </si>
  <si>
    <t>MRS/LFW/01614</t>
  </si>
  <si>
    <t>NAV/LFW/00483</t>
  </si>
  <si>
    <t>ENEXPRO TEKNOLOGIES INDIA PRIVATE LIMITED</t>
  </si>
  <si>
    <t>NAV/LFW/00485</t>
  </si>
  <si>
    <t>RTM/LFW/00937</t>
  </si>
  <si>
    <t>FOSHAN NAMKOO IMPORT AND EXPORT CO LTD</t>
  </si>
  <si>
    <t>TSAVO KOUMA</t>
  </si>
  <si>
    <t>ANR/LFW/06658</t>
  </si>
  <si>
    <t>UTILIS SAS</t>
  </si>
  <si>
    <t>CORPS DES SAPEURS POMPIERS DU TOGO</t>
  </si>
  <si>
    <t>ANR/LFW/06708</t>
  </si>
  <si>
    <t>BASF SE</t>
  </si>
  <si>
    <t>ANR/LFW/06712</t>
  </si>
  <si>
    <t>ANR/LFW/06714</t>
  </si>
  <si>
    <t>MINET LACING TECHNOLOGY</t>
  </si>
  <si>
    <t>KHH/LFW/06701</t>
  </si>
  <si>
    <t>CEVA LOGISTICS CO LTD</t>
  </si>
  <si>
    <t>CEVA LOGISTICS TOGO</t>
  </si>
  <si>
    <t>LEH/LFW/01610</t>
  </si>
  <si>
    <t>IPM France</t>
  </si>
  <si>
    <t>SOTOTECH ET SERVICES SARL</t>
  </si>
  <si>
    <t>LEH/LFW/01621</t>
  </si>
  <si>
    <t>DAGARD</t>
  </si>
  <si>
    <t>KAYLAN HOSPITALITY DEVELOPMENT SAU</t>
  </si>
  <si>
    <t>LEH/LFW/01624</t>
  </si>
  <si>
    <t>MANUTAN SA</t>
  </si>
  <si>
    <t>14 PALLETS STC</t>
  </si>
  <si>
    <t>LYS/LFW/01625</t>
  </si>
  <si>
    <t>MIL/LFW/01666</t>
  </si>
  <si>
    <t>ABET LAMINATI SPA</t>
  </si>
  <si>
    <t>NAV/LFW/00490</t>
  </si>
  <si>
    <t>RTM/LFW/00938</t>
  </si>
  <si>
    <t>GUANGZHOU ACOOLDA BAGS INDUSTRY CO LTD</t>
  </si>
  <si>
    <t>GOZEM TOGO</t>
  </si>
  <si>
    <t>XIC/LFW/06661</t>
  </si>
  <si>
    <t>RENQIU CITY YONGYI IMPORT AND EXPORT</t>
  </si>
  <si>
    <t>ACO CHRIS</t>
  </si>
  <si>
    <t>ANR/LFW/06699</t>
  </si>
  <si>
    <t>DHL NV</t>
  </si>
  <si>
    <t>ANR/LFW/06717</t>
  </si>
  <si>
    <t>AFGA</t>
  </si>
  <si>
    <t>ANR/LFW/06718</t>
  </si>
  <si>
    <t>ANR/LFW/06719</t>
  </si>
  <si>
    <t>DOUAISIS PREMIUM</t>
  </si>
  <si>
    <t>ANR/LFW/06722</t>
  </si>
  <si>
    <t>ELSO AMERICAN EMBASSY OFFICE</t>
  </si>
  <si>
    <t>ANR/LFW/06723</t>
  </si>
  <si>
    <t>LEH/LFW/01627</t>
  </si>
  <si>
    <t>LES FABRICANTS DE MATERIEL MEDICAL</t>
  </si>
  <si>
    <t xml:space="preserve">HOPITAL DE L'ORDE DE MALTE ELAVAGNON TOGO </t>
  </si>
  <si>
    <t>LON/LFW/00407</t>
  </si>
  <si>
    <t>NAV/LFW/00495</t>
  </si>
  <si>
    <t>MACLEODS PHARMACEUTICALS LTD</t>
  </si>
  <si>
    <t>CAMEG-TOGO</t>
  </si>
  <si>
    <t>NAV/LFW/00497</t>
  </si>
  <si>
    <t>NAV/LFW/00499</t>
  </si>
  <si>
    <t>NAV/LFW/00500</t>
  </si>
  <si>
    <t>NAV/LFW/00501</t>
  </si>
  <si>
    <t>SAI/LFW/00503</t>
  </si>
  <si>
    <t>VITIVINICOLA</t>
  </si>
  <si>
    <t>M OLIVIER NNANNA NDEM</t>
  </si>
  <si>
    <t>XIC/LFW/00939</t>
  </si>
  <si>
    <t>ANR/LFW/000173</t>
  </si>
  <si>
    <t>FAMOUS PACIFIC SHIPPING BV</t>
  </si>
  <si>
    <t>MV MULTIPLE VESSELS C/O TMS OFFSHORE</t>
  </si>
  <si>
    <t>ANR/LFW/000175</t>
  </si>
  <si>
    <t>VANGUAR LOGISTICS SERVICES BELGIUM NV</t>
  </si>
  <si>
    <t>ELIOT SARL</t>
  </si>
  <si>
    <t>ANR/LFW/000188</t>
  </si>
  <si>
    <t>ANR/LFW/06720</t>
  </si>
  <si>
    <t>SOPURA SA</t>
  </si>
  <si>
    <t>BRASSERIE SNB</t>
  </si>
  <si>
    <t>ANR/LFW/06724</t>
  </si>
  <si>
    <t>ANR/LFW/06726</t>
  </si>
  <si>
    <t>ATL/LFW/00035</t>
  </si>
  <si>
    <t>PAGE INTERNATIONAL INC</t>
  </si>
  <si>
    <t>MAN/LFW/00404</t>
  </si>
  <si>
    <t>CEF OF TOGO</t>
  </si>
  <si>
    <t>MIL/LFW/01664</t>
  </si>
  <si>
    <t>ROSSINI SPA</t>
  </si>
  <si>
    <t>IMBALLAGGI WEST AFRICA (IWA)</t>
  </si>
  <si>
    <t>NKG/LFW/06715</t>
  </si>
  <si>
    <t>CGP (WUHU) SEALING CO LTD</t>
  </si>
  <si>
    <t>HI SPEED</t>
  </si>
  <si>
    <t>NYC/LFW/00036</t>
  </si>
  <si>
    <t>ADEKAMBI GILDAS P/C BELL HANS AGENCY</t>
  </si>
  <si>
    <t>RTM/LFW/00940</t>
  </si>
  <si>
    <t>SHENZHEN SINCREA</t>
  </si>
  <si>
    <t>AGBEMEHE KANYI KOKOU</t>
  </si>
  <si>
    <t>RTM/LFW/00942</t>
  </si>
  <si>
    <t>HEDY MEDICAL DEVICE CO LTD</t>
  </si>
  <si>
    <t>XIC/LFW/00941</t>
  </si>
  <si>
    <t>ANR/LFW/06727</t>
  </si>
  <si>
    <t>SMT AFRICA SA</t>
  </si>
  <si>
    <t>ANR/LFW/06728</t>
  </si>
  <si>
    <t>ANR/LFW/06729</t>
  </si>
  <si>
    <t>PELEMAN INDUSTRIES</t>
  </si>
  <si>
    <t>GILI SARL</t>
  </si>
  <si>
    <t>KHH/LFW/06702</t>
  </si>
  <si>
    <t>CHAO WEI PLASTIC MACHINERY CO</t>
  </si>
  <si>
    <t>SOCIPLAST</t>
  </si>
  <si>
    <t>1 WOODEN BOX STC</t>
  </si>
  <si>
    <t>LEH/LFW/01633</t>
  </si>
  <si>
    <t>BROSSERIE LECLER NOEL</t>
  </si>
  <si>
    <t>SOROUBAT TG</t>
  </si>
  <si>
    <t>LEH/LFW/01639</t>
  </si>
  <si>
    <t>ECOBANKTOGO</t>
  </si>
  <si>
    <t>LON/LFW/00412</t>
  </si>
  <si>
    <t>REPAIR CRAFT PLC</t>
  </si>
  <si>
    <t>FORCES ARMEES TOGOLAISES(FAT)</t>
  </si>
  <si>
    <t>MAN/LFW/00411</t>
  </si>
  <si>
    <t>CDS GROUP</t>
  </si>
  <si>
    <t>MSC ENGLAND</t>
  </si>
  <si>
    <t>MIL/LFW/01668</t>
  </si>
  <si>
    <t>BOLLORE TOGO</t>
  </si>
  <si>
    <t>MIL/LFW/01669</t>
  </si>
  <si>
    <t>CAPRARI SPA</t>
  </si>
  <si>
    <t>26 PACKAGES STC</t>
  </si>
  <si>
    <t>MRS/LFW/01638</t>
  </si>
  <si>
    <t>NAV/LFW/00496</t>
  </si>
  <si>
    <t>NAV/LFW/00498</t>
  </si>
  <si>
    <t>NAV/LFW/00504</t>
  </si>
  <si>
    <t>M/S. IMBALLAGGI WEST AFRICA</t>
  </si>
  <si>
    <t>NAV/LFW/00506</t>
  </si>
  <si>
    <t>NAV/LFW/00507</t>
  </si>
  <si>
    <t>NAV/LFW/00510</t>
  </si>
  <si>
    <t>PAD PHARMA SARL</t>
  </si>
  <si>
    <t>ANR/LFW/06740</t>
  </si>
  <si>
    <t>GRATINGS EUROPE INDUSTRY</t>
  </si>
  <si>
    <t>ANR/LFW/06742</t>
  </si>
  <si>
    <t>LEH/LFW/01650</t>
  </si>
  <si>
    <t>HOMINTEC SARL</t>
  </si>
  <si>
    <t>LEH/LFW/01656</t>
  </si>
  <si>
    <t>ULYSSE TRANSACTION SARLU</t>
  </si>
  <si>
    <t>LHR/LFW/00413</t>
  </si>
  <si>
    <t>LON/LFW/00415</t>
  </si>
  <si>
    <t>PATERSON SIMONS &amp; CO AFRICA</t>
  </si>
  <si>
    <t>PATERSON SIMONS &amp; CO TOGO</t>
  </si>
  <si>
    <t>MIL/LFW/01674</t>
  </si>
  <si>
    <t>ENRICO GIOTTI SPA</t>
  </si>
  <si>
    <t>SOCIETE BURKINABE DES FIIERES ALIMENTAIRES (SBFA)</t>
  </si>
  <si>
    <t>3 IBC STC</t>
  </si>
  <si>
    <t>MIL/LFW/01675</t>
  </si>
  <si>
    <t>GRAFICA ELECTTRONICA SRL</t>
  </si>
  <si>
    <t>IWA(IMBALLAGGI WEST AFRICA)</t>
  </si>
  <si>
    <t>MRS/LFW/01655</t>
  </si>
  <si>
    <t>DELAIR</t>
  </si>
  <si>
    <t>1 CARTON</t>
  </si>
  <si>
    <t>MRS/LFW/01658</t>
  </si>
  <si>
    <t>M. ZARIFOU OUO-DJERI</t>
  </si>
  <si>
    <t>NAV/LFW/00516</t>
  </si>
  <si>
    <t>NAV/LFW/00522</t>
  </si>
  <si>
    <t>NAV/LFW/00527</t>
  </si>
  <si>
    <t>A K BROTHERS</t>
  </si>
  <si>
    <t>HARILUV INVESTMENT HOUSE</t>
  </si>
  <si>
    <t>RTM/LFW/00944</t>
  </si>
  <si>
    <t>DAMEN SHIPYARDS</t>
  </si>
  <si>
    <t>OMNIUM TOGOLAIS ASSISTANCE MARITIME OTAM CHANTIER NAVAL</t>
  </si>
  <si>
    <t>SHA/LFW/06737</t>
  </si>
  <si>
    <t>SHA/LFW/06738</t>
  </si>
  <si>
    <t>TAO/LFW/00137</t>
  </si>
  <si>
    <t>QINGDAO RIKEX MARINE MACHINERY CO LTD</t>
  </si>
  <si>
    <t>MASTER OF MV MSC FIAMMETTA</t>
  </si>
  <si>
    <t>XIC/LFW/00945</t>
  </si>
  <si>
    <t>NORTHERN POWER</t>
  </si>
  <si>
    <t>ANR/LFW/06725</t>
  </si>
  <si>
    <t>PERMENIS ELECTRICAL SERVICES LTD</t>
  </si>
  <si>
    <t>MASTER OF MV MSC LUCIA</t>
  </si>
  <si>
    <t>LEH/LFW/01628</t>
  </si>
  <si>
    <t>WTE SARL</t>
  </si>
  <si>
    <t>MONSIEUR LE REPRESENTANT DE L'ASECNA AUPRES DU TOGO</t>
  </si>
  <si>
    <t>LYS/LFW/01647</t>
  </si>
  <si>
    <t>ARQUIS</t>
  </si>
  <si>
    <t>MINISTERE DES ARMEES</t>
  </si>
  <si>
    <t>MIL/LFW/01670</t>
  </si>
  <si>
    <t>INSCO SAS DI G. ALDINI &amp; C</t>
  </si>
  <si>
    <t>MRS/LFW/01634</t>
  </si>
  <si>
    <t>SIN/LFW/00139</t>
  </si>
  <si>
    <t>TKL/LFW/00515</t>
  </si>
  <si>
    <t>TRYKER INDIA LLP</t>
  </si>
  <si>
    <t>MEDICAL EXPERT AFRICA</t>
  </si>
  <si>
    <t>1 BOXE STC</t>
  </si>
  <si>
    <t xml:space="preserve">PORT GDYNIA </t>
  </si>
  <si>
    <t>ANR/LFW/01657</t>
  </si>
  <si>
    <t>MAISON RIVIER SAS</t>
  </si>
  <si>
    <t>MASON RICHER LOME</t>
  </si>
  <si>
    <t xml:space="preserve">1 PALLETE STC  </t>
  </si>
  <si>
    <t>ANR/LFW/06731</t>
  </si>
  <si>
    <t>TYSILIO DEVELEPMENT</t>
  </si>
  <si>
    <t>CONGREGATION ST JEAN</t>
  </si>
  <si>
    <t xml:space="preserve"> 6 PALETTES STC </t>
  </si>
  <si>
    <t>ANR/LFW/06741</t>
  </si>
  <si>
    <t>GIVAUDAN MEA FZE</t>
  </si>
  <si>
    <t>UNIFFOOD</t>
  </si>
  <si>
    <t>ANR/LFW/06744</t>
  </si>
  <si>
    <t>DOHLER GMBH</t>
  </si>
  <si>
    <t>KING MONDIAL GROUP</t>
  </si>
  <si>
    <t>5 PALLETES</t>
  </si>
  <si>
    <t>BCN/LFW/00368</t>
  </si>
  <si>
    <t>COMODALITY SPAIN</t>
  </si>
  <si>
    <t>W&amp;S PRIVILEGE</t>
  </si>
  <si>
    <t>3 PALLETES STC</t>
  </si>
  <si>
    <t>BCN/LFW/00417</t>
  </si>
  <si>
    <t>DURBIN PLC</t>
  </si>
  <si>
    <t>HOPITAL OF HOPE</t>
  </si>
  <si>
    <t>5 PALLETES STC</t>
  </si>
  <si>
    <t>MRS/LFW/01661</t>
  </si>
  <si>
    <t>NAV/LFW/00526</t>
  </si>
  <si>
    <t>DIVYA ENTREPRISES</t>
  </si>
  <si>
    <t>FORTIA CEMENT S.A</t>
  </si>
  <si>
    <t>PAR/LFW/01660</t>
  </si>
  <si>
    <t>SOMPT CENTRE</t>
  </si>
  <si>
    <t>2 PALLETES STC</t>
  </si>
  <si>
    <t>RTM/LFW/00948</t>
  </si>
  <si>
    <t>SADGURU MIDDLE EAST FZE</t>
  </si>
  <si>
    <t>XIC/LFW/00946</t>
  </si>
  <si>
    <t>DSV AIR &amp; SEA CO</t>
  </si>
  <si>
    <t>WIKING</t>
  </si>
  <si>
    <t>ANR/LFW/06746</t>
  </si>
  <si>
    <t>ANR/06752</t>
  </si>
  <si>
    <t>FRISOMAT N.V.</t>
  </si>
  <si>
    <t>ETS VERVENE</t>
  </si>
  <si>
    <t>ANR/LFW/06758</t>
  </si>
  <si>
    <t>N.P. GANDOUR TOGO</t>
  </si>
  <si>
    <t>MIL/LFW/01676</t>
  </si>
  <si>
    <t>VIMAR S.P.A. VIALE</t>
  </si>
  <si>
    <t>HAIMA TECHNOLOGY</t>
  </si>
  <si>
    <t>MIL/LFW/01678</t>
  </si>
  <si>
    <t>FALMAR PROJECT SRL</t>
  </si>
  <si>
    <t>BSIC TOGO S.A</t>
  </si>
  <si>
    <t>NAV/LFW/00509</t>
  </si>
  <si>
    <t>CARGOONE OCEANAIR</t>
  </si>
  <si>
    <t>11 PALLETES STC</t>
  </si>
  <si>
    <t>NAV/LFW/00521</t>
  </si>
  <si>
    <t>PGR INDUSTRIAL</t>
  </si>
  <si>
    <t>DIAMOND CEMENT</t>
  </si>
  <si>
    <t>NGB/LFW/099345</t>
  </si>
  <si>
    <t>WENZHOU YUEZHOU</t>
  </si>
  <si>
    <t>9 PALETTES STC</t>
  </si>
  <si>
    <t>RTM/LFW/00949</t>
  </si>
  <si>
    <t>OMA LOGISTICS TG</t>
  </si>
  <si>
    <t>13 PALETTES STC</t>
  </si>
  <si>
    <t>SHA/LFW/06753</t>
  </si>
  <si>
    <t>SHANHAI YOUTH</t>
  </si>
  <si>
    <t>PHODIA GLOBAL</t>
  </si>
  <si>
    <t>ANR/LFW/06747</t>
  </si>
  <si>
    <t>BEDESCHI S.P.A</t>
  </si>
  <si>
    <t>ANR/LFW/06748</t>
  </si>
  <si>
    <t>ANR/LFW/06750</t>
  </si>
  <si>
    <t xml:space="preserve">DEGRILLON TECHNICAL </t>
  </si>
  <si>
    <t>ANR/LFW/06754</t>
  </si>
  <si>
    <t>02 PALLETE STC</t>
  </si>
  <si>
    <t>ANR/LFW/06757</t>
  </si>
  <si>
    <t>ELSO AMERICAN EMBASSY</t>
  </si>
  <si>
    <t>AMERICAN EMBASSY</t>
  </si>
  <si>
    <t>JEA/LFW/00005</t>
  </si>
  <si>
    <t>MANULI FLUICONNECTO</t>
  </si>
  <si>
    <t>MANULI FLICONNECTO</t>
  </si>
  <si>
    <t>LEH/LFW/01662</t>
  </si>
  <si>
    <t>SOCIMED</t>
  </si>
  <si>
    <t>OXYMED PLUS SARL</t>
  </si>
  <si>
    <t>LEH/LFW/01667</t>
  </si>
  <si>
    <t>FIVES FCB</t>
  </si>
  <si>
    <t>LYS/LFW/01663</t>
  </si>
  <si>
    <t>CGE GAS CONTROL</t>
  </si>
  <si>
    <t>LYS/LFW/01668</t>
  </si>
  <si>
    <t>SOLYRO</t>
  </si>
  <si>
    <t>ORYX LUBRIFIANT TG</t>
  </si>
  <si>
    <t>MIL/LFW/01680</t>
  </si>
  <si>
    <t>DSV S.p.A VIA NUOVA</t>
  </si>
  <si>
    <t>NAV/LFW/00006</t>
  </si>
  <si>
    <t>GLOBAL VISION</t>
  </si>
  <si>
    <t xml:space="preserve">GLOBAL VISION </t>
  </si>
  <si>
    <t>NAV/LFW/00520</t>
  </si>
  <si>
    <t>THYSSENKRUPP INDUSTRIES</t>
  </si>
  <si>
    <t xml:space="preserve">CIMTOGO SA </t>
  </si>
  <si>
    <t>RTM/LFW/00950</t>
  </si>
  <si>
    <t xml:space="preserve">ABB FOR ELECTRICAL </t>
  </si>
  <si>
    <t>TAO/LFW/00138</t>
  </si>
  <si>
    <t>SINO HOWO TRUCK</t>
  </si>
  <si>
    <t>2 CASE STC</t>
  </si>
  <si>
    <t>GSL ALICE</t>
  </si>
  <si>
    <t>ANR/LFW/06766</t>
  </si>
  <si>
    <t>ZHEJIANG SHUNFA</t>
  </si>
  <si>
    <t>GOZEM</t>
  </si>
  <si>
    <t>ANR/LFW/06767</t>
  </si>
  <si>
    <t xml:space="preserve">NINGBO ISPURING </t>
  </si>
  <si>
    <t>MOHAMED STAR</t>
  </si>
  <si>
    <t>ANR/LFW/06769</t>
  </si>
  <si>
    <t>RODIS</t>
  </si>
  <si>
    <t>ANR/LFW/06770</t>
  </si>
  <si>
    <t>HAMDI GHADHOUN</t>
  </si>
  <si>
    <t>SOROUBAT TOGO</t>
  </si>
  <si>
    <t>DKR/LFW/06771</t>
  </si>
  <si>
    <t>TOTAL ENERGIE MARKETING</t>
  </si>
  <si>
    <t>TOTAL ENERGIE TG</t>
  </si>
  <si>
    <t>LYS/LFW/01671</t>
  </si>
  <si>
    <t>MARINI-ERMONT</t>
  </si>
  <si>
    <t>MIL/LFW/01681</t>
  </si>
  <si>
    <t>ELECTROLUX</t>
  </si>
  <si>
    <t>NAV/LFW/00536</t>
  </si>
  <si>
    <t>NAVIO SHIPPING PVT</t>
  </si>
  <si>
    <t>NOUVELLE SOTOTOLES</t>
  </si>
  <si>
    <t>1 SETS STC</t>
  </si>
  <si>
    <t>NAV/LFW/00540</t>
  </si>
  <si>
    <t>INDUSTRIAL FILTERS</t>
  </si>
  <si>
    <t>RTM/LFW/00951</t>
  </si>
  <si>
    <t>OMNIVOLTAIC ENERGY</t>
  </si>
  <si>
    <t>NGO YVE</t>
  </si>
  <si>
    <t>1 PALLETS STC</t>
  </si>
  <si>
    <t>MV LETO</t>
  </si>
  <si>
    <t>ANR/LFW/06749</t>
  </si>
  <si>
    <t>BIOGNOST DOO</t>
  </si>
  <si>
    <t>GLOBALS SERVICES GP</t>
  </si>
  <si>
    <t>01 PALLET STC</t>
  </si>
  <si>
    <t>ANR/LFW/06762</t>
  </si>
  <si>
    <t>MATAM S.A.N.V.</t>
  </si>
  <si>
    <t>ANR/LFW/06764</t>
  </si>
  <si>
    <t>ROC IMPACT</t>
  </si>
  <si>
    <t>MINING AND CONTRAC</t>
  </si>
  <si>
    <t>ANR/LFW/01664</t>
  </si>
  <si>
    <t>JEULIN</t>
  </si>
  <si>
    <t>COLLEGE COURS LUM.</t>
  </si>
  <si>
    <t>LEF/LFW/01665</t>
  </si>
  <si>
    <t>BIOFRUISEC</t>
  </si>
  <si>
    <t>ORGANIC CRADLE</t>
  </si>
  <si>
    <t>LEF/LFW/01666</t>
  </si>
  <si>
    <t>OCEAN 3</t>
  </si>
  <si>
    <t>MIA/LFW/00041</t>
  </si>
  <si>
    <t>ALVINTER LLC</t>
  </si>
  <si>
    <t>MTR/LFW/00640</t>
  </si>
  <si>
    <t>GROUPE FORDIA</t>
  </si>
  <si>
    <t>EPIROC BF SARL</t>
  </si>
  <si>
    <t>NAV/LFW/00528</t>
  </si>
  <si>
    <t>NAV/LFW/00529</t>
  </si>
  <si>
    <t>FORTIA CEMENT</t>
  </si>
  <si>
    <t>NAV/LFW/00534</t>
  </si>
  <si>
    <t>CARGOONE OCENAIR</t>
  </si>
  <si>
    <t>DCT</t>
  </si>
  <si>
    <t>NAV/LFW/00535</t>
  </si>
  <si>
    <t>CHAMUNDA GRAVURE</t>
  </si>
  <si>
    <t xml:space="preserve">IMBALLAGGI WEST </t>
  </si>
  <si>
    <t>RTM/LFW/00947</t>
  </si>
  <si>
    <t>CLAVE &amp; ZONEN B.V.</t>
  </si>
  <si>
    <t>BELIEVER TOGO</t>
  </si>
  <si>
    <t>XIC/LFW/06745</t>
  </si>
  <si>
    <t>SCAN TOGO</t>
  </si>
  <si>
    <t>PORT GDYNIA</t>
  </si>
  <si>
    <t>ANR/LFW/06785</t>
  </si>
  <si>
    <t>DIMEXCO INTERNATIONAL</t>
  </si>
  <si>
    <t>ANR/LFW/06844</t>
  </si>
  <si>
    <t>SNB</t>
  </si>
  <si>
    <t>ANR/LFW/06845</t>
  </si>
  <si>
    <t>TECHNICAL MECHANICAL</t>
  </si>
  <si>
    <t>SOROUBAT</t>
  </si>
  <si>
    <t>ANR/LFW/06847</t>
  </si>
  <si>
    <t>ANR/LFW/06856</t>
  </si>
  <si>
    <t>ANR/LFW/06857</t>
  </si>
  <si>
    <t>SCHENCK PROCESS</t>
  </si>
  <si>
    <t>CCU/LFW/00539</t>
  </si>
  <si>
    <t>LYS/LFW/01701</t>
  </si>
  <si>
    <t>METAL DEPLOYE</t>
  </si>
  <si>
    <t>MRS/LFW/01696</t>
  </si>
  <si>
    <t>CLAQUIN SA</t>
  </si>
  <si>
    <t>OPED TOGO</t>
  </si>
  <si>
    <t>MRS/LFW/01697</t>
  </si>
  <si>
    <t>THYSSENKRUPP</t>
  </si>
  <si>
    <t>MRS/LFW/06836</t>
  </si>
  <si>
    <t>MTK SERVIVES</t>
  </si>
  <si>
    <t>MINISTERE PLANIFICATION</t>
  </si>
  <si>
    <t>MRS/LFW/06842</t>
  </si>
  <si>
    <t>PODG DEVELOPPEMENT</t>
  </si>
  <si>
    <t>I GROUP AMAD</t>
  </si>
  <si>
    <t>PEN/LFW/00122</t>
  </si>
  <si>
    <t>SAIDOU MOUMOUNI</t>
  </si>
  <si>
    <t>RTM/LFW/00961</t>
  </si>
  <si>
    <t>RTM/LFW/06850</t>
  </si>
  <si>
    <t>OMA LOGISTIQUE</t>
  </si>
  <si>
    <t>RTM/LFW/06852</t>
  </si>
  <si>
    <t>NEW WORLD TV</t>
  </si>
  <si>
    <t>CHOPIN</t>
  </si>
  <si>
    <t>ANRLFW00001131</t>
  </si>
  <si>
    <t>ANRLFW00001087</t>
  </si>
  <si>
    <t>KBB TRADING CONSULTANCY</t>
  </si>
  <si>
    <t xml:space="preserve">TOGO AGRO </t>
  </si>
  <si>
    <t xml:space="preserve"> 58 PALLETS SPARE</t>
  </si>
  <si>
    <t>ANRLFW00001169</t>
  </si>
  <si>
    <t xml:space="preserve">NIKE ENERGY </t>
  </si>
  <si>
    <t>M/S KEC INTERNATIONAL</t>
  </si>
  <si>
    <t xml:space="preserve"> STC NOEPRENEE</t>
  </si>
  <si>
    <t>ANR/LFW/06812</t>
  </si>
  <si>
    <t>PHARMACY AVEPOZO</t>
  </si>
  <si>
    <t>ANR/LFW/06821</t>
  </si>
  <si>
    <t>ADVANTAG</t>
  </si>
  <si>
    <t>ANR/LFW/06822</t>
  </si>
  <si>
    <t>ANR/LFW/06824</t>
  </si>
  <si>
    <t>BOLLORE TRANSPORT</t>
  </si>
  <si>
    <t>ANR/LFW/06825</t>
  </si>
  <si>
    <t>FAIR TRADE GMBH</t>
  </si>
  <si>
    <t>GLOBALS SERVICES GT</t>
  </si>
  <si>
    <t>ANR/LFW/06826</t>
  </si>
  <si>
    <t>SHANDONG TAIKAI</t>
  </si>
  <si>
    <t>PASEL</t>
  </si>
  <si>
    <t>ANR/LFW/06827</t>
  </si>
  <si>
    <t>ANR/LFW/06828</t>
  </si>
  <si>
    <t>US STATE DEPARTMENT</t>
  </si>
  <si>
    <t>ANR/LFW/06830</t>
  </si>
  <si>
    <t>SAGES S.R.L.</t>
  </si>
  <si>
    <t>ANR/LFW/06832</t>
  </si>
  <si>
    <t>LEH/LFW/01693</t>
  </si>
  <si>
    <t>LEH/LFW/06809</t>
  </si>
  <si>
    <t>LEH/LFW/06805</t>
  </si>
  <si>
    <t xml:space="preserve">MEDTANKERS </t>
  </si>
  <si>
    <t>MT ALTHEA</t>
  </si>
  <si>
    <t>MIL/LFW/06802</t>
  </si>
  <si>
    <t>CAT-ETS</t>
  </si>
  <si>
    <t>MIL/LFW/06804</t>
  </si>
  <si>
    <t xml:space="preserve">DDSV S.p.A. </t>
  </si>
  <si>
    <t>CENTRO</t>
  </si>
  <si>
    <t>MIL/LFW/06807</t>
  </si>
  <si>
    <t>OMSI S.R.L. VIA GIUSEPPE</t>
  </si>
  <si>
    <t xml:space="preserve">BEMOL BUSINESS </t>
  </si>
  <si>
    <t>MIL/LFW/06820</t>
  </si>
  <si>
    <t>ORLANDO SRL</t>
  </si>
  <si>
    <t>BASSOUM TCHAA</t>
  </si>
  <si>
    <t>MRS/LFW/01689</t>
  </si>
  <si>
    <t>DSV AIR &amp; SEA SAS</t>
  </si>
  <si>
    <t>MRS/LFW/01691</t>
  </si>
  <si>
    <t>NAV/LFW/00544</t>
  </si>
  <si>
    <t>AIM CHEMICALS</t>
  </si>
  <si>
    <t>HOPITAL BAPTISTE</t>
  </si>
  <si>
    <t>PAR/LFW/01679</t>
  </si>
  <si>
    <t>ROLLER GRILL</t>
  </si>
  <si>
    <t>MULTI-ACT BF</t>
  </si>
  <si>
    <t>RTM/LFW/06813</t>
  </si>
  <si>
    <t>PHENIX PARTNERS</t>
  </si>
  <si>
    <t>RTM/LFW/06814</t>
  </si>
  <si>
    <t>ANTBA BF</t>
  </si>
  <si>
    <t>RTM/LFW/06815</t>
  </si>
  <si>
    <t>SIVOP</t>
  </si>
  <si>
    <t>RTM/LFW/06816</t>
  </si>
  <si>
    <t>LSA</t>
  </si>
  <si>
    <t>RTM/LFW/06817</t>
  </si>
  <si>
    <t>N.P GANDOUR</t>
  </si>
  <si>
    <t>XIC/LFW/00960</t>
  </si>
  <si>
    <t>DSV AIR &amp;SEA CO LTD</t>
  </si>
  <si>
    <t>ANR/LFW/06777</t>
  </si>
  <si>
    <t>ANR/LFW/06782</t>
  </si>
  <si>
    <t>GIVAUDAN INTERNATIONAL</t>
  </si>
  <si>
    <t xml:space="preserve"> CHOPIN</t>
  </si>
  <si>
    <t>ANR/LFW/06783</t>
  </si>
  <si>
    <t>MATAM S.A N V</t>
  </si>
  <si>
    <t>ANRR/LFW/06784</t>
  </si>
  <si>
    <t>SAS FERLAM</t>
  </si>
  <si>
    <t>ANR/LFW/06786</t>
  </si>
  <si>
    <t>SMT AFRICA</t>
  </si>
  <si>
    <t>BHX/LFW/00419</t>
  </si>
  <si>
    <t>BRUNSWICK</t>
  </si>
  <si>
    <t>BHX/LFW/00420</t>
  </si>
  <si>
    <t>SURVITEC GROUP</t>
  </si>
  <si>
    <t>OTAM CHANTIER</t>
  </si>
  <si>
    <t>LEH/LFW/01678</t>
  </si>
  <si>
    <t>EXTINCTUM</t>
  </si>
  <si>
    <t>RAFIA GBADAMASSI</t>
  </si>
  <si>
    <t>LEH/LFW/01680</t>
  </si>
  <si>
    <t>DSV AIRR &amp; SEA SAS</t>
  </si>
  <si>
    <t>REC LOGISTRICS</t>
  </si>
  <si>
    <t>LYS/LFW/01682</t>
  </si>
  <si>
    <t>TECHNOLOGIE SERVICES</t>
  </si>
  <si>
    <t>COURS LUMIERE</t>
  </si>
  <si>
    <t>LYS/LF/01690</t>
  </si>
  <si>
    <t xml:space="preserve">A 3 SAFE </t>
  </si>
  <si>
    <t>MIL/LFW/06789</t>
  </si>
  <si>
    <t>SILCA S.P.A.</t>
  </si>
  <si>
    <t>DIALLO MAMADOU</t>
  </si>
  <si>
    <t>MRS/LFW/01681</t>
  </si>
  <si>
    <t>DSV AIR &amp;SEA SAS</t>
  </si>
  <si>
    <t>NAV/LFW/00537</t>
  </si>
  <si>
    <t>EXPO SALES AGENCY</t>
  </si>
  <si>
    <t>PAR/LFW/01675</t>
  </si>
  <si>
    <t>SOFEMA</t>
  </si>
  <si>
    <t>FORCE ARMEE TOGO</t>
  </si>
  <si>
    <t>8 CASES STC</t>
  </si>
  <si>
    <t>RTM/06790</t>
  </si>
  <si>
    <t>CONTOUR GLOBAL</t>
  </si>
  <si>
    <t>7CASES STC</t>
  </si>
  <si>
    <t>RTM/LFW/06874</t>
  </si>
  <si>
    <t>OMA LOGISTICS</t>
  </si>
  <si>
    <t>LEH/LFW/01708</t>
  </si>
  <si>
    <t>HBI</t>
  </si>
  <si>
    <t>NAVITRANS AFRICA</t>
  </si>
  <si>
    <t>RTM/LFW/06873</t>
  </si>
  <si>
    <t xml:space="preserve">9 CASES </t>
  </si>
  <si>
    <t>ANR/LFW/06868</t>
  </si>
  <si>
    <t xml:space="preserve">BEDDESCHI </t>
  </si>
  <si>
    <t>5 CASES</t>
  </si>
  <si>
    <t>NAV/LFW/00549</t>
  </si>
  <si>
    <t xml:space="preserve">CHAMUNDA GRAVURE </t>
  </si>
  <si>
    <t xml:space="preserve">M/S IMBALLAGGI </t>
  </si>
  <si>
    <t>1 CASE</t>
  </si>
  <si>
    <t>ZYX13TJ22062</t>
  </si>
  <si>
    <t>SINOMA TECHNICAL</t>
  </si>
  <si>
    <t>2 PACKAGE STC</t>
  </si>
  <si>
    <t>MSC ORIAN</t>
  </si>
  <si>
    <t>ANR/LFW/06886</t>
  </si>
  <si>
    <t>ANR/LFW/06890</t>
  </si>
  <si>
    <t>ANR/LFW/06891</t>
  </si>
  <si>
    <t>FAES FARMA SA</t>
  </si>
  <si>
    <t>ANR/LFW/06900</t>
  </si>
  <si>
    <t>LEH/LFW/01704</t>
  </si>
  <si>
    <t>TOTALENERGIES</t>
  </si>
  <si>
    <t>MIL/LFW/06883</t>
  </si>
  <si>
    <t>MIL/LFW/06885</t>
  </si>
  <si>
    <t>OFFICINA MECCANICA</t>
  </si>
  <si>
    <t>NAV/LFW/00556</t>
  </si>
  <si>
    <t>MACLEODS</t>
  </si>
  <si>
    <t>RTM/LFW/06875</t>
  </si>
  <si>
    <t>RTM/LFW/06881</t>
  </si>
  <si>
    <t xml:space="preserve">JANSEN </t>
  </si>
  <si>
    <t>MARY SARL</t>
  </si>
  <si>
    <t>RTM/LFW/06887</t>
  </si>
  <si>
    <t>ZHENZHEN THREESTARS</t>
  </si>
  <si>
    <t>CLINIQUE AUTEL D'ELIE</t>
  </si>
  <si>
    <t>20 CARTONS</t>
  </si>
  <si>
    <t>MV JOANNA</t>
  </si>
  <si>
    <t>ANRLFW00001146</t>
  </si>
  <si>
    <t>EPS-ENERGIA PHARMA</t>
  </si>
  <si>
    <t>ENERGIA TOGO</t>
  </si>
  <si>
    <t>ANRLFW00001157</t>
  </si>
  <si>
    <t>AGBOSSOU HOLLY GILLES</t>
  </si>
  <si>
    <t>40 SACS</t>
  </si>
  <si>
    <t>ANRLFW00001178</t>
  </si>
  <si>
    <t>SUEZ EAU INDUSTRIELLE</t>
  </si>
  <si>
    <t>FILTRES</t>
  </si>
  <si>
    <t>ANRLFW00001196</t>
  </si>
  <si>
    <t>STC PARTS OF VEHICLES</t>
  </si>
  <si>
    <t>LETO</t>
  </si>
  <si>
    <t>ANRLFW00001311</t>
  </si>
  <si>
    <t xml:space="preserve">STC VEHICLE PARTS </t>
  </si>
  <si>
    <t>ANRLFW00001228</t>
  </si>
  <si>
    <t>AIMZCORP</t>
  </si>
  <si>
    <t>TOGO AGRO</t>
  </si>
  <si>
    <t>STC COMMON PANEL</t>
  </si>
  <si>
    <t>ANRLFW00001270</t>
  </si>
  <si>
    <t>TOP MARINE SERVICES</t>
  </si>
  <si>
    <t>STC 33 CARTONS</t>
  </si>
  <si>
    <t>ANRLFW00001168</t>
  </si>
  <si>
    <t>VERVE HUMA CARE</t>
  </si>
  <si>
    <t>M/S CAMEG TOGO</t>
  </si>
  <si>
    <t>100 BOXES</t>
  </si>
  <si>
    <t>MSC MANDY</t>
  </si>
  <si>
    <t>ANR/LFW/06915</t>
  </si>
  <si>
    <t>GOT/LFW/06912</t>
  </si>
  <si>
    <t xml:space="preserve">MARINFLOC SERVICE </t>
  </si>
  <si>
    <t>PIL TOGO</t>
  </si>
  <si>
    <t>GOT/LFW/0614</t>
  </si>
  <si>
    <t>SAINT GOBAIN</t>
  </si>
  <si>
    <t>INSTITUT Français</t>
  </si>
  <si>
    <t>MRS/LFW/06911</t>
  </si>
  <si>
    <t>COMEX S.A</t>
  </si>
  <si>
    <t>TIMARA WENE VIGER</t>
  </si>
  <si>
    <t>PAR/LFW/06879</t>
  </si>
  <si>
    <t>SOMP CENTRE</t>
  </si>
  <si>
    <t>MSC CORUNA</t>
  </si>
  <si>
    <t>ANR/LFW/06918</t>
  </si>
  <si>
    <t>BEDESCHI S.P.A.</t>
  </si>
  <si>
    <t>ANR/LFW/06929</t>
  </si>
  <si>
    <t>CORROSION</t>
  </si>
  <si>
    <t>ANR/LFW/06934</t>
  </si>
  <si>
    <t>ANR/LFW/06942</t>
  </si>
  <si>
    <t>TTM</t>
  </si>
  <si>
    <t>GIZ TOGO</t>
  </si>
  <si>
    <t>2 EUROPALLET</t>
  </si>
  <si>
    <t>ANR/LFW/06943</t>
  </si>
  <si>
    <t>TOP COSMETIC</t>
  </si>
  <si>
    <t>ANR/LFW/06953</t>
  </si>
  <si>
    <t>DUR/LFW/04807</t>
  </si>
  <si>
    <t>TECMAN SOUTH AFRICA</t>
  </si>
  <si>
    <t>FPSQD LOME</t>
  </si>
  <si>
    <t>LEH/LFW/06928</t>
  </si>
  <si>
    <t>CV EQUIPMENT</t>
  </si>
  <si>
    <t>LNBTP TOGO</t>
  </si>
  <si>
    <t>LEH/LFW/06936</t>
  </si>
  <si>
    <t>TOTALENERGIES TOGO</t>
  </si>
  <si>
    <t>LYS/LFW/06932</t>
  </si>
  <si>
    <t>MIL/LFW/06920</t>
  </si>
  <si>
    <t>DSV S.P.A.</t>
  </si>
  <si>
    <t>MRS/LFW/06916</t>
  </si>
  <si>
    <t xml:space="preserve">SOCIETE NOUVELLE </t>
  </si>
  <si>
    <t>MRS/LFW/01717</t>
  </si>
  <si>
    <t>MRS/LFW/06922</t>
  </si>
  <si>
    <t>SF FILTRES</t>
  </si>
  <si>
    <t>NGB/LFW/00132</t>
  </si>
  <si>
    <t>RTM/LFW/06917</t>
  </si>
  <si>
    <t>CLEVE &amp; ZONES B.V.</t>
  </si>
  <si>
    <t>HANR22053037P</t>
  </si>
  <si>
    <t>FLSMIDTH SHANGAI</t>
  </si>
  <si>
    <t>SHANR22057285H</t>
  </si>
  <si>
    <t>SHANGHAI YOUTH</t>
  </si>
  <si>
    <t xml:space="preserve">MV LIBRA </t>
  </si>
  <si>
    <t>ANR/LFW/06869</t>
  </si>
  <si>
    <t>FACET France</t>
  </si>
  <si>
    <t>LEH/LFW/01711</t>
  </si>
  <si>
    <t>LEH/LFW/06889</t>
  </si>
  <si>
    <t>CSP</t>
  </si>
  <si>
    <t>LYS/LFW/01710</t>
  </si>
  <si>
    <t>LYS/LFW/01715</t>
  </si>
  <si>
    <t>NGB/LFW/00552</t>
  </si>
  <si>
    <t>SHAH AND SON'S</t>
  </si>
  <si>
    <t>ECOBANK</t>
  </si>
  <si>
    <t>NAV/LFW/00558</t>
  </si>
  <si>
    <t>STE BAMIDEDLE SALL</t>
  </si>
  <si>
    <t>6 PALLESTS STC</t>
  </si>
  <si>
    <t>SHANR22054929A</t>
  </si>
  <si>
    <t>MV LIBRA II</t>
  </si>
  <si>
    <t>TKL/LFW/00555</t>
  </si>
  <si>
    <t>GOGO KOMLAN</t>
  </si>
  <si>
    <t xml:space="preserve">MV PORT GDNIA </t>
  </si>
  <si>
    <t>ANRLFW00001369</t>
  </si>
  <si>
    <t>INTERSEAS TOGO</t>
  </si>
  <si>
    <t>ANRLFW00001386</t>
  </si>
  <si>
    <t>ANRLFW00001358</t>
  </si>
  <si>
    <t>APPRO-TECHNO SPRL</t>
  </si>
  <si>
    <t>MR SANNE PHILIPPE</t>
  </si>
  <si>
    <t>ANRLFW00001410</t>
  </si>
  <si>
    <t>ANRLFW00001383</t>
  </si>
  <si>
    <t>AIRBLAST BVB</t>
  </si>
  <si>
    <t>EVEREST INT'L</t>
  </si>
  <si>
    <t xml:space="preserve"> 1 CASE STC</t>
  </si>
  <si>
    <t>ANRLFW00001469</t>
  </si>
  <si>
    <t>POSTFREI STEELS</t>
  </si>
  <si>
    <t>TOGO AGRO RESOURCE</t>
  </si>
  <si>
    <t>1 PACKAGE</t>
  </si>
  <si>
    <t>ANRLFW00001467</t>
  </si>
  <si>
    <t xml:space="preserve"> 5 CASES STC</t>
  </si>
  <si>
    <t>KYOTO EXPRESS</t>
  </si>
  <si>
    <t>ANR/LFW/06896</t>
  </si>
  <si>
    <t>CORPS DES SAPEURS</t>
  </si>
  <si>
    <t>ANR/LFW/06898</t>
  </si>
  <si>
    <t>ANR/LFW/06909</t>
  </si>
  <si>
    <t>DHL GLOBAL BELGIUM</t>
  </si>
  <si>
    <t xml:space="preserve">SOCIETE UNIFOOD </t>
  </si>
  <si>
    <t>MIL/LFW/01691</t>
  </si>
  <si>
    <t xml:space="preserve">NIHON KOHDEN </t>
  </si>
  <si>
    <t>CNSS TOGO</t>
  </si>
  <si>
    <t>7 BOXPALLETS STC</t>
  </si>
  <si>
    <t>MRS/LFW/01712</t>
  </si>
  <si>
    <t>FIVES PILLARD</t>
  </si>
  <si>
    <t>ANR/LFW/06944</t>
  </si>
  <si>
    <t>SAS WYN MINERALS</t>
  </si>
  <si>
    <t>ANR/LFW/06971</t>
  </si>
  <si>
    <t>STIGE ALSACE</t>
  </si>
  <si>
    <t>LAX/LFW/00049</t>
  </si>
  <si>
    <t>MCGILL INDUSTRIES</t>
  </si>
  <si>
    <t>LEH/LFW/06950</t>
  </si>
  <si>
    <t>PÈRE JONATHAN CODJIE</t>
  </si>
  <si>
    <t>PÈRE JOHNATHAN LOME</t>
  </si>
  <si>
    <t>LEH/LFW/06960</t>
  </si>
  <si>
    <t>METROBOX</t>
  </si>
  <si>
    <t>TOGOSAPRESIC</t>
  </si>
  <si>
    <t>LEH/LFW/06961</t>
  </si>
  <si>
    <t>EVEA SAS DEFI TRANS</t>
  </si>
  <si>
    <t>LON/LFW/00423</t>
  </si>
  <si>
    <t>NRP (IMPOR-EXPORT)</t>
  </si>
  <si>
    <t>MAN/LFW/06895</t>
  </si>
  <si>
    <t>NINA GBAHY</t>
  </si>
  <si>
    <t>AGBEGNIGAN JUSTINE</t>
  </si>
  <si>
    <t>7 CARTONS STC</t>
  </si>
  <si>
    <t>MRS/LFW/06941</t>
  </si>
  <si>
    <t>MONSIEUR MARTIN</t>
  </si>
  <si>
    <t>AFRICA DEM</t>
  </si>
  <si>
    <t>NAV/LFW/00559</t>
  </si>
  <si>
    <t>GLOBAL CONSOLIDATION</t>
  </si>
  <si>
    <t xml:space="preserve">M/S INDUSTRIES </t>
  </si>
  <si>
    <t>NAV/LFW/00561</t>
  </si>
  <si>
    <t>CGMPS-KJB SHIPPING</t>
  </si>
  <si>
    <t xml:space="preserve">CGMPS-KJB SHIPPING </t>
  </si>
  <si>
    <t>RTM/LFW/06962</t>
  </si>
  <si>
    <t>BIO MST GROUP LIMITED</t>
  </si>
  <si>
    <t>SETRAPAL TOGO</t>
  </si>
  <si>
    <t>RTM/LFW/06963</t>
  </si>
  <si>
    <t>USA EMBASSY LOME</t>
  </si>
  <si>
    <t>RTM/LFW/06964</t>
  </si>
  <si>
    <t>GROUP DAVINSHY</t>
  </si>
  <si>
    <t>11BALES STC</t>
  </si>
  <si>
    <t>RTM/LFW/06965</t>
  </si>
  <si>
    <t>MSC ANNA MARIA</t>
  </si>
  <si>
    <t>RTM/LFW/06966</t>
  </si>
  <si>
    <t>GANDOUR</t>
  </si>
  <si>
    <t>ANR/LFW/07004</t>
  </si>
  <si>
    <t>EXCELOR HOLDING</t>
  </si>
  <si>
    <t>NATIONAL MARITIME</t>
  </si>
  <si>
    <t>ANR/LFW/07041</t>
  </si>
  <si>
    <t>CFAO TECHNOLOGIES</t>
  </si>
  <si>
    <t>IST/LFW/0018</t>
  </si>
  <si>
    <t>ISTIKMET DIS TICARET AS</t>
  </si>
  <si>
    <t>EIFFAGE TOGO</t>
  </si>
  <si>
    <t>LAX/LFW/00055</t>
  </si>
  <si>
    <t>MCGILL INDUSTRIES INC</t>
  </si>
  <si>
    <t>LSD13TJ2206210</t>
  </si>
  <si>
    <t>MIL/LFW/06975</t>
  </si>
  <si>
    <t>INDUPLAST TOGO</t>
  </si>
  <si>
    <t>RTM/LFW/07047</t>
  </si>
  <si>
    <t>SHANR22059606J</t>
  </si>
  <si>
    <t>TAO/LFW/00141</t>
  </si>
  <si>
    <t xml:space="preserve">BIOBASE BIOMED CO </t>
  </si>
  <si>
    <t>CONEDIP SARL</t>
  </si>
  <si>
    <t>ANR/LFW/06978</t>
  </si>
  <si>
    <t>ANR/LFW/06980</t>
  </si>
  <si>
    <t>EUROCABLE NV</t>
  </si>
  <si>
    <t>PMI GRAGON</t>
  </si>
  <si>
    <t>1 BOBINE STC</t>
  </si>
  <si>
    <t>ANR/LFW/06982</t>
  </si>
  <si>
    <t>ANR/LFW/06983</t>
  </si>
  <si>
    <t>HEKO KETTEN GMBH</t>
  </si>
  <si>
    <t>ANR/LFW/06984</t>
  </si>
  <si>
    <t xml:space="preserve">BEUMER </t>
  </si>
  <si>
    <t>ANR/LFW/06989</t>
  </si>
  <si>
    <t>ANR/LFW/06997</t>
  </si>
  <si>
    <t xml:space="preserve">CMD ENGRENAGES </t>
  </si>
  <si>
    <t>ANR/LFW/07007</t>
  </si>
  <si>
    <t>CANAL ENGINEERS</t>
  </si>
  <si>
    <t>BCN/LFW/06974</t>
  </si>
  <si>
    <t>BHX/LFW/06951</t>
  </si>
  <si>
    <t xml:space="preserve">OTAM CHANTIER </t>
  </si>
  <si>
    <t>LEH/LFW/06972</t>
  </si>
  <si>
    <t>MAINROCK SASU</t>
  </si>
  <si>
    <t>FTE BURKINA SARL</t>
  </si>
  <si>
    <t>LEH/LFW/06976</t>
  </si>
  <si>
    <t>LEH/LFW/06987</t>
  </si>
  <si>
    <t>ACO SAS</t>
  </si>
  <si>
    <t>LEH/LFW/06992</t>
  </si>
  <si>
    <t>PROMARITIME INT'L</t>
  </si>
  <si>
    <t>ULYSSE TRANSACTION</t>
  </si>
  <si>
    <t>LEH/LFW/06995</t>
  </si>
  <si>
    <t>ETS NOCHER</t>
  </si>
  <si>
    <t>LYS/LFW/07002</t>
  </si>
  <si>
    <t>DSV AIR &amp; SEA SAS ZAC</t>
  </si>
  <si>
    <t>MRS/LFW/06939</t>
  </si>
  <si>
    <t>SOLTEC SRL</t>
  </si>
  <si>
    <t>NETIS TOGO</t>
  </si>
  <si>
    <t>SHAN22058008D</t>
  </si>
  <si>
    <t>ZENITH IMPORT &amp; EXPORT</t>
  </si>
  <si>
    <t>CENTRIFUGE LOME</t>
  </si>
  <si>
    <t>JOANNA</t>
  </si>
  <si>
    <t>ANR/LFW/07013</t>
  </si>
  <si>
    <t>MATAM S.A.N.V</t>
  </si>
  <si>
    <t>ANR/LFW/07015</t>
  </si>
  <si>
    <t>KHI/LFW/00005</t>
  </si>
  <si>
    <t>WATERLINK PAKISTAN</t>
  </si>
  <si>
    <t>M/S SORETRAP</t>
  </si>
  <si>
    <t>LEH/LFW/07005</t>
  </si>
  <si>
    <t>KLUBB</t>
  </si>
  <si>
    <t>SIMPREX</t>
  </si>
  <si>
    <t>MRS/LFW/07009</t>
  </si>
  <si>
    <t>THYSSENKRUPP INDUSTRIAL</t>
  </si>
  <si>
    <t>NAV/LFW/00565</t>
  </si>
  <si>
    <t>ELEGANT TECHNOLOGIES</t>
  </si>
  <si>
    <t>NAV/LFW/00566</t>
  </si>
  <si>
    <t>PAR/LFW/06994</t>
  </si>
  <si>
    <t>SOMTP CENTRE</t>
  </si>
  <si>
    <t>ANRLFW00001482</t>
  </si>
  <si>
    <t xml:space="preserve">VERVE HUMAN CARE </t>
  </si>
  <si>
    <t>ANRLFW00001516</t>
  </si>
  <si>
    <t>TECHNICAS BVBA</t>
  </si>
  <si>
    <t xml:space="preserve"> 1 PALLETS STC</t>
  </si>
  <si>
    <t>ANRLFW00001519</t>
  </si>
  <si>
    <t>ANRLFW00001483</t>
  </si>
  <si>
    <t>GUJARAT NIPPON INT'L</t>
  </si>
  <si>
    <t>2 PACKAGES</t>
  </si>
  <si>
    <t>GH MAESTRO</t>
  </si>
  <si>
    <t>ANR/LFW/07043</t>
  </si>
  <si>
    <t>ANR/LFW/07064</t>
  </si>
  <si>
    <t>FIRMENICH CH PE</t>
  </si>
  <si>
    <t>DODO COSMETIC</t>
  </si>
  <si>
    <t>5 DRUMS STC</t>
  </si>
  <si>
    <t>HSU/LFW/00567</t>
  </si>
  <si>
    <t>GRAABEL PHARMA</t>
  </si>
  <si>
    <t>LON/LFW/07037</t>
  </si>
  <si>
    <t>PRATIKA SARL</t>
  </si>
  <si>
    <t>ILS FEDERATION</t>
  </si>
  <si>
    <t>LYS/LFW/07069</t>
  </si>
  <si>
    <t>ZELLER + GMELIN SARL</t>
  </si>
  <si>
    <t>IMEP BLOUKOUTOU</t>
  </si>
  <si>
    <t>MRS/LFW/07062</t>
  </si>
  <si>
    <t>DTRF</t>
  </si>
  <si>
    <t>NAV/LFW/00564</t>
  </si>
  <si>
    <t>AJANTA PHARMA</t>
  </si>
  <si>
    <t>PROMO SANTE SARL</t>
  </si>
  <si>
    <t>NAV/LFW/00568</t>
  </si>
  <si>
    <t>NAV/LFW/00573</t>
  </si>
  <si>
    <t>HOSPITAL EQUIMENT</t>
  </si>
  <si>
    <t>AGENCE INTERFACE</t>
  </si>
  <si>
    <t>SHANR22059606P</t>
  </si>
  <si>
    <t>SHANR22060541K</t>
  </si>
  <si>
    <t>SHANGAI YOUTH</t>
  </si>
  <si>
    <t>MASTER MT LIBRA II</t>
  </si>
  <si>
    <t>33 PACKAGES</t>
  </si>
  <si>
    <t>TAO/LFW/00143</t>
  </si>
  <si>
    <t>BIOBASE BIOTEN CO</t>
  </si>
  <si>
    <t>ENICI SARL U</t>
  </si>
  <si>
    <t>TAO/LFW/00144</t>
  </si>
  <si>
    <t xml:space="preserve">ZHENGZHOU VOS </t>
  </si>
  <si>
    <t>ANR/LFW/07078</t>
  </si>
  <si>
    <t>4 WOODEN CASE STC2924</t>
  </si>
  <si>
    <t>ANR/LFW/07084</t>
  </si>
  <si>
    <t>WELDING ALLOYS</t>
  </si>
  <si>
    <t>BCN/LFW/07080</t>
  </si>
  <si>
    <t>SOCIETE NOUVELLE LITT</t>
  </si>
  <si>
    <t>CIMCO INDUSTRIELLE</t>
  </si>
  <si>
    <t>LON/LFW/07074</t>
  </si>
  <si>
    <t>HOSPITAL OF HOPE</t>
  </si>
  <si>
    <t>LYS/LFW/07076</t>
  </si>
  <si>
    <t>PRODUR</t>
  </si>
  <si>
    <t>MIL/LFW/07072</t>
  </si>
  <si>
    <t>JOBSON ITALIA SARL</t>
  </si>
  <si>
    <t>MV MSC BRIANNA</t>
  </si>
  <si>
    <t>NAV/LFW/00574</t>
  </si>
  <si>
    <t>DCB</t>
  </si>
  <si>
    <t>PKG/LFW/00123</t>
  </si>
  <si>
    <t xml:space="preserve">OCEAN LINK FREIGHT </t>
  </si>
  <si>
    <t>BZZ WORLD TOGO</t>
  </si>
  <si>
    <t>RTM/LFW/07079</t>
  </si>
  <si>
    <t>ETS RABS</t>
  </si>
  <si>
    <t>SHANR22061006Q</t>
  </si>
  <si>
    <t>TOTAL ENERGIES</t>
  </si>
  <si>
    <t>TOTAL ENERGIES TG</t>
  </si>
  <si>
    <t>TKL/LFW/005576</t>
  </si>
  <si>
    <t>M.M. OVERSEAS INDIA</t>
  </si>
  <si>
    <t>15 PACKAGES</t>
  </si>
  <si>
    <t>ANR/LFW/07088</t>
  </si>
  <si>
    <t xml:space="preserve">O.C.D.I. NATIONAL </t>
  </si>
  <si>
    <t>ANR/LFW/07100</t>
  </si>
  <si>
    <t>KUEHNE+ NAGEL N.V.</t>
  </si>
  <si>
    <t>CAT LOGISTICS</t>
  </si>
  <si>
    <t>ANR/LFW/07101</t>
  </si>
  <si>
    <t>ANR/LFW/07102</t>
  </si>
  <si>
    <t>BCN/LFW/07097</t>
  </si>
  <si>
    <t>BHX/LFW/07085</t>
  </si>
  <si>
    <t>PELGAR INTERNATIONAL</t>
  </si>
  <si>
    <t>NO PEST INT'L</t>
  </si>
  <si>
    <t>JEA/LFW/00007</t>
  </si>
  <si>
    <t>VIRGO TRADING GROUP</t>
  </si>
  <si>
    <t>VIRGO LOME</t>
  </si>
  <si>
    <t>LAX/LFW/00059</t>
  </si>
  <si>
    <t xml:space="preserve">MICGILL INDUSTRIES </t>
  </si>
  <si>
    <t>LEH/LFW/07091</t>
  </si>
  <si>
    <t>E2ME ZAC DES CHEVRES</t>
  </si>
  <si>
    <t>MAN/LFW/07087</t>
  </si>
  <si>
    <t>DANTEC LRD</t>
  </si>
  <si>
    <t>MASTER OF TF VICTORIA</t>
  </si>
  <si>
    <t>NAV/LFW/00579</t>
  </si>
  <si>
    <t>ANRL00001608</t>
  </si>
  <si>
    <t>ANRL00001616</t>
  </si>
  <si>
    <t>ANRL00001641</t>
  </si>
  <si>
    <t>CEET GENERAL</t>
  </si>
  <si>
    <t xml:space="preserve">KALYN HOSPITALITY </t>
  </si>
  <si>
    <t>DIWA INDUSTRIES</t>
  </si>
  <si>
    <t>82 PACKAGES STC</t>
  </si>
  <si>
    <t>ANRL00001656</t>
  </si>
  <si>
    <t xml:space="preserve">UNEED INT'L </t>
  </si>
  <si>
    <t>PROWIDAL DIAGNOSTICS</t>
  </si>
  <si>
    <t>ANRL00001666</t>
  </si>
  <si>
    <t>TOCHEE MEDICAL CO</t>
  </si>
  <si>
    <t xml:space="preserve">GALAXIE EQUIMENT </t>
  </si>
  <si>
    <t>42 CARTONS STC</t>
  </si>
  <si>
    <t>ANRL00001678</t>
  </si>
  <si>
    <t>FORKLIFTCENTER</t>
  </si>
  <si>
    <t>R-LOGISTICS</t>
  </si>
  <si>
    <t>ANRL00001696</t>
  </si>
  <si>
    <t>FAALCON CONCEPTS</t>
  </si>
  <si>
    <t>PIA</t>
  </si>
  <si>
    <t>ANRL/LFW/00583</t>
  </si>
  <si>
    <t>LICHEM</t>
  </si>
  <si>
    <t>APROMED PHARMA</t>
  </si>
  <si>
    <t>ANRL/LFW/07149</t>
  </si>
  <si>
    <t>ANR/LFW/07151</t>
  </si>
  <si>
    <t>DUR/LFW/00519</t>
  </si>
  <si>
    <t xml:space="preserve">REMA TIP TOP </t>
  </si>
  <si>
    <t>HAM/LFW/07119</t>
  </si>
  <si>
    <t xml:space="preserve">ZOELLNER SIGNAL </t>
  </si>
  <si>
    <t>MSC TOGO</t>
  </si>
  <si>
    <t>LEH/LFW/07140</t>
  </si>
  <si>
    <t>DIDACTO P/C LAURENCE</t>
  </si>
  <si>
    <t>ASSOCIATION A3D TG</t>
  </si>
  <si>
    <t>LYS/LFW/07143</t>
  </si>
  <si>
    <t>MADIC INDUSTRIES</t>
  </si>
  <si>
    <t>BENIN PETRO SA</t>
  </si>
  <si>
    <t>MRS/LFW/07139</t>
  </si>
  <si>
    <t xml:space="preserve">CARIF SAS </t>
  </si>
  <si>
    <t>SITRAPAT SA</t>
  </si>
  <si>
    <t>2 PALLESTS STC</t>
  </si>
  <si>
    <t>PUSANR22090001</t>
  </si>
  <si>
    <t>HONGWOO GLS CO. LTD</t>
  </si>
  <si>
    <t>FOUSSENI GROUP</t>
  </si>
  <si>
    <t>TKL/LFW/00581</t>
  </si>
  <si>
    <t>IMPACT HEALTHCARE</t>
  </si>
  <si>
    <t>OCDI CARITAS</t>
  </si>
  <si>
    <t>20 PKGS STC</t>
  </si>
  <si>
    <t>MIL/LFW/07148</t>
  </si>
  <si>
    <t>DEM S.P.A.</t>
  </si>
  <si>
    <t>ANR/LFW/07106</t>
  </si>
  <si>
    <t>CMC EXPLOITATION SA</t>
  </si>
  <si>
    <t>FTC</t>
  </si>
  <si>
    <t>JEA/LFW/00009</t>
  </si>
  <si>
    <t>MARINETECH SHIP</t>
  </si>
  <si>
    <t>MASTER MSC FLORIANA</t>
  </si>
  <si>
    <t>SHANR22062317G</t>
  </si>
  <si>
    <t>MASTER MV MSC EMILIE</t>
  </si>
  <si>
    <t>TKL/LFW/00578</t>
  </si>
  <si>
    <t>LABEL PHARMA</t>
  </si>
  <si>
    <t>TKL/LFWW/00580</t>
  </si>
  <si>
    <t>TXGLLFW2198459V</t>
  </si>
  <si>
    <t>CHINA PETROLEUM</t>
  </si>
  <si>
    <t>ANRLFW00001733</t>
  </si>
  <si>
    <t>ANRLFW00001748</t>
  </si>
  <si>
    <t>ANRLFW00001817</t>
  </si>
  <si>
    <t>ANRLFW00001818</t>
  </si>
  <si>
    <t>PROMILL S.A.S</t>
  </si>
  <si>
    <t>ANR/LFW/07142</t>
  </si>
  <si>
    <t>FLENDER-GRAFFENSTADEN</t>
  </si>
  <si>
    <t>ARW/LFW/00297</t>
  </si>
  <si>
    <t>MAAGD INDUSTRIAL</t>
  </si>
  <si>
    <t>BRF/LFW/07113</t>
  </si>
  <si>
    <t>STEWART INTER SEA</t>
  </si>
  <si>
    <t>STEWART INTER</t>
  </si>
  <si>
    <t>BRF/LFW/07132</t>
  </si>
  <si>
    <t>AP LOGISTICS INDIA</t>
  </si>
  <si>
    <t>PLANET LOGISTICS TG</t>
  </si>
  <si>
    <t>GDN/LFW/07116</t>
  </si>
  <si>
    <t>CARRIER MANUFACTURING</t>
  </si>
  <si>
    <t>MT BITU RIVER</t>
  </si>
  <si>
    <t>4 PALLESTS STC</t>
  </si>
  <si>
    <t>JEA/LFW/00008</t>
  </si>
  <si>
    <t>GOLTENS CO</t>
  </si>
  <si>
    <t>MSC FLORIANA</t>
  </si>
  <si>
    <t>LEH/LFW/07093</t>
  </si>
  <si>
    <t>LEH/LFW/07096</t>
  </si>
  <si>
    <t>AERZEN-France S.A.S</t>
  </si>
  <si>
    <t>LEH/LFW/07134</t>
  </si>
  <si>
    <t>LYS/LFW/07128</t>
  </si>
  <si>
    <t xml:space="preserve">DESAUTEL </t>
  </si>
  <si>
    <t>MIL/LFW/07137</t>
  </si>
  <si>
    <t>BOLLORE LOGISTICS ITALY</t>
  </si>
  <si>
    <t>NAV/LFW/00575</t>
  </si>
  <si>
    <t>VENTI OEL DE INDIA</t>
  </si>
  <si>
    <t>SHANR22062790Q</t>
  </si>
  <si>
    <t xml:space="preserve">SIEMENS NV </t>
  </si>
  <si>
    <t>3 WOODEN STC</t>
  </si>
  <si>
    <t>XUC/LFW/07138</t>
  </si>
  <si>
    <t>DSV AIR &amp;SEA CO</t>
  </si>
  <si>
    <t>ANR/LFW/07141</t>
  </si>
  <si>
    <t>34 BAGS &amp; Drums STC</t>
  </si>
  <si>
    <t>ANR/LFW/07177</t>
  </si>
  <si>
    <t>AGFA NV</t>
  </si>
  <si>
    <t>STE HA BABEL SARL</t>
  </si>
  <si>
    <t xml:space="preserve"> 3 PALLETS STC</t>
  </si>
  <si>
    <t>ANR/LFW/07180</t>
  </si>
  <si>
    <t>SYMRISE AG</t>
  </si>
  <si>
    <t>10 STEEL DRUMS</t>
  </si>
  <si>
    <t>ANR/LFW/07189</t>
  </si>
  <si>
    <t>ANR/LFW/07191</t>
  </si>
  <si>
    <t>SOROUBAT-BURKINA</t>
  </si>
  <si>
    <t>ANR/LFW/07192</t>
  </si>
  <si>
    <t>NILOS GMBH &amp; CO</t>
  </si>
  <si>
    <t>ANR/LFW/07200</t>
  </si>
  <si>
    <t>ANR/LFW/07201</t>
  </si>
  <si>
    <t>LEH/LFW/07190</t>
  </si>
  <si>
    <t>PRESENCE GRAPHQUE</t>
  </si>
  <si>
    <t>FATAD/ESTAO</t>
  </si>
  <si>
    <t>LEH/LFW/07199</t>
  </si>
  <si>
    <t>NITRAM</t>
  </si>
  <si>
    <t xml:space="preserve">ENSEMBLE </t>
  </si>
  <si>
    <t>MIL/LFW/07168</t>
  </si>
  <si>
    <t>LEH/LFW/07188</t>
  </si>
  <si>
    <t>NAV/LFW/00589</t>
  </si>
  <si>
    <t>RTM/LFW/07171</t>
  </si>
  <si>
    <t>JANSEN NAINKCK BV</t>
  </si>
  <si>
    <t>GOLD SHIPPING</t>
  </si>
  <si>
    <t>SHANR22065038K</t>
  </si>
  <si>
    <t>GROUPE GATO</t>
  </si>
  <si>
    <t>SIN/LFW/12922</t>
  </si>
  <si>
    <t>DHL GLOBAL</t>
  </si>
  <si>
    <t>SOCIETE FAVOR TRANS</t>
  </si>
  <si>
    <t>TKL/LFW/00586</t>
  </si>
  <si>
    <t>UNITED FREIGHT</t>
  </si>
  <si>
    <t>SODIGAZ  TOGO</t>
  </si>
  <si>
    <t>PORT GDNYNIA</t>
  </si>
  <si>
    <t>ANR/LFW/07193</t>
  </si>
  <si>
    <t>CMS2i SARL</t>
  </si>
  <si>
    <t>ANR/LFW/07217</t>
  </si>
  <si>
    <t>BCN/LFW/07186</t>
  </si>
  <si>
    <t>SOCIETE NOUVELLE</t>
  </si>
  <si>
    <t>CIMBURKINA S.A.</t>
  </si>
  <si>
    <t>LEH/LFW/07144</t>
  </si>
  <si>
    <t>ECOTREND SARL</t>
  </si>
  <si>
    <t>DELTA BTP SARL U</t>
  </si>
  <si>
    <t>LYS/LFW/07212</t>
  </si>
  <si>
    <t>1 ROUTE DE SEMUR</t>
  </si>
  <si>
    <t>LYS/LFW/07214</t>
  </si>
  <si>
    <t>MINET LACING</t>
  </si>
  <si>
    <t>CIMFASO ZONE</t>
  </si>
  <si>
    <t>MIL/LFW/07203</t>
  </si>
  <si>
    <t>PREGEL SPA</t>
  </si>
  <si>
    <t>L'ESSOR DU PAIN</t>
  </si>
  <si>
    <t>MRS/LFW/07195</t>
  </si>
  <si>
    <t>RDT P/C MMPI</t>
  </si>
  <si>
    <t>BOLUDA</t>
  </si>
  <si>
    <t>PAR/LFW/07165</t>
  </si>
  <si>
    <t>BURN CABLE</t>
  </si>
  <si>
    <t>RTM/LFW/07176</t>
  </si>
  <si>
    <t>ORACLE AMERICA</t>
  </si>
  <si>
    <t>SHANR22065415T</t>
  </si>
  <si>
    <t>SHANR22065792W</t>
  </si>
  <si>
    <t>TAO/LFW/00148</t>
  </si>
  <si>
    <t>ANR/LFW/07152</t>
  </si>
  <si>
    <t>OPTIMACHINES ZA</t>
  </si>
  <si>
    <t>UNIVERSITE DE KARA</t>
  </si>
  <si>
    <t>ANR/LFW/07155</t>
  </si>
  <si>
    <t>AIUT SP Z00</t>
  </si>
  <si>
    <t>ANR/LFW/07160</t>
  </si>
  <si>
    <t xml:space="preserve">STAPPERT INTRAMET </t>
  </si>
  <si>
    <t>ANR/LFW/07161</t>
  </si>
  <si>
    <t>BRAND ADDITION</t>
  </si>
  <si>
    <t>MAESK TOGO</t>
  </si>
  <si>
    <t>IST/LFW/00020</t>
  </si>
  <si>
    <t>KINAY TASIMACILIK VE</t>
  </si>
  <si>
    <t>JTB DIS TRICARET</t>
  </si>
  <si>
    <t>LYS/LFW/07159</t>
  </si>
  <si>
    <t>MRS/LFW/07147</t>
  </si>
  <si>
    <t>SHANR22061874S</t>
  </si>
  <si>
    <t>AMD/LFW/00585</t>
  </si>
  <si>
    <t xml:space="preserve">CADILA </t>
  </si>
  <si>
    <t>ANR/LFW/07169</t>
  </si>
  <si>
    <t>ANR/LFW/07170</t>
  </si>
  <si>
    <t>ANR/LFW/07175</t>
  </si>
  <si>
    <t>ALLCHEM SAL OFFSHORE</t>
  </si>
  <si>
    <t>IST/LFW/00019</t>
  </si>
  <si>
    <t>TOSAF TURKEY PLASTIK</t>
  </si>
  <si>
    <t>LEH/LFW/07163</t>
  </si>
  <si>
    <t>SASU GEKA TELECOM</t>
  </si>
  <si>
    <t>TOGO CELLULAIRE</t>
  </si>
  <si>
    <t>6 CARTONS STC</t>
  </si>
  <si>
    <t>LEH/LFW/07173</t>
  </si>
  <si>
    <t xml:space="preserve">REXEL </t>
  </si>
  <si>
    <t>LEH/LFW/07178</t>
  </si>
  <si>
    <t>MEDEXENO</t>
  </si>
  <si>
    <t>MME WARR</t>
  </si>
  <si>
    <t>MIL/LFW/07166</t>
  </si>
  <si>
    <t>C.F. DI CIRO FIOCCHETTI</t>
  </si>
  <si>
    <t>MINISTERE DE LA SANTE</t>
  </si>
  <si>
    <t>NAV/LFW/00587</t>
  </si>
  <si>
    <t>MAGICLOGIYS GLOBAL</t>
  </si>
  <si>
    <t>SAFIOU BOUREYMA</t>
  </si>
  <si>
    <t>RTM/LFW/07133</t>
  </si>
  <si>
    <t>CLEVE &amp; ZONEN B.V.</t>
  </si>
  <si>
    <t>TAO/LFW/00147</t>
  </si>
  <si>
    <t>QUIGDAO RIKEX MARINE</t>
  </si>
  <si>
    <t>MSC PANAYA</t>
  </si>
  <si>
    <t>MAESK CALABAR</t>
  </si>
  <si>
    <t>AMD/LFW/00595</t>
  </si>
  <si>
    <t>ANEETA PLASTPACK</t>
  </si>
  <si>
    <t>NAV/LFW/00594</t>
  </si>
  <si>
    <t>CIRCLE LOGISTICS INDIA</t>
  </si>
  <si>
    <t>NAV/LFW/00597</t>
  </si>
  <si>
    <t>NAV/LFW/00598</t>
  </si>
  <si>
    <t>APPLE FREIGHT &amp; LOGISSTICS</t>
  </si>
  <si>
    <t>GEOCHEM WEST AFRICA</t>
  </si>
  <si>
    <t>ANRLFW00001865</t>
  </si>
  <si>
    <t>DOUAISSIS PREMIUM</t>
  </si>
  <si>
    <t>ANRLFW00001923</t>
  </si>
  <si>
    <t>BYTEBLOCS</t>
  </si>
  <si>
    <t>BYTEBLOCS TOGO</t>
  </si>
  <si>
    <t>ANRLFW00001934</t>
  </si>
  <si>
    <t>INTER-SEA TOGO</t>
  </si>
  <si>
    <t>ANRLFW00001945</t>
  </si>
  <si>
    <t>ANR/LFW/07174</t>
  </si>
  <si>
    <t>ALM INTERNATIONAL SA</t>
  </si>
  <si>
    <t xml:space="preserve">STIEA SARL </t>
  </si>
  <si>
    <t>ANR/LFW/07223</t>
  </si>
  <si>
    <t>DHL GLOBAL FORWARDING</t>
  </si>
  <si>
    <t>ANR/LFW/07226</t>
  </si>
  <si>
    <t>ANR/LFW/07227</t>
  </si>
  <si>
    <t>SEVENLOG BELGIUM</t>
  </si>
  <si>
    <t>LEH/LFW/07209</t>
  </si>
  <si>
    <t>FSP</t>
  </si>
  <si>
    <t>ABIMEX SARL</t>
  </si>
  <si>
    <t>LEH/LFW/07218</t>
  </si>
  <si>
    <t>CIMCO INDUSTRIE</t>
  </si>
  <si>
    <t>LEH/LFW/07219</t>
  </si>
  <si>
    <t xml:space="preserve">CEVA FREIGHT </t>
  </si>
  <si>
    <t>PAR/LFW/07184</t>
  </si>
  <si>
    <t>SOMTP</t>
  </si>
  <si>
    <t>SOMTP ECOTIME</t>
  </si>
  <si>
    <t>LSD13TJ2210421</t>
  </si>
  <si>
    <t>LYS/LFW/07232</t>
  </si>
  <si>
    <t>MRS/LFW/07220</t>
  </si>
  <si>
    <t>TSI</t>
  </si>
  <si>
    <t>MRS/LFW/07222</t>
  </si>
  <si>
    <t xml:space="preserve">ALL4JET </t>
  </si>
  <si>
    <t xml:space="preserve">TOTAL ENERGIES </t>
  </si>
  <si>
    <t>NAV/LFW/00582</t>
  </si>
  <si>
    <t>NAV/LFW/00588</t>
  </si>
  <si>
    <t>ANR/LFW/07224</t>
  </si>
  <si>
    <t>CANAL BV</t>
  </si>
  <si>
    <t>ANR/LFW/07233</t>
  </si>
  <si>
    <t>ANR/LFW/07241</t>
  </si>
  <si>
    <t>NICODEME</t>
  </si>
  <si>
    <t>ANR/LFW/07246</t>
  </si>
  <si>
    <t xml:space="preserve">STIGE </t>
  </si>
  <si>
    <t>ANR/LFW/07248</t>
  </si>
  <si>
    <t>FENCHEM BIOTEK LTD</t>
  </si>
  <si>
    <t>ANR/LFW/07256</t>
  </si>
  <si>
    <t>IST/LFW/00023</t>
  </si>
  <si>
    <t xml:space="preserve">GALATA TASIMACILIK VE </t>
  </si>
  <si>
    <t>KSB BOMPA</t>
  </si>
  <si>
    <t>LEH/LFW/07225</t>
  </si>
  <si>
    <t>GROSSERON ZAC</t>
  </si>
  <si>
    <t>LYS/LFW/07243</t>
  </si>
  <si>
    <t xml:space="preserve">SAS WYN MINERALS </t>
  </si>
  <si>
    <t>NAV/LFW/00592</t>
  </si>
  <si>
    <t xml:space="preserve">AUROCHEM </t>
  </si>
  <si>
    <t>RTM/LFW/07247</t>
  </si>
  <si>
    <t>OTAM</t>
  </si>
  <si>
    <t>SGN/LFW/00199</t>
  </si>
  <si>
    <t>MN SHIPPING CO LTD</t>
  </si>
  <si>
    <t>FOOD INDUSRIY BF</t>
  </si>
  <si>
    <t>ANR/LFW/07262</t>
  </si>
  <si>
    <t>ANR/LFW/07265</t>
  </si>
  <si>
    <t>PROVULCO SAS</t>
  </si>
  <si>
    <t>ANR/LFW/07274</t>
  </si>
  <si>
    <t xml:space="preserve">US STATE DEPARTMENT </t>
  </si>
  <si>
    <t>AMERICAN</t>
  </si>
  <si>
    <t>BCN/LFW/07264</t>
  </si>
  <si>
    <t>PROMOCION</t>
  </si>
  <si>
    <t>W &amp; S PRIVILEGE</t>
  </si>
  <si>
    <t>LEH/LFW/07252</t>
  </si>
  <si>
    <t>TOTAL ENERGIES MARKETING</t>
  </si>
  <si>
    <t>LEH/LFW/07257</t>
  </si>
  <si>
    <t>PARLYM</t>
  </si>
  <si>
    <t>LEH/LFW/07261</t>
  </si>
  <si>
    <t>ERANOVE SA</t>
  </si>
  <si>
    <t>KEKELI EFFICIENT</t>
  </si>
  <si>
    <t>LEH/LFW/07266</t>
  </si>
  <si>
    <t>REXEL France SAS</t>
  </si>
  <si>
    <t>LSD13TJ2211322</t>
  </si>
  <si>
    <t>LYS/LFW/07268</t>
  </si>
  <si>
    <t xml:space="preserve">AS WYN MINERALS </t>
  </si>
  <si>
    <t>MIL/LFW/07250</t>
  </si>
  <si>
    <t>JUS TOGO</t>
  </si>
  <si>
    <t>MRS/LFW/07269</t>
  </si>
  <si>
    <t>ADEM DEMENAGEMENTS</t>
  </si>
  <si>
    <t>MRS/LFW/07270</t>
  </si>
  <si>
    <t>RDT P/C ELECTRO SUD EST</t>
  </si>
  <si>
    <t>PKG/LFW/00124</t>
  </si>
  <si>
    <t>OCEAN LINK FREIGHT</t>
  </si>
  <si>
    <t>BZZWORLD TOGO</t>
  </si>
  <si>
    <t>RTM/LFW/07258</t>
  </si>
  <si>
    <t>AERO GSE</t>
  </si>
  <si>
    <t>STH HANDLING</t>
  </si>
  <si>
    <t>RTM/LFW/07273</t>
  </si>
  <si>
    <t>JANSEN NANINCK BV</t>
  </si>
  <si>
    <t>SHANR22067221G</t>
  </si>
  <si>
    <t>TAO/LFW/001150</t>
  </si>
  <si>
    <t xml:space="preserve">HEMAN LONTTO </t>
  </si>
  <si>
    <t>DOSSOU KOFFI</t>
  </si>
  <si>
    <t>ANR/LFW/07282</t>
  </si>
  <si>
    <t>GIVAUDAN IN'L SA</t>
  </si>
  <si>
    <t>ANR/LFW/07287</t>
  </si>
  <si>
    <t>ANR/LFW/07299</t>
  </si>
  <si>
    <t xml:space="preserve">PA TECHNOLOGIES </t>
  </si>
  <si>
    <t>BRF/LFW/07269</t>
  </si>
  <si>
    <t>PORTWEST CLOTHING</t>
  </si>
  <si>
    <t>ELAN GROUP</t>
  </si>
  <si>
    <t>LEH/LFW/07271</t>
  </si>
  <si>
    <t>ELECTRONIQUE CONTRÔLE</t>
  </si>
  <si>
    <t>ITECH CONSULTING</t>
  </si>
  <si>
    <t>LEH/LFW/07277</t>
  </si>
  <si>
    <t>LEH/LFW/07283</t>
  </si>
  <si>
    <t>COMPAGNE INT'L</t>
  </si>
  <si>
    <t>LEH/LFW/07288</t>
  </si>
  <si>
    <t>WILO EMEP LOME</t>
  </si>
  <si>
    <t>MIL/LFW/07276</t>
  </si>
  <si>
    <t>N.E.S.A.S.R.L.</t>
  </si>
  <si>
    <t>UNDP TOGO</t>
  </si>
  <si>
    <t>MIL/LFW/07278</t>
  </si>
  <si>
    <t xml:space="preserve">BOLLORE LOGISTICS </t>
  </si>
  <si>
    <t>JCEM GROUPE TOGO</t>
  </si>
  <si>
    <t>MRS/LFW/07280</t>
  </si>
  <si>
    <t>ENSTO NOVEXIA SAS</t>
  </si>
  <si>
    <t>ORABANK</t>
  </si>
  <si>
    <t>NAV/LFW/00599</t>
  </si>
  <si>
    <t xml:space="preserve">KERRI ENGINEERING </t>
  </si>
  <si>
    <t>CIMETAL SA</t>
  </si>
  <si>
    <t>NAV/LFW/00603</t>
  </si>
  <si>
    <t>RTM/LFW/07286</t>
  </si>
  <si>
    <t>DAMEN ANCHOR</t>
  </si>
  <si>
    <t>OTAM SHIPYARD</t>
  </si>
  <si>
    <t>SZP/LFW/00521</t>
  </si>
  <si>
    <t>KERRY FREIGHT</t>
  </si>
  <si>
    <t>DIAMOND SHIPPING</t>
  </si>
  <si>
    <t>TAO/LFW/00145</t>
  </si>
  <si>
    <t>SHANDONG LAIZHOU</t>
  </si>
  <si>
    <t>E.G.R.T.P.</t>
  </si>
  <si>
    <t>MSC ALICANTE</t>
  </si>
  <si>
    <t>ANR/LFW/07285</t>
  </si>
  <si>
    <t>S3A SAS</t>
  </si>
  <si>
    <t>DABA SAS</t>
  </si>
  <si>
    <t>ANR/LFW/07305</t>
  </si>
  <si>
    <t>VOSSLOH COGIFER</t>
  </si>
  <si>
    <t>IST/LFW/00025</t>
  </si>
  <si>
    <t>AKALIKO INTERNATIONAL</t>
  </si>
  <si>
    <t>AKALIKO BURKINA SARL</t>
  </si>
  <si>
    <t>LYS/LFW/07294</t>
  </si>
  <si>
    <t>MIL/LFW/07236</t>
  </si>
  <si>
    <t>TABARELLI S.P.A</t>
  </si>
  <si>
    <t>MIL/LFW//07296</t>
  </si>
  <si>
    <t>VIMAR S.P.A</t>
  </si>
  <si>
    <t>IBMA</t>
  </si>
  <si>
    <t>MRS/LFW/07292</t>
  </si>
  <si>
    <t>RTM/LFW/07298</t>
  </si>
  <si>
    <t>HUNTER MARINE</t>
  </si>
  <si>
    <t>M/V RIVER OAK</t>
  </si>
  <si>
    <t>ANRLFW00002215</t>
  </si>
  <si>
    <t>ANRLFW00002239</t>
  </si>
  <si>
    <t xml:space="preserve">AIA ENGINEERING </t>
  </si>
  <si>
    <t>OFHLFW112555</t>
  </si>
  <si>
    <t>KUEHNE + NAGEL</t>
  </si>
  <si>
    <t>OFHLFW112566</t>
  </si>
  <si>
    <t>DAYSTAR POWER</t>
  </si>
  <si>
    <t>ANR/07LFW/07317</t>
  </si>
  <si>
    <t xml:space="preserve">AQUARIUS </t>
  </si>
  <si>
    <t>1 CASE TSC</t>
  </si>
  <si>
    <t>ANR/07LFW/07334</t>
  </si>
  <si>
    <t xml:space="preserve">1 PALLET STC </t>
  </si>
  <si>
    <t>ANR/LFW/07335</t>
  </si>
  <si>
    <t>IST/LFW/00026</t>
  </si>
  <si>
    <t xml:space="preserve">PORTUNUS PORT SPARES </t>
  </si>
  <si>
    <t>LEH/LFW/07314</t>
  </si>
  <si>
    <t>TLD EUROPE</t>
  </si>
  <si>
    <t>ST HANDLING</t>
  </si>
  <si>
    <t>LEH/LFW/07320</t>
  </si>
  <si>
    <t>MIL/LFW/07319</t>
  </si>
  <si>
    <t>TABARELLI SPA</t>
  </si>
  <si>
    <t>MIL/LFW/07324</t>
  </si>
  <si>
    <t>LAIN S.R.L. VIA STATUTO</t>
  </si>
  <si>
    <t>HOUSE OF AVIATION</t>
  </si>
  <si>
    <t>MIL/LFW/07329</t>
  </si>
  <si>
    <t>MIL/LFW/07331</t>
  </si>
  <si>
    <t>STE</t>
  </si>
  <si>
    <t>SHANR23070252M</t>
  </si>
  <si>
    <t xml:space="preserve">ZHEJIANG NEW </t>
  </si>
  <si>
    <t>HOUNKPATI EDOH</t>
  </si>
  <si>
    <t>SHANR23070458X</t>
  </si>
  <si>
    <t>WORLD FAMILY OF RADIO</t>
  </si>
  <si>
    <t>RADIO MARIA</t>
  </si>
  <si>
    <t>AMD/LFW/00611</t>
  </si>
  <si>
    <t>CADILA</t>
  </si>
  <si>
    <t>ANR/LFW/07339</t>
  </si>
  <si>
    <t>ANR/LFW/07340</t>
  </si>
  <si>
    <t>CURRAX GMBH &amp; CO KG</t>
  </si>
  <si>
    <t xml:space="preserve">3 CASES STC </t>
  </si>
  <si>
    <t>ANR/LFW/07345</t>
  </si>
  <si>
    <t>ANR/LFW/ 07350</t>
  </si>
  <si>
    <t xml:space="preserve">BEKO TECHNOLOGIES </t>
  </si>
  <si>
    <t>2 PAKAGES STC</t>
  </si>
  <si>
    <t>HYD/LFW/00612</t>
  </si>
  <si>
    <t>LAKSHMI</t>
  </si>
  <si>
    <t>TOGO SOJA</t>
  </si>
  <si>
    <t>LON/LFW/07343</t>
  </si>
  <si>
    <t>STEWART INTER SEA LTD</t>
  </si>
  <si>
    <t xml:space="preserve">STEWART INTER SEA </t>
  </si>
  <si>
    <t>MIL/LFW/07326</t>
  </si>
  <si>
    <t>MIL/LFW/07333</t>
  </si>
  <si>
    <t>IMPIANTI GUTHERM SRL</t>
  </si>
  <si>
    <t>MRS/LFW/07346</t>
  </si>
  <si>
    <t>2327000075</t>
  </si>
  <si>
    <t>CORDIA</t>
  </si>
  <si>
    <t>LA BONNE SEMENCE</t>
  </si>
  <si>
    <t>ANRLFW00002624</t>
  </si>
  <si>
    <t>CGH BELGIUM NV</t>
  </si>
  <si>
    <t>YATT &amp; CO ENERGY</t>
  </si>
  <si>
    <t>ANRLFW00002629</t>
  </si>
  <si>
    <t>AANRLFW00002634</t>
  </si>
  <si>
    <t>MEDSINGLONG CO LTD</t>
  </si>
  <si>
    <t>BAWOUBADI WANGALA</t>
  </si>
  <si>
    <t>ANR/LFW/07354</t>
  </si>
  <si>
    <t>STAN SAS</t>
  </si>
  <si>
    <t>ANR/LFW/07358</t>
  </si>
  <si>
    <t>CIMFASO</t>
  </si>
  <si>
    <t>ANR/LFW/07364</t>
  </si>
  <si>
    <t>CHI/LFW/00062</t>
  </si>
  <si>
    <t>BIBLE LEAGUE</t>
  </si>
  <si>
    <t>FRATERNITE DES PRISON</t>
  </si>
  <si>
    <t>LEH/LFW/07279</t>
  </si>
  <si>
    <t>MOTEURS LEROY SOMER</t>
  </si>
  <si>
    <t>LEH/LFW/07344</t>
  </si>
  <si>
    <t>PROJETS SANS FRONTIERES</t>
  </si>
  <si>
    <t>OMA</t>
  </si>
  <si>
    <t>LHR/LFW/07338</t>
  </si>
  <si>
    <t>FONTAYNE INT'L LIMITED</t>
  </si>
  <si>
    <t>LYS/LFW/07322</t>
  </si>
  <si>
    <t>MIL/LFW/07353</t>
  </si>
  <si>
    <t>DSV S.P.A</t>
  </si>
  <si>
    <t>MRS/LFW/07347</t>
  </si>
  <si>
    <t>3 STEEL DRUMS</t>
  </si>
  <si>
    <t>MRS/LFW/07351</t>
  </si>
  <si>
    <t>LE VIN A SOI</t>
  </si>
  <si>
    <t>ANR/LFW/07355</t>
  </si>
  <si>
    <t>ANR/LFW/07361</t>
  </si>
  <si>
    <t>CEVA FREIGHT MANAG</t>
  </si>
  <si>
    <t>ANR/LFW/07367</t>
  </si>
  <si>
    <t>ANR/LFW/07368</t>
  </si>
  <si>
    <t>ASANTYS SYSTEMS</t>
  </si>
  <si>
    <t>GIZ LOME</t>
  </si>
  <si>
    <t>ANR/LFW/07369</t>
  </si>
  <si>
    <t xml:space="preserve">KUEHNE + NAGEL </t>
  </si>
  <si>
    <t>ANR/LFW/07370</t>
  </si>
  <si>
    <t>STI SA SOCIETE</t>
  </si>
  <si>
    <t>ANR/LFW/07371</t>
  </si>
  <si>
    <t xml:space="preserve">HAPPERSBERGER </t>
  </si>
  <si>
    <t>LYS/LFW/07360</t>
  </si>
  <si>
    <t>FREYSSINET INTERNTIONAL</t>
  </si>
  <si>
    <t>LYS/LFW/07366</t>
  </si>
  <si>
    <t>NAV/LFW/00616</t>
  </si>
  <si>
    <t>IMBALLAGGI WAEST</t>
  </si>
  <si>
    <t>MSC DENMARK</t>
  </si>
  <si>
    <t>ANR/LFW/07392</t>
  </si>
  <si>
    <t>ANR/LFW/07408</t>
  </si>
  <si>
    <t>LAX/LFW/00063</t>
  </si>
  <si>
    <t>WORLD TELEHEATH</t>
  </si>
  <si>
    <t xml:space="preserve">LIGHT IN THE WORLD </t>
  </si>
  <si>
    <t>LEH/LFW/07381</t>
  </si>
  <si>
    <t>JMB CONSULT</t>
  </si>
  <si>
    <t xml:space="preserve">NOUVELLE LAITERIE </t>
  </si>
  <si>
    <t>MRS/LFW/07390</t>
  </si>
  <si>
    <t xml:space="preserve">2 PACKAGES STC </t>
  </si>
  <si>
    <t>RTM/LFW/07399</t>
  </si>
  <si>
    <t>RTM/LFW/07400</t>
  </si>
  <si>
    <t>SHANR23072860D</t>
  </si>
  <si>
    <t>TKL/LFW/00619</t>
  </si>
  <si>
    <t>JMC EMPORIUM</t>
  </si>
  <si>
    <t>ABIRANGO AICHATOU</t>
  </si>
  <si>
    <t>ANR/LFW/07391</t>
  </si>
  <si>
    <t>GIVAUDAN</t>
  </si>
  <si>
    <t xml:space="preserve">11 PALLETS STC </t>
  </si>
  <si>
    <t>LEH/LFW/07382</t>
  </si>
  <si>
    <t xml:space="preserve">CHU ANGERS </t>
  </si>
  <si>
    <t>LYS/LFW/07385</t>
  </si>
  <si>
    <t>ZELLER+GEMLIN</t>
  </si>
  <si>
    <t>MIL/LFW/07387</t>
  </si>
  <si>
    <t>ROSSINI S.P.A.</t>
  </si>
  <si>
    <t>MIL/LFW/07389</t>
  </si>
  <si>
    <t>MRS/LFW/07374</t>
  </si>
  <si>
    <t>FOODIN SA</t>
  </si>
  <si>
    <t>STE BAMIDELE SARL</t>
  </si>
  <si>
    <t>ANR/LFW/07402</t>
  </si>
  <si>
    <t xml:space="preserve">STAPPERT INT'L </t>
  </si>
  <si>
    <t>8 BUNDLES STC</t>
  </si>
  <si>
    <t>ANR/LFW/07425</t>
  </si>
  <si>
    <t>NEW CONCEPT</t>
  </si>
  <si>
    <t>LEGRAND PASCAL</t>
  </si>
  <si>
    <t>BCN/LFW/07419</t>
  </si>
  <si>
    <t>PROMOTION EXPLOITACION</t>
  </si>
  <si>
    <t>W &amp; S PRIVILEGE SARL</t>
  </si>
  <si>
    <t>LYS/LFW/07437</t>
  </si>
  <si>
    <t>ROULEAU PACK</t>
  </si>
  <si>
    <t>MAN/LFW/07410</t>
  </si>
  <si>
    <t>MRS/LFW/07397</t>
  </si>
  <si>
    <t>CEVA FEIGHT MANAG.</t>
  </si>
  <si>
    <t>SZP/LFW/00524</t>
  </si>
  <si>
    <t>HEINEKEN</t>
  </si>
  <si>
    <t>VASCO- BURKINA</t>
  </si>
  <si>
    <t>ANR/LFW/07398</t>
  </si>
  <si>
    <t>TRANSMARE CHEMIE</t>
  </si>
  <si>
    <t>ANR/LFW/07404</t>
  </si>
  <si>
    <t>MLT MINET LACING</t>
  </si>
  <si>
    <t>ANR/LFW/07423</t>
  </si>
  <si>
    <t>NINGBO SEAMARCO</t>
  </si>
  <si>
    <t>PLANET LOGISTICS</t>
  </si>
  <si>
    <t>ANR/LFW/07434</t>
  </si>
  <si>
    <t>ATL/LFW/00065</t>
  </si>
  <si>
    <t>PAGE INTERNATIONAL</t>
  </si>
  <si>
    <t>LON/LFW/07396</t>
  </si>
  <si>
    <t>MILTON LLOYD LTD</t>
  </si>
  <si>
    <t>DOSSEH FAFA</t>
  </si>
  <si>
    <t>LSD13TJ2303122</t>
  </si>
  <si>
    <t>TIANJIN TSUBAKIMOTO</t>
  </si>
  <si>
    <t>MIL/LFW/07394</t>
  </si>
  <si>
    <t>LINCOLN ELECTRIC</t>
  </si>
  <si>
    <t>MIL/LFW/07407</t>
  </si>
  <si>
    <t>GIOTTI ENRICO SPA</t>
  </si>
  <si>
    <t>SBFA</t>
  </si>
  <si>
    <t>MIL/LFW/07431</t>
  </si>
  <si>
    <t>MRS/LFW/07395</t>
  </si>
  <si>
    <t>MICHAUD CHAILLY</t>
  </si>
  <si>
    <t>NAV/LFW/00624</t>
  </si>
  <si>
    <t>NAVIO SHIPPING</t>
  </si>
  <si>
    <t>OSL/LFW/07432</t>
  </si>
  <si>
    <t xml:space="preserve">RMT INDUSTRIE </t>
  </si>
  <si>
    <t>PAR/LFW/07416</t>
  </si>
  <si>
    <t xml:space="preserve">SOMTP CENTRE </t>
  </si>
  <si>
    <t>PKG/LFW/00126</t>
  </si>
  <si>
    <t>ANR/LFW/07469</t>
  </si>
  <si>
    <t>S.P.I.R.E.S</t>
  </si>
  <si>
    <t>ANR/LFW/07476</t>
  </si>
  <si>
    <t>SAVANA</t>
  </si>
  <si>
    <t>SAVANA LOME</t>
  </si>
  <si>
    <t>ANR/LFW/07491</t>
  </si>
  <si>
    <t>AQUARIUS GERMANY</t>
  </si>
  <si>
    <t>ANR/LFW/07492</t>
  </si>
  <si>
    <t xml:space="preserve">MERCK LIFE SCIENCE </t>
  </si>
  <si>
    <t>PEPINO SARL</t>
  </si>
  <si>
    <t>9 PACAKAGES STC</t>
  </si>
  <si>
    <t>ANR/LFW/07494</t>
  </si>
  <si>
    <t>ANR/LFW/07495</t>
  </si>
  <si>
    <t>ANR/LFW/07496</t>
  </si>
  <si>
    <t>STAPPERT INTRAMET SA</t>
  </si>
  <si>
    <t>BCN/LFW/07461</t>
  </si>
  <si>
    <t>FRAGRANCE SCIENCE SL</t>
  </si>
  <si>
    <t>LSD13TJ2304333</t>
  </si>
  <si>
    <t>LYS/LFW/07478</t>
  </si>
  <si>
    <t>LYS/LFW/07480</t>
  </si>
  <si>
    <t>LYS/LFW/07488</t>
  </si>
  <si>
    <t>MIL/LFW/07460</t>
  </si>
  <si>
    <t xml:space="preserve">1 CRATE STC </t>
  </si>
  <si>
    <t>MIL/LFW/07484</t>
  </si>
  <si>
    <t xml:space="preserve">FCL MARINE AGENCIES </t>
  </si>
  <si>
    <t>SILCA TOGO</t>
  </si>
  <si>
    <t>MRS/LFW/07470</t>
  </si>
  <si>
    <t>EQUIMER</t>
  </si>
  <si>
    <t>NAV/LFW/00625</t>
  </si>
  <si>
    <t xml:space="preserve">BEST MARINE EXPORTS </t>
  </si>
  <si>
    <t>MASTER ASM VESSEL</t>
  </si>
  <si>
    <t>NAV/LFW/00626</t>
  </si>
  <si>
    <t>NATURAL HERBAL</t>
  </si>
  <si>
    <t>MONHOUNSO SARL</t>
  </si>
  <si>
    <t>PUS/LFW/00964</t>
  </si>
  <si>
    <t>LEONA SEA &amp; AIR</t>
  </si>
  <si>
    <t>MASTER OF MT G DONA</t>
  </si>
  <si>
    <t>ANR/LFW/07468</t>
  </si>
  <si>
    <t>ANR/LFW/07482</t>
  </si>
  <si>
    <t>ENTREPRISE WAZIR SA</t>
  </si>
  <si>
    <t>BHX/LFW/07451</t>
  </si>
  <si>
    <t>BRUNSWICK INT'L</t>
  </si>
  <si>
    <t>LEH/LFW/07475</t>
  </si>
  <si>
    <t>LON/LFW/07453</t>
  </si>
  <si>
    <t>FONTAYNE INT'L</t>
  </si>
  <si>
    <t>1 PACKAGES STC</t>
  </si>
  <si>
    <t>PAR/LFW/07465</t>
  </si>
  <si>
    <t>ROUKEYA ABOKOU</t>
  </si>
  <si>
    <t>ALIMATOU OURO</t>
  </si>
  <si>
    <t>SHANR23073712L</t>
  </si>
  <si>
    <t>MASTER OF SARYA</t>
  </si>
  <si>
    <t>21 PACKAGES STC</t>
  </si>
  <si>
    <t>ANR/LFW/07436</t>
  </si>
  <si>
    <t>ANR/LFW/LFW/07447</t>
  </si>
  <si>
    <t>FAAES  FARMA</t>
  </si>
  <si>
    <t>CSC PHARMA</t>
  </si>
  <si>
    <t>ANR/LFW/07458</t>
  </si>
  <si>
    <t>SAREL CMTP TOGO</t>
  </si>
  <si>
    <t xml:space="preserve">2 CASES STC </t>
  </si>
  <si>
    <t>LAX/LFW/00064</t>
  </si>
  <si>
    <t>LEH/LFW/07414</t>
  </si>
  <si>
    <t xml:space="preserve">ASI BF </t>
  </si>
  <si>
    <t xml:space="preserve">4 CASES STC </t>
  </si>
  <si>
    <t>MSC  MARGARITA</t>
  </si>
  <si>
    <t>LEH/LFW/07422</t>
  </si>
  <si>
    <t>ETE FLOEX</t>
  </si>
  <si>
    <t>LEH/LFW/07440</t>
  </si>
  <si>
    <t>CEVA FREIGHT MANAG.</t>
  </si>
  <si>
    <t>LEH/LFW/07448</t>
  </si>
  <si>
    <t xml:space="preserve">APE ETIQUETTES </t>
  </si>
  <si>
    <t>LYS/LFW/07444</t>
  </si>
  <si>
    <t>LYS/LFW/07455</t>
  </si>
  <si>
    <t>DESAUTEL</t>
  </si>
  <si>
    <t>MAN/LFW/07450</t>
  </si>
  <si>
    <t>MIL/LFW/07439</t>
  </si>
  <si>
    <t>OLTEK SRL</t>
  </si>
  <si>
    <t>MIL/LFW/07442</t>
  </si>
  <si>
    <t>JUS DELICE</t>
  </si>
  <si>
    <t>MRS/LFW/07443</t>
  </si>
  <si>
    <t>NAV/LFW/00622</t>
  </si>
  <si>
    <t>PAR/LFW/07446</t>
  </si>
  <si>
    <t>RTM/LFW/07462</t>
  </si>
  <si>
    <t xml:space="preserve">FPS FAMOUS PACIFIC </t>
  </si>
  <si>
    <t>RTM/LFW/07463</t>
  </si>
  <si>
    <t>RTM/LFW/07467</t>
  </si>
  <si>
    <t>CORROSION MARITIME BV</t>
  </si>
  <si>
    <t>BOLUD LOME</t>
  </si>
  <si>
    <t>TXG/LFW/2303030</t>
  </si>
  <si>
    <t>JIN YU SING ENTERPRISE</t>
  </si>
  <si>
    <t>PLASTICA TOGO</t>
  </si>
  <si>
    <t>TYO/LFW/00129</t>
  </si>
  <si>
    <t>TOYTA MOTOR CORPPRATION</t>
  </si>
  <si>
    <t xml:space="preserve">3 CARTONS STC </t>
  </si>
  <si>
    <t xml:space="preserve">MSC MAUREEN </t>
  </si>
  <si>
    <t>ANR/LFW/07502</t>
  </si>
  <si>
    <t>ANR/LFW/07504</t>
  </si>
  <si>
    <t>ANR/LFW/07505</t>
  </si>
  <si>
    <t>NYKEI WEST AFRICA BV</t>
  </si>
  <si>
    <t>ANR/LFW/07510</t>
  </si>
  <si>
    <t>LDE ARTEMIS</t>
  </si>
  <si>
    <t>FRACHT TOGO SA</t>
  </si>
  <si>
    <t>KEL/LFW/2305016</t>
  </si>
  <si>
    <t>MPP SOLAR INC</t>
  </si>
  <si>
    <t>MAWULI YAWA</t>
  </si>
  <si>
    <t>LEH/LFW/07481</t>
  </si>
  <si>
    <t>FADINI MECCANICA</t>
  </si>
  <si>
    <t>LON/LFW/07499</t>
  </si>
  <si>
    <t>MIRION TECHNOLOGIES</t>
  </si>
  <si>
    <t>MIA/LFW/00070</t>
  </si>
  <si>
    <t>MIL/LFW/07500</t>
  </si>
  <si>
    <t>C.G.R. CORNELIO</t>
  </si>
  <si>
    <t>AFRICA POWER</t>
  </si>
  <si>
    <t>MRS/LFW/07501</t>
  </si>
  <si>
    <t>ALPHA LAB</t>
  </si>
  <si>
    <t>INH</t>
  </si>
  <si>
    <t>NAV/LFW/00628</t>
  </si>
  <si>
    <t>TAO/LFW/00151</t>
  </si>
  <si>
    <t>DHL GHANA</t>
  </si>
  <si>
    <t>ANR/LFW/07511</t>
  </si>
  <si>
    <t>DIECKMANN</t>
  </si>
  <si>
    <t>ANR/LFW/07515</t>
  </si>
  <si>
    <t>OKO SATURN</t>
  </si>
  <si>
    <t>JAPAN MOTORS SAS</t>
  </si>
  <si>
    <t>ANR/LFW/05516</t>
  </si>
  <si>
    <t xml:space="preserve">PROLABO DIAGNOSRICS </t>
  </si>
  <si>
    <t>ANR/LFW/07518</t>
  </si>
  <si>
    <t>XINGUN ROPE CABLE</t>
  </si>
  <si>
    <t>SHIP SPARE IN TRANSIT</t>
  </si>
  <si>
    <t>ANR/LFW/00128</t>
  </si>
  <si>
    <t>BHX/LFW/07508</t>
  </si>
  <si>
    <t>PEWAG UK LIMITED</t>
  </si>
  <si>
    <t>LEH/LFW/07506</t>
  </si>
  <si>
    <t xml:space="preserve">SAB VIA SALTO </t>
  </si>
  <si>
    <t>MRS/LFW/07514</t>
  </si>
  <si>
    <t>WORLD FAIR ZA</t>
  </si>
  <si>
    <t>FEDERATION TG RUGBY</t>
  </si>
  <si>
    <t>NAV/LFW/00636</t>
  </si>
  <si>
    <t>INDUSTRIAL INPUT TRADERS</t>
  </si>
  <si>
    <t>NAV/LFW/00637</t>
  </si>
  <si>
    <t>GLOBESTAR GROUPAGE</t>
  </si>
  <si>
    <t>WEST AFRICA CABLES</t>
  </si>
  <si>
    <t>ANR/LFW/07528</t>
  </si>
  <si>
    <t>WERELD MISSIE HULP</t>
  </si>
  <si>
    <t>ASS. TG DES AVEUGLE</t>
  </si>
  <si>
    <t>ANR/LFW/07531</t>
  </si>
  <si>
    <t>ANR/LFW/07538</t>
  </si>
  <si>
    <t>SEEPEX GMBH</t>
  </si>
  <si>
    <t>CIMCO INDUSTRIE SA</t>
  </si>
  <si>
    <t>LEH/LFW/07524</t>
  </si>
  <si>
    <t xml:space="preserve">LEH/LFW/07532 </t>
  </si>
  <si>
    <t>AGL CONSEIL SAS</t>
  </si>
  <si>
    <t xml:space="preserve">6 BOXES STC </t>
  </si>
  <si>
    <t>LON/LFW/07512</t>
  </si>
  <si>
    <t xml:space="preserve">FENDECARE LTD </t>
  </si>
  <si>
    <t>GOT/LFW/07513</t>
  </si>
  <si>
    <t>EPIROC ROCK DRILLS AB</t>
  </si>
  <si>
    <t>WINNERS TRANS</t>
  </si>
  <si>
    <t>MAA/LFW/00640</t>
  </si>
  <si>
    <t>NCR CORPORATION</t>
  </si>
  <si>
    <t>OMOA TOGOG</t>
  </si>
  <si>
    <t>MIL/LFW/07526</t>
  </si>
  <si>
    <t>MIL/LFW/07533</t>
  </si>
  <si>
    <t>ISA SPA</t>
  </si>
  <si>
    <t>MOUNA FOOD</t>
  </si>
  <si>
    <t>MIL/LFW/07537</t>
  </si>
  <si>
    <t>NAV/LFW/00638</t>
  </si>
  <si>
    <t>CARGO ONE OCEANAIR</t>
  </si>
  <si>
    <t>PAR/LFW/07473</t>
  </si>
  <si>
    <t>2 EURPPALLETSS STC</t>
  </si>
  <si>
    <t>ANR/LFW/07542</t>
  </si>
  <si>
    <t>NP GANDOUR TOGO</t>
  </si>
  <si>
    <t>5 PALLESTS STC</t>
  </si>
  <si>
    <t>ANR/LFW/07545</t>
  </si>
  <si>
    <t>ANR/LFW/07554</t>
  </si>
  <si>
    <t>STAPPERT INTRAMET</t>
  </si>
  <si>
    <t>LEH/LFW/07521</t>
  </si>
  <si>
    <t>LYNX France</t>
  </si>
  <si>
    <t>SONIBABK</t>
  </si>
  <si>
    <t>LON/LFW/7535</t>
  </si>
  <si>
    <t>LYS/LFW/07553</t>
  </si>
  <si>
    <t>ENYS POWER LIONEL LORNE</t>
  </si>
  <si>
    <t>ESE2I SOGEA SATOM</t>
  </si>
  <si>
    <t>MIL/LFW/07551</t>
  </si>
  <si>
    <t>SAGE SRL</t>
  </si>
  <si>
    <t>IMALLAGI WEST AFRICA</t>
  </si>
  <si>
    <t>A PALLET STC</t>
  </si>
  <si>
    <t>MRS/LFW/07547</t>
  </si>
  <si>
    <t>SAS BIOTEKNICS</t>
  </si>
  <si>
    <t>WESTLAB24</t>
  </si>
  <si>
    <t>MRS/LFW/07555</t>
  </si>
  <si>
    <t>NAV/LFW/00641</t>
  </si>
  <si>
    <t>RTM/LFW/07523</t>
  </si>
  <si>
    <t>TRYREONE BV</t>
  </si>
  <si>
    <t>INOVA TRADING</t>
  </si>
  <si>
    <t>VLC/LFW/07544</t>
  </si>
  <si>
    <t xml:space="preserve">PROMOTION EXPORTATION </t>
  </si>
  <si>
    <t xml:space="preserve">W&amp;S PRIVILEGE </t>
  </si>
  <si>
    <t>BLR/LFW/00643</t>
  </si>
  <si>
    <t>HAM/LFW/07566</t>
  </si>
  <si>
    <t>ASPERA BRAUEREIB RIESE</t>
  </si>
  <si>
    <t>IST/LFW/00029</t>
  </si>
  <si>
    <t>DSV HAVA VE DENUZ</t>
  </si>
  <si>
    <t>GROUP GATO</t>
  </si>
  <si>
    <t>LYS/LFW/07</t>
  </si>
  <si>
    <t xml:space="preserve">APPLICATION DES GAZ </t>
  </si>
  <si>
    <t>ORYX BURKINA</t>
  </si>
  <si>
    <t>MSC BARBADOS</t>
  </si>
  <si>
    <t>ANR/LFW/07591</t>
  </si>
  <si>
    <t>APS GROUP BV</t>
  </si>
  <si>
    <t>MAERSK TOGO</t>
  </si>
  <si>
    <t>ANR/LFW/07598</t>
  </si>
  <si>
    <t>RMT INDUSTRIE</t>
  </si>
  <si>
    <t>ANR/LFW/07599</t>
  </si>
  <si>
    <t>LIGUE POUR LA LECTURE</t>
  </si>
  <si>
    <t>DIDIER KOSSI</t>
  </si>
  <si>
    <t>LEH/LFW/07590</t>
  </si>
  <si>
    <t>CEVA TOGO</t>
  </si>
  <si>
    <t>LEH/LFW/07597</t>
  </si>
  <si>
    <t xml:space="preserve">JA DELMAS </t>
  </si>
  <si>
    <t>SARA GROUP</t>
  </si>
  <si>
    <t>12 PACKAGES STC</t>
  </si>
  <si>
    <t>LON/LFW/07588</t>
  </si>
  <si>
    <t>CARDINAL MARITIME</t>
  </si>
  <si>
    <t>LOGISTIQUE COMM.</t>
  </si>
  <si>
    <t>LYS/LFW/07593</t>
  </si>
  <si>
    <t>LYS/LFW/07596</t>
  </si>
  <si>
    <t>10 PALLETS STSC</t>
  </si>
  <si>
    <t>PAR/LFW/07585</t>
  </si>
  <si>
    <t>PRESENCE GRAPHIQUE</t>
  </si>
  <si>
    <t>SGN/LFW/00246</t>
  </si>
  <si>
    <t>G-LOGISTICS TRADING</t>
  </si>
  <si>
    <t>ZIDNABA INDUSTRIE</t>
  </si>
  <si>
    <t>1 CASES STC</t>
  </si>
  <si>
    <t>ANR/LFW/07602</t>
  </si>
  <si>
    <t>TRAXCO AG</t>
  </si>
  <si>
    <t>MG ODG SARL</t>
  </si>
  <si>
    <t>ANR/LFW/07604</t>
  </si>
  <si>
    <t>MRS/LFW/07587</t>
  </si>
  <si>
    <t>ORDRE DE MALTE</t>
  </si>
  <si>
    <t xml:space="preserve">HOPITAL DE L'ORDRE </t>
  </si>
  <si>
    <t>PKG/LFW/00130</t>
  </si>
  <si>
    <t>OCEAN LINK FREIGHT SERV.</t>
  </si>
  <si>
    <t>TAO/LFW/00156</t>
  </si>
  <si>
    <t>HENANSNOWYOWLMAC</t>
  </si>
  <si>
    <t>SEKOU CISSE LOME</t>
  </si>
  <si>
    <t>MSC YAMUNA</t>
  </si>
  <si>
    <t>HAM/LFW/07632</t>
  </si>
  <si>
    <t>GERMAN LASHING ROBERT</t>
  </si>
  <si>
    <t>LEH/LFW/07630</t>
  </si>
  <si>
    <t>TOTALENERGIES MARK.</t>
  </si>
  <si>
    <t>LEH/LFW/07637</t>
  </si>
  <si>
    <t>SEIMI FANCH LE MER</t>
  </si>
  <si>
    <t>MARINE NATIONAL</t>
  </si>
  <si>
    <t>LON/LFW/07610</t>
  </si>
  <si>
    <t>LON/LFW/07636</t>
  </si>
  <si>
    <t>13 PIECES STC</t>
  </si>
  <si>
    <t>LYS/LFW/07640</t>
  </si>
  <si>
    <t>STAN EXPORT</t>
  </si>
  <si>
    <t>MAA/LFW/00658</t>
  </si>
  <si>
    <t>RTM/LFW/07631</t>
  </si>
  <si>
    <t>EAST WEST SEED INT'L</t>
  </si>
  <si>
    <t>ANTEOR</t>
  </si>
  <si>
    <t>SHANR23083552D</t>
  </si>
  <si>
    <t>SUNWARD INTELLIGENT</t>
  </si>
  <si>
    <t>9 CASES STC</t>
  </si>
  <si>
    <t>MSC CORINA</t>
  </si>
  <si>
    <t>ANR/LFW/07668</t>
  </si>
  <si>
    <t>DOUAISIS PRENIUM</t>
  </si>
  <si>
    <t>ANR/LFW/07678</t>
  </si>
  <si>
    <t>2 BUNDLES STC</t>
  </si>
  <si>
    <t>ANR/LFW/07681</t>
  </si>
  <si>
    <t>KUEHNE+NAGEL NV</t>
  </si>
  <si>
    <t>BCN/LFW/07651</t>
  </si>
  <si>
    <t>PROMOTION EXPORTATION</t>
  </si>
  <si>
    <t>BUC/LFW/00301</t>
  </si>
  <si>
    <t>VIORICA COSMETIC</t>
  </si>
  <si>
    <t>SMHN</t>
  </si>
  <si>
    <t>LEH/LFW/07652</t>
  </si>
  <si>
    <t>LEH/LFW/07655</t>
  </si>
  <si>
    <t>LISE BACCARA</t>
  </si>
  <si>
    <t>FESTIVE TRUST</t>
  </si>
  <si>
    <t>LEH/LFW/07663</t>
  </si>
  <si>
    <t>E2ME SARL</t>
  </si>
  <si>
    <t>LYS/LFW/07667</t>
  </si>
  <si>
    <t>MIL/LFW/07658</t>
  </si>
  <si>
    <t>MIL/LFW/07672</t>
  </si>
  <si>
    <t>ADVANTAGE PARTNER</t>
  </si>
  <si>
    <t>MIL/LFW/07675</t>
  </si>
  <si>
    <t>CGM GRUPPI</t>
  </si>
  <si>
    <t>ELIJAH PARC GLL ZONE</t>
  </si>
  <si>
    <t>2 SKIDS STC</t>
  </si>
  <si>
    <t>MRS/LFW/07661</t>
  </si>
  <si>
    <t>TRADING SERVICE INT'L</t>
  </si>
  <si>
    <t>MRS/LFW/07662</t>
  </si>
  <si>
    <t>MRS/LFW/07670</t>
  </si>
  <si>
    <t>DACHSER France</t>
  </si>
  <si>
    <t xml:space="preserve">OMA </t>
  </si>
  <si>
    <t>NAV/LFW/00674</t>
  </si>
  <si>
    <t>CLASQUIN INDA PVT</t>
  </si>
  <si>
    <t>MEDIMAT AFRIQUE</t>
  </si>
  <si>
    <t>NAV/LFW/00675</t>
  </si>
  <si>
    <t>M/S FIDELITY TEXTILE</t>
  </si>
  <si>
    <t>SAMUEL SAWOUOU</t>
  </si>
  <si>
    <t>PAR/LFW/07659</t>
  </si>
  <si>
    <t>RTM/LFW/07673</t>
  </si>
  <si>
    <t>STEALTH MARITIME CORP.</t>
  </si>
  <si>
    <t>BMA</t>
  </si>
  <si>
    <t>ANR/LFW/07682</t>
  </si>
  <si>
    <t>ANR/LFW/07692</t>
  </si>
  <si>
    <t>LUKIN GEARS France</t>
  </si>
  <si>
    <t>HAM/LFW/07679</t>
  </si>
  <si>
    <t>FLEISCHACKER GMBH</t>
  </si>
  <si>
    <t>UNITED NATIONS</t>
  </si>
  <si>
    <t>KEL/LFW/2309011</t>
  </si>
  <si>
    <t>PACIFIC HOSPITAL SUPPLY</t>
  </si>
  <si>
    <t xml:space="preserve">EXPORTER EG </t>
  </si>
  <si>
    <t>LEH/LFW/07690</t>
  </si>
  <si>
    <t xml:space="preserve">LE DREZEN </t>
  </si>
  <si>
    <t>SMPDD</t>
  </si>
  <si>
    <t>LEH/LFW/07694</t>
  </si>
  <si>
    <t>MIL/LFW/07680</t>
  </si>
  <si>
    <t>SOCORITRA</t>
  </si>
  <si>
    <t>SOCORITA LOME</t>
  </si>
  <si>
    <t>MIL/LFW/07691</t>
  </si>
  <si>
    <t>PAR/LFW/07697</t>
  </si>
  <si>
    <t>SOUDTEC</t>
  </si>
  <si>
    <t>RTM/LFW/07623</t>
  </si>
  <si>
    <t>VALSPAR BV</t>
  </si>
  <si>
    <t>SOCIETE ETOILE</t>
  </si>
  <si>
    <t>TXG/LFW/2309013</t>
  </si>
  <si>
    <t xml:space="preserve">TRANSPAK EQUIPMENT </t>
  </si>
  <si>
    <t>XIC/LFW/07688</t>
  </si>
  <si>
    <t>MSC SWEDEN VI</t>
  </si>
  <si>
    <t>ANR/LFW/07713</t>
  </si>
  <si>
    <t>MATAM S.S. N.V.</t>
  </si>
  <si>
    <t xml:space="preserve">1 CASE STC </t>
  </si>
  <si>
    <t>ANR/LFW/07716</t>
  </si>
  <si>
    <t>NSCT</t>
  </si>
  <si>
    <t>ANR/LFW/07717</t>
  </si>
  <si>
    <t>ANR/LFW/07718</t>
  </si>
  <si>
    <t>NICODEME SA</t>
  </si>
  <si>
    <t>LEH/LFW/07684</t>
  </si>
  <si>
    <t>GRATING EUROPE</t>
  </si>
  <si>
    <t xml:space="preserve">4 PALLETS STC </t>
  </si>
  <si>
    <t>LEH/LFW/07686</t>
  </si>
  <si>
    <t>MEDICALE PHARMA</t>
  </si>
  <si>
    <t>LEH/LFW/07699</t>
  </si>
  <si>
    <t>PERFORM PHARM TG</t>
  </si>
  <si>
    <t>LEH/LFW/07720</t>
  </si>
  <si>
    <t>CREATIV</t>
  </si>
  <si>
    <t>LYS/LFW/07715</t>
  </si>
  <si>
    <t>MRS/LFW/07700</t>
  </si>
  <si>
    <t>MRS/LFW/07709</t>
  </si>
  <si>
    <t>BOREL France</t>
  </si>
  <si>
    <t>NAV/LFW/00685</t>
  </si>
  <si>
    <t>ARGEVILLE SAS</t>
  </si>
  <si>
    <t>PAR/LFW/07696</t>
  </si>
  <si>
    <t>TROIKAA PHARMA</t>
  </si>
  <si>
    <t>PHARMACOL</t>
  </si>
  <si>
    <t>MSC DENMARKVI</t>
  </si>
  <si>
    <t>ANR/LFW/07732</t>
  </si>
  <si>
    <t>ANR/LFW/07738</t>
  </si>
  <si>
    <t>HYDAC France</t>
  </si>
  <si>
    <t>ANR/LFW/07739</t>
  </si>
  <si>
    <t>8 BOXPALLETS STC</t>
  </si>
  <si>
    <t>LON/LFW/07704</t>
  </si>
  <si>
    <t xml:space="preserve">GIVAUDAN </t>
  </si>
  <si>
    <t xml:space="preserve">DSV AIR </t>
  </si>
  <si>
    <t>2 CARTONS STC</t>
  </si>
  <si>
    <t>MRS/LFW/07725</t>
  </si>
  <si>
    <t>SEFE INTERNATIONAL</t>
  </si>
  <si>
    <t>CEET</t>
  </si>
  <si>
    <t>MRS/LFW/07731</t>
  </si>
  <si>
    <t>RTM/LFW/07727</t>
  </si>
  <si>
    <t>FONDATION ALIASSIME</t>
  </si>
  <si>
    <t>SHANR23086042E</t>
  </si>
  <si>
    <t>FENNER DDUNLOP</t>
  </si>
  <si>
    <t>1 ROLL STC</t>
  </si>
  <si>
    <t>XIC/LFW/07734</t>
  </si>
  <si>
    <t>SHANGHAI YOUTH SHIPPING</t>
  </si>
  <si>
    <t xml:space="preserve">TMS </t>
  </si>
  <si>
    <t>XIC/LFW/07735</t>
  </si>
  <si>
    <t>TIAJIN HUICAN ENERGY</t>
  </si>
  <si>
    <t>DAD/LFW/00266</t>
  </si>
  <si>
    <t>MARBLE WORLDWIDE</t>
  </si>
  <si>
    <t xml:space="preserve">KEKELI EFFICIENT </t>
  </si>
  <si>
    <t>1 PACAKAGE STC</t>
  </si>
  <si>
    <t>LEH/LFW/07744</t>
  </si>
  <si>
    <t>LESSONIA CROAS</t>
  </si>
  <si>
    <t>LEH/LFW/07753</t>
  </si>
  <si>
    <t>THEKAMAT SAS</t>
  </si>
  <si>
    <t>TROPICAL ENGENEERING</t>
  </si>
  <si>
    <t>MIL/LFW/07736</t>
  </si>
  <si>
    <t>NAV/LFW/00687</t>
  </si>
  <si>
    <t>INDIKOS FORWARDING</t>
  </si>
  <si>
    <t>ETS ALPHA SANTE</t>
  </si>
  <si>
    <t>NAV/LFW/00688</t>
  </si>
  <si>
    <t>16 PACAKAGES STC</t>
  </si>
  <si>
    <t>TAO/LFW/00159</t>
  </si>
  <si>
    <t>BIOBASE BIOSOLUTION</t>
  </si>
  <si>
    <t>BELIEVER GOD TOGO</t>
  </si>
  <si>
    <t xml:space="preserve">I BUNDLE STC </t>
  </si>
  <si>
    <t>ANR/LFW/07751</t>
  </si>
  <si>
    <t>AGENCE DE DISTRIBUTION</t>
  </si>
  <si>
    <t>ANR/LFW/07788</t>
  </si>
  <si>
    <t>KAESER KOMPRESSOREN</t>
  </si>
  <si>
    <t>1 PALETT STC</t>
  </si>
  <si>
    <t>ANR/LFW/07789</t>
  </si>
  <si>
    <t>ANR/LFW/07790</t>
  </si>
  <si>
    <t>HKG/LFW/00319</t>
  </si>
  <si>
    <t>RSF SOURCING GROUP</t>
  </si>
  <si>
    <t>TEMOINS DE JEHOVAH</t>
  </si>
  <si>
    <t>LEH/LFW/07755</t>
  </si>
  <si>
    <t>LEH/LFW/07777</t>
  </si>
  <si>
    <t>COMPAGNIE INTER.</t>
  </si>
  <si>
    <t>6 PALETTS STC</t>
  </si>
  <si>
    <t>LEH/LFW/07783</t>
  </si>
  <si>
    <t>S.D.M.O INDUSTRIES</t>
  </si>
  <si>
    <t>NORD SUD ENTREPRISE</t>
  </si>
  <si>
    <t>LYS/LFW/07758</t>
  </si>
  <si>
    <t>BCSA GEAR</t>
  </si>
  <si>
    <t>LYS/LFW/07768</t>
  </si>
  <si>
    <t>MAN/LFW/07749</t>
  </si>
  <si>
    <t>FONTAYNE INTERNATIONAL</t>
  </si>
  <si>
    <t>MIL/LFW/07741</t>
  </si>
  <si>
    <t>MIL/LFW/07766</t>
  </si>
  <si>
    <t>UNICOL SRL</t>
  </si>
  <si>
    <t>ETS OPOKOU</t>
  </si>
  <si>
    <t>MIL/LFW/07779</t>
  </si>
  <si>
    <t>GIMA SPA</t>
  </si>
  <si>
    <t>PEPINO TOGO</t>
  </si>
  <si>
    <t>PAR/LFW/07762</t>
  </si>
  <si>
    <t>XIC/LFW/07773</t>
  </si>
  <si>
    <t>DSV AIR &amp;SEA CO..,LTD</t>
  </si>
  <si>
    <t>ANR/LFW/078005</t>
  </si>
  <si>
    <t>NIPRO MEDICAL EUROPE</t>
  </si>
  <si>
    <t>DOGTA LAFIA</t>
  </si>
  <si>
    <t>ANR/LFW/07811</t>
  </si>
  <si>
    <t>FLENDER GRAFFENSTADEN</t>
  </si>
  <si>
    <t>ANR/LFW/07813</t>
  </si>
  <si>
    <t>ANR/LFW/07825</t>
  </si>
  <si>
    <t xml:space="preserve">FRANKLIN FUELING </t>
  </si>
  <si>
    <t>SOTAM</t>
  </si>
  <si>
    <t>ANR/LFW/07826</t>
  </si>
  <si>
    <t>SEVENLOG TOGO</t>
  </si>
  <si>
    <t>IST/LFW/00030</t>
  </si>
  <si>
    <t xml:space="preserve">DELTA ELEKTRIK </t>
  </si>
  <si>
    <t>EKE S.A.R.L TOGO</t>
  </si>
  <si>
    <t>LEH/LFW/07808</t>
  </si>
  <si>
    <t>5 CASES TSC</t>
  </si>
  <si>
    <t>LEH/LFW/07818</t>
  </si>
  <si>
    <t>DRAGOSSOU KOMLAN</t>
  </si>
  <si>
    <t>CLINIC ŒIL ET CERVEAU</t>
  </si>
  <si>
    <t>LYS/LFW/07802</t>
  </si>
  <si>
    <t>MAN/LFW/07791</t>
  </si>
  <si>
    <t>F.S MACKENZIE LTD</t>
  </si>
  <si>
    <t xml:space="preserve">CARLIKS GROUP </t>
  </si>
  <si>
    <t>NAV/LFW/00694</t>
  </si>
  <si>
    <t>LOHIA GLOBAL SOLUTION</t>
  </si>
  <si>
    <t>SORETRAP SRL</t>
  </si>
  <si>
    <t>7 PACAKAGES STC</t>
  </si>
  <si>
    <t>NAV/LFW/00695</t>
  </si>
  <si>
    <t>MSC ORNELLA</t>
  </si>
  <si>
    <t>ANR/LFW/07792</t>
  </si>
  <si>
    <t>N.PGANDOUR</t>
  </si>
  <si>
    <t xml:space="preserve">6 PACKAGES STC </t>
  </si>
  <si>
    <t>ANR/LFW/07795</t>
  </si>
  <si>
    <t>BCN/LFW/07771</t>
  </si>
  <si>
    <t>PROMOTION EXPORTACION</t>
  </si>
  <si>
    <t>W&amp;S PRIVILGE</t>
  </si>
  <si>
    <t>BCN/LFW/07772</t>
  </si>
  <si>
    <t>HS SHIP REPAIRS</t>
  </si>
  <si>
    <t>MORADA AFRICA</t>
  </si>
  <si>
    <t>LYS/LFW/07764</t>
  </si>
  <si>
    <t>LABARONNE CITAF</t>
  </si>
  <si>
    <t>SOCIETE SUNEM</t>
  </si>
  <si>
    <t>MSR/LFW/07775</t>
  </si>
  <si>
    <t>ALLIOS SPORAFRIC</t>
  </si>
  <si>
    <t>NAV/LFW/00690</t>
  </si>
  <si>
    <t>IMBALLAGGI WEST AFR</t>
  </si>
  <si>
    <t>1 WOODEN STC</t>
  </si>
  <si>
    <t>NAV/LFW/00692</t>
  </si>
  <si>
    <t>MSC DENMARK VI</t>
  </si>
  <si>
    <t>ANR/LFW/07798</t>
  </si>
  <si>
    <t>KUTHE</t>
  </si>
  <si>
    <t>ANR/LFW/07799</t>
  </si>
  <si>
    <t>ANR/LFW/07809</t>
  </si>
  <si>
    <t>CSC-PHARMA</t>
  </si>
  <si>
    <t>LEH/LFW/07784</t>
  </si>
  <si>
    <t>SN DU LITORAL</t>
  </si>
  <si>
    <t>CIMBURKINA</t>
  </si>
  <si>
    <t>LYS/LFW/07794</t>
  </si>
  <si>
    <t>MRS/LFW/07797</t>
  </si>
  <si>
    <t>NAV/LFW/00691</t>
  </si>
  <si>
    <t>STERLING &amp;WILSON</t>
  </si>
  <si>
    <t>ANR/LFW/07830</t>
  </si>
  <si>
    <t>DREGRILLON TECHNICAL</t>
  </si>
  <si>
    <t>ANR/LFW/07831</t>
  </si>
  <si>
    <t>ANR/LFW/07835</t>
  </si>
  <si>
    <t>MERCK LIFE SCIENCE</t>
  </si>
  <si>
    <t>PEPINO</t>
  </si>
  <si>
    <t>06 PACKAGE STC</t>
  </si>
  <si>
    <t>ANR/LFW/07836</t>
  </si>
  <si>
    <t>HOU/LFW/00078</t>
  </si>
  <si>
    <t>FLSMIDTH INC</t>
  </si>
  <si>
    <t>HOU/LFW/00079</t>
  </si>
  <si>
    <t>LEH/LFW/07822</t>
  </si>
  <si>
    <t xml:space="preserve">PMI </t>
  </si>
  <si>
    <t>AFRICAN HOTEL</t>
  </si>
  <si>
    <t>LEH/LFW/07834</t>
  </si>
  <si>
    <t>IEE INTERNATIONAL</t>
  </si>
  <si>
    <t>LEH/LFW/07842</t>
  </si>
  <si>
    <t>RICOCHET INTERNATIONAL</t>
  </si>
  <si>
    <t>GTOFI SARL</t>
  </si>
  <si>
    <t>MIL/LFW/07815</t>
  </si>
  <si>
    <t>CITRINE MARINE SERVICE</t>
  </si>
  <si>
    <t>TMS</t>
  </si>
  <si>
    <t>I BUNDLE STC</t>
  </si>
  <si>
    <t>NAV/LFW/00696</t>
  </si>
  <si>
    <t>CLASQUIN INDIA</t>
  </si>
  <si>
    <t>NAV/LFW/00697</t>
  </si>
  <si>
    <t>ZENITH INDUSTRIAL</t>
  </si>
  <si>
    <t>AFRICAN MATERIEL</t>
  </si>
  <si>
    <t>2 PLASTIC STC</t>
  </si>
  <si>
    <t>NAV/LFW/00698</t>
  </si>
  <si>
    <t>ROCLEX TOGO</t>
  </si>
  <si>
    <t>1 PLASTIC STC</t>
  </si>
  <si>
    <t>NGB/LFW/00135</t>
  </si>
  <si>
    <t>LANFENG TECHNOLOGY</t>
  </si>
  <si>
    <t>TECHNO-DIMENSION</t>
  </si>
  <si>
    <t>RTM/LFW/07847</t>
  </si>
  <si>
    <t xml:space="preserve">DAMEN SERVICES </t>
  </si>
  <si>
    <t>SHANR23089323J</t>
  </si>
  <si>
    <t>ANR/LFW/07849</t>
  </si>
  <si>
    <t>13 PACKAGES STC</t>
  </si>
  <si>
    <t>ANR/LFW/07852</t>
  </si>
  <si>
    <t>ANR/LFW/07856</t>
  </si>
  <si>
    <t>ANR/LFW/07858</t>
  </si>
  <si>
    <t>GANTREX SRL</t>
  </si>
  <si>
    <t>04 PALLETS STC</t>
  </si>
  <si>
    <t>ANR/LFW/07859</t>
  </si>
  <si>
    <t>DHL</t>
  </si>
  <si>
    <t>ANR/LFW/07862</t>
  </si>
  <si>
    <t>ANR/LFW/07863</t>
  </si>
  <si>
    <t>ANR/LFW/07864</t>
  </si>
  <si>
    <t>MAA/LFW/00699</t>
  </si>
  <si>
    <t>TIL HEALTHCARE PVT</t>
  </si>
  <si>
    <t>AIP</t>
  </si>
  <si>
    <t>06 PALLETS STC</t>
  </si>
  <si>
    <t>MIL/LFW/07840</t>
  </si>
  <si>
    <t>LEUENBERG</t>
  </si>
  <si>
    <t>PET NIGER</t>
  </si>
  <si>
    <t>PAR/LFW/07820</t>
  </si>
  <si>
    <t xml:space="preserve">SOMP CENTRE </t>
  </si>
  <si>
    <t>PAR/LFW/07845</t>
  </si>
  <si>
    <t>INTERNATIONALCOOKWARE</t>
  </si>
  <si>
    <t>KOSTER KEUNEN WAST</t>
  </si>
  <si>
    <t>BRS/LFW/07832</t>
  </si>
  <si>
    <t>XLEM WATER SERVICE</t>
  </si>
  <si>
    <t>AFRICC EQUIPMENT</t>
  </si>
  <si>
    <t>1 CASE STSC</t>
  </si>
  <si>
    <t>LEH/LFW/07838</t>
  </si>
  <si>
    <t>MIRKA</t>
  </si>
  <si>
    <t>STI SA</t>
  </si>
  <si>
    <t>LEH/LFW/07855</t>
  </si>
  <si>
    <t>MRS/LFW/07848</t>
  </si>
  <si>
    <t>MPM</t>
  </si>
  <si>
    <t>MRS/LFW/07851</t>
  </si>
  <si>
    <t>REPUBLIC TECHNOLOGIES</t>
  </si>
  <si>
    <t>PAR/LFW/07861</t>
  </si>
  <si>
    <t>ANR/LFW/07875</t>
  </si>
  <si>
    <t>SAACKE BRULEURS</t>
  </si>
  <si>
    <t>CIMCO</t>
  </si>
  <si>
    <t>ANR/LFW/07877</t>
  </si>
  <si>
    <t xml:space="preserve">VM STEEL </t>
  </si>
  <si>
    <t>4 BUNDLE STC</t>
  </si>
  <si>
    <t>ANR/LFW/07879</t>
  </si>
  <si>
    <t>EQUIMER DAVID</t>
  </si>
  <si>
    <t>ANR/LFW/07888</t>
  </si>
  <si>
    <t>AUMUND France</t>
  </si>
  <si>
    <t>4  CASES STC</t>
  </si>
  <si>
    <t>LEH/LFW/07867</t>
  </si>
  <si>
    <t>BERTIN TECHNOLOGIES SAS</t>
  </si>
  <si>
    <t>CET</t>
  </si>
  <si>
    <t>LEH/LFW/07869</t>
  </si>
  <si>
    <t>MANUTAN ZAC DES TULIPES</t>
  </si>
  <si>
    <t>SOPREMA</t>
  </si>
  <si>
    <t>LEH/LFW/07884</t>
  </si>
  <si>
    <t>MOTEURS LEBROY</t>
  </si>
  <si>
    <t>MIL/LFW/07873</t>
  </si>
  <si>
    <t>SICON SRL</t>
  </si>
  <si>
    <t>ENCELEC</t>
  </si>
  <si>
    <t>RTM/LFW/07886</t>
  </si>
  <si>
    <t>HOLLAND FARMING</t>
  </si>
  <si>
    <t>LE GRENIER LOME</t>
  </si>
  <si>
    <t>ANR/LFW/07901</t>
  </si>
  <si>
    <t>SCAN-SHIPPING GMBH</t>
  </si>
  <si>
    <t>HALIMATOU</t>
  </si>
  <si>
    <t>ANR/LFW/07902</t>
  </si>
  <si>
    <t>ANR/LFW/07903</t>
  </si>
  <si>
    <t xml:space="preserve">DISCOUNT FIRE SUPPLIES </t>
  </si>
  <si>
    <t>FAT</t>
  </si>
  <si>
    <t>ANR/LFW/07904</t>
  </si>
  <si>
    <t>SNTP</t>
  </si>
  <si>
    <t>LON/LFW/07876</t>
  </si>
  <si>
    <t>CONCEPTS IN FREIGHT</t>
  </si>
  <si>
    <t>ECKANKAR TOGO</t>
  </si>
  <si>
    <t>LYS/LFW/07910</t>
  </si>
  <si>
    <t>AVK SAUDI VALVES</t>
  </si>
  <si>
    <t>AVK TOGO</t>
  </si>
  <si>
    <t>CHI/LFW/00080</t>
  </si>
  <si>
    <t>JED/LFW/00001</t>
  </si>
  <si>
    <t>EDITIONS DU LIVRE</t>
  </si>
  <si>
    <t>EDJADE KIBALOU</t>
  </si>
  <si>
    <t>LEH/LFW/07881</t>
  </si>
  <si>
    <t>MANUTAN ZAC</t>
  </si>
  <si>
    <t>4 CARTONS STC</t>
  </si>
  <si>
    <t>LEH/LFW/07894</t>
  </si>
  <si>
    <t xml:space="preserve">TRADING AND MARKETING </t>
  </si>
  <si>
    <t>LEH/LFW/07898</t>
  </si>
  <si>
    <t>ISOIL IMPIANTI</t>
  </si>
  <si>
    <t>MIL/LFW/07892</t>
  </si>
  <si>
    <t xml:space="preserve">V. MANE FILS </t>
  </si>
  <si>
    <t>MIL/LFW/07905</t>
  </si>
  <si>
    <t>TRADING SERVICES</t>
  </si>
  <si>
    <t>MRS/LFW/07890</t>
  </si>
  <si>
    <t>MRS/LFW/07907</t>
  </si>
  <si>
    <t>DELILA FREYBERG GMBH</t>
  </si>
  <si>
    <t>SHANR24093578B</t>
  </si>
  <si>
    <t>JUMBO EXPORTS</t>
  </si>
  <si>
    <t>8 PACAKAGES STC</t>
  </si>
  <si>
    <t>MSC VIGO</t>
  </si>
  <si>
    <t>ANR/LFW/07909</t>
  </si>
  <si>
    <t>LIEBBER MCCECK</t>
  </si>
  <si>
    <t>ANR/LFW/07920</t>
  </si>
  <si>
    <t>GIVAUDAN SUISSE</t>
  </si>
  <si>
    <t>ANR/LFW/07921</t>
  </si>
  <si>
    <t>FUJIFILM MIDDLE EAST</t>
  </si>
  <si>
    <t>ANR/LFW/07930</t>
  </si>
  <si>
    <t>REXEL</t>
  </si>
  <si>
    <t>JEA/LFW/00016</t>
  </si>
  <si>
    <t>DSV AIR &amp; SEA PVT</t>
  </si>
  <si>
    <t>LEH/LFW/07912</t>
  </si>
  <si>
    <t>NAV/LFW/00701</t>
  </si>
  <si>
    <t>GRT GLOBAL LOGISTICS</t>
  </si>
  <si>
    <t>NAV/LFW/00703</t>
  </si>
  <si>
    <t xml:space="preserve">EV CARGO GLOBAL </t>
  </si>
  <si>
    <t>ANR/LFW/07949</t>
  </si>
  <si>
    <t>ANR/LFW/07950</t>
  </si>
  <si>
    <t>MATAM S.A. N.V.</t>
  </si>
  <si>
    <t xml:space="preserve">2 SHEET STC </t>
  </si>
  <si>
    <t>ANR/LFW/07951</t>
  </si>
  <si>
    <t>ANR/LFW/07952</t>
  </si>
  <si>
    <t>A SHEET STC</t>
  </si>
  <si>
    <t>ANR/LFW/07959</t>
  </si>
  <si>
    <t>F.T. INTERNATIONAL N.V</t>
  </si>
  <si>
    <t>ANR/LFW/07961</t>
  </si>
  <si>
    <t>CLG CONSOLIDATION</t>
  </si>
  <si>
    <t>AFRICA GREEN</t>
  </si>
  <si>
    <t>ANR/LFW/07963</t>
  </si>
  <si>
    <t>LYS/LFW/07965</t>
  </si>
  <si>
    <t>RAYMOND MATHELIN</t>
  </si>
  <si>
    <t>HOPITAL NADOUVI</t>
  </si>
  <si>
    <t>MRS/LFW/07944</t>
  </si>
  <si>
    <t>NAV/LFW/00707</t>
  </si>
  <si>
    <t>ANR/LFW/07958</t>
  </si>
  <si>
    <t xml:space="preserve">PRYSMAN CABLES </t>
  </si>
  <si>
    <t>ANR/LFW/07966</t>
  </si>
  <si>
    <t>SCORE INTERNATIONAL</t>
  </si>
  <si>
    <t>29 PACKAGES STC</t>
  </si>
  <si>
    <t>ANR/LFW/07968</t>
  </si>
  <si>
    <t>USA AMBASSADOR</t>
  </si>
  <si>
    <t>ANR/LFW/07969</t>
  </si>
  <si>
    <t>C/O ALLCHEM SAL OFFSHORE</t>
  </si>
  <si>
    <t>LEH/LFW/07918</t>
  </si>
  <si>
    <t>SYNFLEX</t>
  </si>
  <si>
    <t>LEH/LFW/07947</t>
  </si>
  <si>
    <t xml:space="preserve">PTP INDUSTRY </t>
  </si>
  <si>
    <t>LYS/LFW/07960</t>
  </si>
  <si>
    <t>SNF SA</t>
  </si>
  <si>
    <t>ETS SIBEM</t>
  </si>
  <si>
    <t>MRS/LFW/07942</t>
  </si>
  <si>
    <t>WAP-WATER AFRICAN</t>
  </si>
  <si>
    <t>WATER AFRICAN</t>
  </si>
  <si>
    <t>NBO/LFW/00508</t>
  </si>
  <si>
    <t>PROGRAMME FOR CHRIST.</t>
  </si>
  <si>
    <t>REV. DR ADRAKE KOMI</t>
  </si>
  <si>
    <t>ANR/LFW/07996</t>
  </si>
  <si>
    <t>GIVAUDAN NEDERLAND</t>
  </si>
  <si>
    <t>UNIFFOOD SARL</t>
  </si>
  <si>
    <t>ANR/LFW/08001</t>
  </si>
  <si>
    <t xml:space="preserve">EQUIPEMENT &amp; SERVICES </t>
  </si>
  <si>
    <t>EQUIPMENT &amp;SERVICES</t>
  </si>
  <si>
    <t>18 PACKAGES STC</t>
  </si>
  <si>
    <t>LEH/LFW/07971</t>
  </si>
  <si>
    <t>SECATOL</t>
  </si>
  <si>
    <t>LEH/LFW/07976</t>
  </si>
  <si>
    <t>MITSIHBISHI ELECTRIC</t>
  </si>
  <si>
    <t>LEH/LFW/07998</t>
  </si>
  <si>
    <t>CORDERIE DOR EXPORT</t>
  </si>
  <si>
    <t>LYS/LFW/07994</t>
  </si>
  <si>
    <t>MIL/LFW/07981</t>
  </si>
  <si>
    <t>PARFER SITI S.R.L.</t>
  </si>
  <si>
    <t>MIL/LFW/07986</t>
  </si>
  <si>
    <t>EDIMAMEL</t>
  </si>
  <si>
    <t>NAV/LFW/00710</t>
  </si>
  <si>
    <t>SHANR24095328R</t>
  </si>
  <si>
    <t>SHANR24095328S</t>
  </si>
  <si>
    <t>SUNWARD TOGO</t>
  </si>
  <si>
    <t>ANR/LFW/078035</t>
  </si>
  <si>
    <t>ANR/LFW/08039</t>
  </si>
  <si>
    <t>DECGRILLON TECHNICALM</t>
  </si>
  <si>
    <t>LEH/LFW/08022</t>
  </si>
  <si>
    <t>LESSONIA SAS</t>
  </si>
  <si>
    <t>LEH/LFW/08025</t>
  </si>
  <si>
    <t>LEH/LFW/08028</t>
  </si>
  <si>
    <t>PEN/LFW/00134</t>
  </si>
  <si>
    <t>MALAYAN MAXIM</t>
  </si>
  <si>
    <t>PROBIOMEPH</t>
  </si>
  <si>
    <t>TAO/LFW/00160</t>
  </si>
  <si>
    <t>HENAN INGENIOUS</t>
  </si>
  <si>
    <t>ANR/LFW/08005</t>
  </si>
  <si>
    <t>S.P.R.E.S</t>
  </si>
  <si>
    <t>LEH/LFW/07956</t>
  </si>
  <si>
    <t>MECO CONCEPT</t>
  </si>
  <si>
    <t>MR TOI HODABALO</t>
  </si>
  <si>
    <t>LYS/LFW/07990</t>
  </si>
  <si>
    <t>KEIM France</t>
  </si>
  <si>
    <t>ENVOL PARTENARIATS</t>
  </si>
  <si>
    <t>LYS/LFW/08006</t>
  </si>
  <si>
    <t xml:space="preserve">IMEAF </t>
  </si>
  <si>
    <t>SUCCESS JEFFL</t>
  </si>
  <si>
    <t>LYS/LFW/08012</t>
  </si>
  <si>
    <t>LANGLOIS</t>
  </si>
  <si>
    <t>TCHIRANOU SARL</t>
  </si>
  <si>
    <t>MRS/LFW/07992</t>
  </si>
  <si>
    <t xml:space="preserve">TRADING SERVICES </t>
  </si>
  <si>
    <t>ANR/LFW/08010</t>
  </si>
  <si>
    <t>ANR/LFW/08016</t>
  </si>
  <si>
    <t>CSP AFRICA</t>
  </si>
  <si>
    <t>ANR/LFW/08032</t>
  </si>
  <si>
    <t>AFRICA INTEGRATED</t>
  </si>
  <si>
    <t>LEH/LFW/08000</t>
  </si>
  <si>
    <t>SOSEA</t>
  </si>
  <si>
    <t xml:space="preserve"> 1 CRATE STC</t>
  </si>
  <si>
    <t>LEH/LFW/08009</t>
  </si>
  <si>
    <t>MIL/LFW/08014</t>
  </si>
  <si>
    <t>LEUENBERGER+C SPA</t>
  </si>
  <si>
    <t>SOPAL HOLDING</t>
  </si>
  <si>
    <t>RTM/LFW/08003</t>
  </si>
  <si>
    <t>SPEEDAIR INTERNATIONAL</t>
  </si>
  <si>
    <t>SHANR24096212L</t>
  </si>
  <si>
    <t>SARIE INTL FFA TOGO</t>
  </si>
  <si>
    <t>SEVENLOG TOGO SARL</t>
  </si>
  <si>
    <t xml:space="preserve">2 CASE STC </t>
  </si>
  <si>
    <t>LEUENBERGER</t>
  </si>
  <si>
    <t>SOPAL HOLDINGS SARL</t>
  </si>
  <si>
    <t xml:space="preserve">SPEEDAIR International </t>
  </si>
  <si>
    <t xml:space="preserve">3 PALLETS STC </t>
  </si>
  <si>
    <t>ANR/LFW/08049</t>
  </si>
  <si>
    <t>FRANKLIN FUELING</t>
  </si>
  <si>
    <t xml:space="preserve">4 PACKAGES STC </t>
  </si>
  <si>
    <t>BHX/LFW/08023</t>
  </si>
  <si>
    <t>IST/LFW/0031</t>
  </si>
  <si>
    <t xml:space="preserve">OPTICLASS </t>
  </si>
  <si>
    <t>DIVINE OPTIQUE</t>
  </si>
  <si>
    <t>LEH/LFW/08034</t>
  </si>
  <si>
    <t>CREACTIV</t>
  </si>
  <si>
    <t>LEH/LFW/08044</t>
  </si>
  <si>
    <t>MAN/LFW/08031</t>
  </si>
  <si>
    <t xml:space="preserve">REVIVAL MOVEMENT </t>
  </si>
  <si>
    <t>AEE TOGO</t>
  </si>
  <si>
    <t>MIL/LFW/08029</t>
  </si>
  <si>
    <t>BASF ITALIA SPA</t>
  </si>
  <si>
    <t>SHANR24096212F</t>
  </si>
  <si>
    <t>EV CARGO GLOBAL</t>
  </si>
  <si>
    <t xml:space="preserve"> 6 PACKAGES STC </t>
  </si>
  <si>
    <t>ANR/LFW/08061</t>
  </si>
  <si>
    <t>CIMFASA</t>
  </si>
  <si>
    <t>ANE/LFW/08073</t>
  </si>
  <si>
    <t>MATAM SA</t>
  </si>
  <si>
    <t>ANR/LFW/08074</t>
  </si>
  <si>
    <t>LYS/LFW/08038</t>
  </si>
  <si>
    <t>DELTA RESISTANCE</t>
  </si>
  <si>
    <t>LYS/LFW/08048</t>
  </si>
  <si>
    <t>ANAF France</t>
  </si>
  <si>
    <t>DJAM AFRICA</t>
  </si>
  <si>
    <t>MIL/LFW/08054</t>
  </si>
  <si>
    <t>MAPEI SPA</t>
  </si>
  <si>
    <t>MIL/LFW/08060</t>
  </si>
  <si>
    <t>MIL/LFW/08064</t>
  </si>
  <si>
    <t>CO ME SPA</t>
  </si>
  <si>
    <t>SEIDOU TOGO</t>
  </si>
  <si>
    <t>MRS/LFW/08020</t>
  </si>
  <si>
    <t>FIVES PILARD</t>
  </si>
  <si>
    <t>MRS/LFW/08063</t>
  </si>
  <si>
    <t>PAR/LFW/08056</t>
  </si>
  <si>
    <t xml:space="preserve">LOCA IMAGES </t>
  </si>
  <si>
    <t>LOCA IMAGE TOGO</t>
  </si>
  <si>
    <t>RTM/LFW/08057</t>
  </si>
  <si>
    <t xml:space="preserve">DUTCH FARM </t>
  </si>
  <si>
    <t>GROUP AGRO EXPERTISE</t>
  </si>
  <si>
    <t>ANR/LFW/08067</t>
  </si>
  <si>
    <t>ANR/LFW/08088</t>
  </si>
  <si>
    <t>ZINGMAMATALL</t>
  </si>
  <si>
    <t>ANR/LFW/08098</t>
  </si>
  <si>
    <t>ANR/LFW/08099</t>
  </si>
  <si>
    <t>3 PACKAGE STC</t>
  </si>
  <si>
    <t>ANR/LFW/08102</t>
  </si>
  <si>
    <t>OTAM LOME</t>
  </si>
  <si>
    <t>BCN/LFW/08080</t>
  </si>
  <si>
    <t>PROMOCION EXPORTACION</t>
  </si>
  <si>
    <t>LEH/LFW/08018</t>
  </si>
  <si>
    <t>TTA LUBRIFIANTS</t>
  </si>
  <si>
    <t>LEH/LFW/08082</t>
  </si>
  <si>
    <t>LEH/LFW/08084</t>
  </si>
  <si>
    <t>KEKELI TOGO</t>
  </si>
  <si>
    <t>LEH/LFW/08091</t>
  </si>
  <si>
    <t>SNL</t>
  </si>
  <si>
    <t>LYS/LFW/08066</t>
  </si>
  <si>
    <t>CIMCO TOGO</t>
  </si>
  <si>
    <t>MAN/LFW/08050</t>
  </si>
  <si>
    <t>ARCHWAY ENGINEERING</t>
  </si>
  <si>
    <t>RTM/LFW/08075</t>
  </si>
  <si>
    <t xml:space="preserve">JANSEN NANINCK </t>
  </si>
  <si>
    <t>ANR/LFW/08119</t>
  </si>
  <si>
    <t>LEH/LFW/08115</t>
  </si>
  <si>
    <t>INTERNATIONAL ELECTRIC</t>
  </si>
  <si>
    <t>LEH/LFW/08123</t>
  </si>
  <si>
    <t>SUNA DESIGN SA</t>
  </si>
  <si>
    <t>SUNA DESIGN TOGO</t>
  </si>
  <si>
    <t>6 PACKAGE STC</t>
  </si>
  <si>
    <t>LEH/LFW/08125</t>
  </si>
  <si>
    <t>NCI COMPANY</t>
  </si>
  <si>
    <t>2 PALLETS STSC</t>
  </si>
  <si>
    <t>MIL/LFW/08121</t>
  </si>
  <si>
    <t>1 PALLETE STC</t>
  </si>
  <si>
    <t>MRS/LFW/08113</t>
  </si>
  <si>
    <t>ANR/LFW/08135</t>
  </si>
  <si>
    <t>AGBEMEGAH DO</t>
  </si>
  <si>
    <t>REIKA MECANIQUE</t>
  </si>
  <si>
    <t>ANR/LFW/08141</t>
  </si>
  <si>
    <t>ENERGY ASSISTANCE</t>
  </si>
  <si>
    <t>ASSOCIATION PRODIDA</t>
  </si>
  <si>
    <t>ANR/LFW/08153</t>
  </si>
  <si>
    <t>ANR/LFW/08154</t>
  </si>
  <si>
    <t>ANR/LFW/08156</t>
  </si>
  <si>
    <t>DOUAISIS PREMIUM SAS</t>
  </si>
  <si>
    <t>ANR/LFW/08174</t>
  </si>
  <si>
    <t>GDN/LFW/00109</t>
  </si>
  <si>
    <t>EH EUROPE GMBH</t>
  </si>
  <si>
    <t xml:space="preserve">VNG INTERNATIONAL </t>
  </si>
  <si>
    <t xml:space="preserve">10 CASES STC </t>
  </si>
  <si>
    <t>LEH/LFW/08117</t>
  </si>
  <si>
    <t>CARL ZEISS MEDITEC</t>
  </si>
  <si>
    <t>LEH/LFW/08132</t>
  </si>
  <si>
    <t>IEE</t>
  </si>
  <si>
    <t>MRS/LFW/08126</t>
  </si>
  <si>
    <t xml:space="preserve">V MANE FILS </t>
  </si>
  <si>
    <t>MRS/LFW/08130</t>
  </si>
  <si>
    <t>UNIFOOD TOGO</t>
  </si>
  <si>
    <t>OSL/LFW/08134</t>
  </si>
  <si>
    <t>TAMROTOR MARINE</t>
  </si>
  <si>
    <t>GCS MARITIME</t>
  </si>
  <si>
    <t>SHANR24099357T</t>
  </si>
  <si>
    <t>SHANR24100978Y</t>
  </si>
  <si>
    <t>TAO/LFW/00161</t>
  </si>
  <si>
    <t>SHANDONG LINGONG</t>
  </si>
  <si>
    <t>ANR/LFW/08164</t>
  </si>
  <si>
    <t>ANR/LFW/08166</t>
  </si>
  <si>
    <t>KUCHNE+NAGEL N.V</t>
  </si>
  <si>
    <t xml:space="preserve">12 PACKAGES STC </t>
  </si>
  <si>
    <t>ANR/LFW/08168</t>
  </si>
  <si>
    <t>IBERCHEM S.A</t>
  </si>
  <si>
    <t>ANR/LFW/08171</t>
  </si>
  <si>
    <t>4 IBC STC</t>
  </si>
  <si>
    <t>BLR/COO/00606</t>
  </si>
  <si>
    <t>SONAROME PRIVATE</t>
  </si>
  <si>
    <t>PRINCE ET FILS SERVICE</t>
  </si>
  <si>
    <t xml:space="preserve">2 PALLETS STC </t>
  </si>
  <si>
    <t>HAM/LFW/08133</t>
  </si>
  <si>
    <t>AFRICAN ALOE (PTY) LTD</t>
  </si>
  <si>
    <t>CENTRE OMNIT.</t>
  </si>
  <si>
    <t>LEH/LFW/08143</t>
  </si>
  <si>
    <t>IMALAYA France</t>
  </si>
  <si>
    <t>LYS/LFW/08158</t>
  </si>
  <si>
    <t>A3 SAFE FZCO</t>
  </si>
  <si>
    <t>NAV/LFW/00714</t>
  </si>
  <si>
    <t xml:space="preserve">5 CASES STC </t>
  </si>
  <si>
    <t>RTM/LFW/08160</t>
  </si>
  <si>
    <t>CIS INT'L OFFSHORE SAL</t>
  </si>
  <si>
    <t>CIS-TOGO</t>
  </si>
  <si>
    <t>MSC IKARIA IV</t>
  </si>
  <si>
    <t>ANR/LFW/08181</t>
  </si>
  <si>
    <t>PROJECT MANAGEMENT</t>
  </si>
  <si>
    <t>ANR/LFW/08186</t>
  </si>
  <si>
    <t>ENERGIA PROMOTION TG</t>
  </si>
  <si>
    <t xml:space="preserve">5 PALLETS STC </t>
  </si>
  <si>
    <t>ANR/LFW/08191</t>
  </si>
  <si>
    <t>DOUAISIS PRERMIUM</t>
  </si>
  <si>
    <t>ANR/LFW/08205</t>
  </si>
  <si>
    <t>NILOS GMBH</t>
  </si>
  <si>
    <t>LEH/LFW/08180</t>
  </si>
  <si>
    <t xml:space="preserve">FLOWSERVE POMPES </t>
  </si>
  <si>
    <t xml:space="preserve">CGC INTERNATIONAL </t>
  </si>
  <si>
    <t>LEH/LFW/08198</t>
  </si>
  <si>
    <t>LEMER PAX PROTECTING</t>
  </si>
  <si>
    <t>LYS/LFW/08170</t>
  </si>
  <si>
    <t xml:space="preserve">STAN EXPORT </t>
  </si>
  <si>
    <t>MAN/LFW/08176</t>
  </si>
  <si>
    <t>DOMINO UK LIMITED</t>
  </si>
  <si>
    <t>MRS/LFW/08095</t>
  </si>
  <si>
    <t xml:space="preserve">EQUIMER </t>
  </si>
  <si>
    <t>ANR/LFW/08206</t>
  </si>
  <si>
    <t>MAERSK LOGISTICS &amp; SERVICES</t>
  </si>
  <si>
    <t xml:space="preserve">7 PALLETS STC </t>
  </si>
  <si>
    <t>BCN/LFW/08173</t>
  </si>
  <si>
    <t>LYS/LFW/08195</t>
  </si>
  <si>
    <t xml:space="preserve">SAMSON REGULATION </t>
  </si>
  <si>
    <t>PAR/LFW/08203</t>
  </si>
  <si>
    <t xml:space="preserve">PATERSON SIMSONS &amp;CO </t>
  </si>
  <si>
    <t>RTM/LFW/08202</t>
  </si>
  <si>
    <t xml:space="preserve">UNIVERS CARGO </t>
  </si>
  <si>
    <t>SUPER MARITINE</t>
  </si>
  <si>
    <t>RTM/LFW/08211</t>
  </si>
  <si>
    <t>QUANTIPARTS BV</t>
  </si>
  <si>
    <t>ANR/LFW/08204</t>
  </si>
  <si>
    <t>HAM/LFW/08187</t>
  </si>
  <si>
    <t>ZHEJIANG ROCK WILL</t>
  </si>
  <si>
    <t>LON/LFW/08207</t>
  </si>
  <si>
    <t>ABWE</t>
  </si>
  <si>
    <t>MIL/LFW/08200</t>
  </si>
  <si>
    <t>ELCOS SRL</t>
  </si>
  <si>
    <t>QUALITY CORPORATE TG</t>
  </si>
  <si>
    <t>SHANR24103040N</t>
  </si>
  <si>
    <t>MULTI-G BVBA</t>
  </si>
  <si>
    <t>TKL/LFW/00716</t>
  </si>
  <si>
    <t>UNIQUE IMPEX</t>
  </si>
  <si>
    <t xml:space="preserve">SANOU SARL </t>
  </si>
  <si>
    <t>ANR/LFW/08218</t>
  </si>
  <si>
    <t>ANR/LFW/08229</t>
  </si>
  <si>
    <t>SOSEA/ NSCT</t>
  </si>
  <si>
    <t>13 PAKAGES STC</t>
  </si>
  <si>
    <t>HAM/LFW/08215</t>
  </si>
  <si>
    <t xml:space="preserve">NILOS GMBH </t>
  </si>
  <si>
    <t>LEH/LFW/08217</t>
  </si>
  <si>
    <t>EIFFAGE GENIE CIVIL</t>
  </si>
  <si>
    <t>LYS/LFW/08221</t>
  </si>
  <si>
    <t>HAULOTTE</t>
  </si>
  <si>
    <t>HAULOTTE PREMIUM TG</t>
  </si>
  <si>
    <t>SHANR24103523U</t>
  </si>
  <si>
    <t xml:space="preserve">FRACHT </t>
  </si>
  <si>
    <t>FRACHT TOGO</t>
  </si>
  <si>
    <t>SZP/LFW/00527</t>
  </si>
  <si>
    <t>HUAWEI INTERNATIONAL</t>
  </si>
  <si>
    <t>CIS AFRICA (TOGO)</t>
  </si>
  <si>
    <t>ANR/LFW/08177</t>
  </si>
  <si>
    <t>ANTEOR LOME TOGO</t>
  </si>
  <si>
    <t>ANR/LFW/08233</t>
  </si>
  <si>
    <t>TOM-TOGO</t>
  </si>
  <si>
    <t>ANR/LFW/089235</t>
  </si>
  <si>
    <t>MIL/LFW/08223</t>
  </si>
  <si>
    <t>DEST. TOGO</t>
  </si>
  <si>
    <t>MRS/LFW/08225</t>
  </si>
  <si>
    <t>NAV/LFW/00719</t>
  </si>
  <si>
    <t xml:space="preserve">DIVYA ENTERPRISES </t>
  </si>
  <si>
    <t xml:space="preserve"> 4 CASES STC</t>
  </si>
  <si>
    <t>PAR/LFW/08209</t>
  </si>
  <si>
    <t>SOUDOTEC</t>
  </si>
  <si>
    <t>SHANR24104502L</t>
  </si>
  <si>
    <t xml:space="preserve">BIG PAWER ELECTRICAL </t>
  </si>
  <si>
    <t>ANR/LFW/08260</t>
  </si>
  <si>
    <t>ARI MEDICAL TECHNOLOGY</t>
  </si>
  <si>
    <t>ANR/LFW/08261</t>
  </si>
  <si>
    <t>BUC/LFW/08254</t>
  </si>
  <si>
    <t>MARGY</t>
  </si>
  <si>
    <t>JEA/LFW/00001</t>
  </si>
  <si>
    <t>PRECISION INDUSTRIES</t>
  </si>
  <si>
    <t>PRECISION INDUSTRIES TG</t>
  </si>
  <si>
    <t xml:space="preserve">2 PACKAGE STC </t>
  </si>
  <si>
    <t>LEH/LFW/08249</t>
  </si>
  <si>
    <t>SNAC</t>
  </si>
  <si>
    <t>SIHG</t>
  </si>
  <si>
    <t>TKL/LFW/00720</t>
  </si>
  <si>
    <t>OCDI CARTAS TOGO</t>
  </si>
  <si>
    <t>ANR/LFW/08264</t>
  </si>
  <si>
    <t xml:space="preserve">3 PACKAGES STC </t>
  </si>
  <si>
    <t>ANR/LFW/08274</t>
  </si>
  <si>
    <t>GDN/LFW/00110</t>
  </si>
  <si>
    <t xml:space="preserve">LINCOLN ELECTRIC </t>
  </si>
  <si>
    <t>LEH/LFW/08251</t>
  </si>
  <si>
    <t xml:space="preserve">MORANCE SOUDURE </t>
  </si>
  <si>
    <t>CIM GOURMA</t>
  </si>
  <si>
    <t>LEH/LFW/08257</t>
  </si>
  <si>
    <t>MRS/LFW/08245</t>
  </si>
  <si>
    <t>RTM/LFW/08259</t>
  </si>
  <si>
    <t>UNIVERS CARGO LTD</t>
  </si>
  <si>
    <t>SUPER MARITIME</t>
  </si>
  <si>
    <t>ANR/LFW/08263</t>
  </si>
  <si>
    <t>ANR/LFW/08275</t>
  </si>
  <si>
    <t>ANR/LFW/08278</t>
  </si>
  <si>
    <t>ERIKS BELGIUM</t>
  </si>
  <si>
    <t>ANR/LFW/08283</t>
  </si>
  <si>
    <t>NEKTON INDIA</t>
  </si>
  <si>
    <t>BOURAIMA SOULEMANA</t>
  </si>
  <si>
    <t>ANR/LFW/08284</t>
  </si>
  <si>
    <t>SILESIA GERHARD</t>
  </si>
  <si>
    <t>CAS/LFW/00587</t>
  </si>
  <si>
    <t>AUTELEC</t>
  </si>
  <si>
    <t>AFRICA GLOBAL</t>
  </si>
  <si>
    <t>HAM/LFW/08265</t>
  </si>
  <si>
    <t>RULAN EVERY MACHINERY</t>
  </si>
  <si>
    <t xml:space="preserve">SAPROCOM SARL </t>
  </si>
  <si>
    <t>LYS/LFW/08270</t>
  </si>
  <si>
    <t>ZELLER+GMELIN SARL</t>
  </si>
  <si>
    <t xml:space="preserve">IMEP SARL </t>
  </si>
  <si>
    <t>LYS/LFW/08277</t>
  </si>
  <si>
    <t>ITS-INDUSTRIES TECHNOLOGY</t>
  </si>
  <si>
    <t xml:space="preserve">9 PALLETS STC </t>
  </si>
  <si>
    <t>TAO/LFW/00163</t>
  </si>
  <si>
    <t>ANR/LFW/07712</t>
  </si>
  <si>
    <t>MSC GUERNSEY</t>
  </si>
  <si>
    <t>ANR/LFW/08287</t>
  </si>
  <si>
    <t xml:space="preserve">1 PALETTES STC </t>
  </si>
  <si>
    <t>ANR/LFW/08306</t>
  </si>
  <si>
    <t>ANR/LFW/08272</t>
  </si>
  <si>
    <t xml:space="preserve">SNM CRANES </t>
  </si>
  <si>
    <t xml:space="preserve">2 PALETTS STC </t>
  </si>
  <si>
    <t>MRS/LFW/08286</t>
  </si>
  <si>
    <t>N. P. GANDOUR</t>
  </si>
  <si>
    <t>PULSLFW24090001</t>
  </si>
  <si>
    <t>HONGWOO GLS LTD</t>
  </si>
  <si>
    <t xml:space="preserve">FOUSSENI GROUPE </t>
  </si>
  <si>
    <t xml:space="preserve">6 PALLETS STC </t>
  </si>
  <si>
    <t>SHANR24107202R</t>
  </si>
  <si>
    <t>BAYMRO SAFETY CHINA</t>
  </si>
  <si>
    <t>MSC IKARIA</t>
  </si>
  <si>
    <t>ANR/LFW/08296</t>
  </si>
  <si>
    <t>AFTON CHEMICAL LTD</t>
  </si>
  <si>
    <t xml:space="preserve">ORYX ENERGIES </t>
  </si>
  <si>
    <t>ANR/LFW/08300</t>
  </si>
  <si>
    <t>AIUSP ZO</t>
  </si>
  <si>
    <t>CIMTOGO</t>
  </si>
  <si>
    <t>ANR/LFW/08310</t>
  </si>
  <si>
    <t>WEIHAI RONGHUA</t>
  </si>
  <si>
    <t>ETS. PRO-LIAINS SERVICES</t>
  </si>
  <si>
    <t>ANR/LFW/08311</t>
  </si>
  <si>
    <t>DOEHLER GMBH</t>
  </si>
  <si>
    <t>ORIBA SARL</t>
  </si>
  <si>
    <t>ANR/LFW/08312</t>
  </si>
  <si>
    <t>ANR/LFW/08313</t>
  </si>
  <si>
    <t>TIMKEN EUROE SAS</t>
  </si>
  <si>
    <t xml:space="preserve">TOGO FOURNITURES </t>
  </si>
  <si>
    <t>ANR/LFW/08321</t>
  </si>
  <si>
    <t xml:space="preserve">DHL GLOBAL FORWARDING </t>
  </si>
  <si>
    <t>ANR/LFW/08325</t>
  </si>
  <si>
    <t xml:space="preserve">RODIS </t>
  </si>
  <si>
    <t>LEH/LFW/08302</t>
  </si>
  <si>
    <t xml:space="preserve">AGENCE CHAMBRELANT </t>
  </si>
  <si>
    <t xml:space="preserve">UBIPHARM </t>
  </si>
  <si>
    <t>LEH/LFW/08305</t>
  </si>
  <si>
    <t>LAMA WEST-ARC SAS</t>
  </si>
  <si>
    <t xml:space="preserve">1 CARTON STC </t>
  </si>
  <si>
    <t>MIL/LFW/08282</t>
  </si>
  <si>
    <t>MIL/LFW/08294</t>
  </si>
  <si>
    <t>RTM/LFW/08308</t>
  </si>
  <si>
    <t>ANR/LFW/0832</t>
  </si>
  <si>
    <t>SCANTOGO</t>
  </si>
  <si>
    <t>ANR/LFW/08335</t>
  </si>
  <si>
    <t>BUHLER AG</t>
  </si>
  <si>
    <t>ROBUST INTERNATIONAL</t>
  </si>
  <si>
    <t xml:space="preserve">1 PACKAGES STC </t>
  </si>
  <si>
    <t>LEH/LFW/08316</t>
  </si>
  <si>
    <t>TDA LEFEBURE</t>
  </si>
  <si>
    <t>EQUIPE TECHNIQUE</t>
  </si>
  <si>
    <t>LEH/LFW/08318</t>
  </si>
  <si>
    <t>MARANS France</t>
  </si>
  <si>
    <t>PHARMACIE DE GBOSSIME</t>
  </si>
  <si>
    <t xml:space="preserve">2 BOX STC </t>
  </si>
  <si>
    <t>LEH/LFW/08320</t>
  </si>
  <si>
    <t>LEH/LFW/08324</t>
  </si>
  <si>
    <t>HESNAULT</t>
  </si>
  <si>
    <t>AFRIK LONNYA</t>
  </si>
  <si>
    <t>LYS/LFW/08333</t>
  </si>
  <si>
    <t>MRS/LFW/08327</t>
  </si>
  <si>
    <t>CERES France</t>
  </si>
  <si>
    <t>NAV/LFW/00728</t>
  </si>
  <si>
    <t>NICE ENGINEERING</t>
  </si>
  <si>
    <t xml:space="preserve">EXPORT TRADING </t>
  </si>
  <si>
    <t>NAV/LFW/00731</t>
  </si>
  <si>
    <t>NAV/LFW/00733</t>
  </si>
  <si>
    <t>SOCODEC GENERAL</t>
  </si>
  <si>
    <t>ANR/LFW/08345</t>
  </si>
  <si>
    <t>ANR/LFW/08352</t>
  </si>
  <si>
    <t>ANR/LFW/08353</t>
  </si>
  <si>
    <t>TOP COSMETIC TOGO</t>
  </si>
  <si>
    <t>ANR/LFW/08366</t>
  </si>
  <si>
    <t>TRIVENI INTERCHEM</t>
  </si>
  <si>
    <t>SOBOF TOGO DEKON</t>
  </si>
  <si>
    <t>ANR/LFW/08379</t>
  </si>
  <si>
    <t>KUEHNE+NAGEL N.V.</t>
  </si>
  <si>
    <t xml:space="preserve">1 PALLETS STC </t>
  </si>
  <si>
    <t>BLR/LFW/00735</t>
  </si>
  <si>
    <t xml:space="preserve">SONAROME PRIVATE </t>
  </si>
  <si>
    <t>SOCIETY BASIDO SARL</t>
  </si>
  <si>
    <t>GOT/LFW/08347</t>
  </si>
  <si>
    <t xml:space="preserve">CONTOUR AIR &amp; SEA </t>
  </si>
  <si>
    <t>LEH/LFW/08341</t>
  </si>
  <si>
    <t xml:space="preserve">SOCIETE COLOR </t>
  </si>
  <si>
    <t>GELMASS DESIGN</t>
  </si>
  <si>
    <t>LYS/LFW/08370</t>
  </si>
  <si>
    <t>MIL/LFW/08228</t>
  </si>
  <si>
    <t>MIL/LFW/08344</t>
  </si>
  <si>
    <t>OFFCINA MECCANICA</t>
  </si>
  <si>
    <t>MIL/LFW/08361</t>
  </si>
  <si>
    <t>MRS/LFW/08330</t>
  </si>
  <si>
    <t>ANR/LFW/08383</t>
  </si>
  <si>
    <t>A.EBERLE GMBH &amp; CO</t>
  </si>
  <si>
    <t>SENERCO MERMOZ</t>
  </si>
  <si>
    <t>ANR/LFW/08388</t>
  </si>
  <si>
    <t>ANR/LFW/08391</t>
  </si>
  <si>
    <t>DACHSER S.A.S</t>
  </si>
  <si>
    <t>ANR/LFW/08401</t>
  </si>
  <si>
    <t>MATAM S.A.S.</t>
  </si>
  <si>
    <t>ANR/LFW/08406</t>
  </si>
  <si>
    <t>ANR/LFW/00085</t>
  </si>
  <si>
    <t xml:space="preserve">SOSEA </t>
  </si>
  <si>
    <t>HAM/LFW/08396</t>
  </si>
  <si>
    <t xml:space="preserve">MUTUAL AUSTEN SAFE </t>
  </si>
  <si>
    <t>5 CRATES STC</t>
  </si>
  <si>
    <t>IST/LFW/00032</t>
  </si>
  <si>
    <t xml:space="preserve">KORFEZ DOKUM SAN </t>
  </si>
  <si>
    <t xml:space="preserve">1 PACAKAGE STC </t>
  </si>
  <si>
    <t>LEH/LFW/08403</t>
  </si>
  <si>
    <t>FONROCHE LIGHTING</t>
  </si>
  <si>
    <t>CRBC</t>
  </si>
  <si>
    <t>LYS/LFW/08393</t>
  </si>
  <si>
    <t>EMILE MAURIN</t>
  </si>
  <si>
    <t>MIL/LFW/08380</t>
  </si>
  <si>
    <t>International Center For Biosaline</t>
  </si>
  <si>
    <t>ITRA</t>
  </si>
  <si>
    <t>MTR/LFW/00650</t>
  </si>
  <si>
    <t>LOGISTIK UNICORP</t>
  </si>
  <si>
    <t>BENART AFRIQUE</t>
  </si>
  <si>
    <t>NAV/LFW/00736</t>
  </si>
  <si>
    <t>NIYA HEALTHCARE</t>
  </si>
  <si>
    <t xml:space="preserve">82 PACKAGE STC </t>
  </si>
  <si>
    <t>XIC/LFW/08405</t>
  </si>
  <si>
    <t xml:space="preserve">HERBAL KING </t>
  </si>
  <si>
    <t>KASLY TOGO</t>
  </si>
  <si>
    <t>MSC IKARIA VI</t>
  </si>
  <si>
    <t>ANR/LFW/08386</t>
  </si>
  <si>
    <t>GRATING EUROPE INDUSTRY</t>
  </si>
  <si>
    <t>ANR/LFW/08304</t>
  </si>
  <si>
    <t>COK/LFW/00738</t>
  </si>
  <si>
    <t>SUMI INDUSTRIES</t>
  </si>
  <si>
    <t xml:space="preserve">GPI </t>
  </si>
  <si>
    <t>4 WOODEN CASES</t>
  </si>
  <si>
    <t>IZM/LFW/00033</t>
  </si>
  <si>
    <t>HSY MAKINA</t>
  </si>
  <si>
    <t xml:space="preserve">PRIVATE COMPANY </t>
  </si>
  <si>
    <t>LEH/LFW/08357</t>
  </si>
  <si>
    <t>JET TRAVEL LTD</t>
  </si>
  <si>
    <t xml:space="preserve">LAUREA DISTRIBUTION </t>
  </si>
  <si>
    <t>LEH/LFW/08359</t>
  </si>
  <si>
    <t>LINCOLN ELECTRIC France</t>
  </si>
  <si>
    <t>LEH/LFW/08376</t>
  </si>
  <si>
    <t>LYS/LFW/08371</t>
  </si>
  <si>
    <t xml:space="preserve">ASPAP PROS </t>
  </si>
  <si>
    <t>PORTSIDE TOGO</t>
  </si>
  <si>
    <t>PAR/LFW/08378</t>
  </si>
  <si>
    <t>SHANR24108787Q</t>
  </si>
  <si>
    <t>LAEDAL MEDICAL</t>
  </si>
  <si>
    <t>ANR/LFW/08463</t>
  </si>
  <si>
    <t>DAETWYLER GRAPHICS</t>
  </si>
  <si>
    <t>IMBALLAGGI TOGO</t>
  </si>
  <si>
    <t>ANR/LFW/08469</t>
  </si>
  <si>
    <t>ANR/LFW/08470</t>
  </si>
  <si>
    <t>DAIKIN MIDDLE EAST &amp; AFRICA</t>
  </si>
  <si>
    <t>ENVOL PARTENARIATS TG</t>
  </si>
  <si>
    <t>ANR/LFW/08471</t>
  </si>
  <si>
    <t>EPS ENERGIA PHARMA</t>
  </si>
  <si>
    <t>ANR/LFW/08480</t>
  </si>
  <si>
    <t>GLOBAL FORWARDING</t>
  </si>
  <si>
    <t>KALEPE YAWO DZIDZO</t>
  </si>
  <si>
    <t>MRS/LFW/01751</t>
  </si>
  <si>
    <t>KROHME S.A.S.</t>
  </si>
  <si>
    <t>ANR/LFW/08409</t>
  </si>
  <si>
    <t>2 FARDEAU</t>
  </si>
  <si>
    <t>ANR/LFW/08422</t>
  </si>
  <si>
    <t>ANR/LFW/08424</t>
  </si>
  <si>
    <t xml:space="preserve">SURGIRIS </t>
  </si>
  <si>
    <t>ANR/LFW/08427</t>
  </si>
  <si>
    <t>ANR/LFW/08432</t>
  </si>
  <si>
    <t>MECADRUM ZAC LES PORTES</t>
  </si>
  <si>
    <t xml:space="preserve">11 CASES STC </t>
  </si>
  <si>
    <t>ANR/LFW/08436</t>
  </si>
  <si>
    <t>ZETES NV</t>
  </si>
  <si>
    <t>CENI</t>
  </si>
  <si>
    <t>LEH/LFW/08399</t>
  </si>
  <si>
    <t>S.A. INNOPRESS</t>
  </si>
  <si>
    <t>TAP MESSING LOME</t>
  </si>
  <si>
    <t>MAN/LFW/08407</t>
  </si>
  <si>
    <t>ULTRACELL (UK)</t>
  </si>
  <si>
    <t>ENERMAX SARL</t>
  </si>
  <si>
    <t>MAN/LFW/08412</t>
  </si>
  <si>
    <t>LANGHAM LITTÉRATURE</t>
  </si>
  <si>
    <t>FATAD</t>
  </si>
  <si>
    <t>NAV/LFW/00741</t>
  </si>
  <si>
    <t>ALDE MEDI IMPEX</t>
  </si>
  <si>
    <t>NAV/LFW/00744</t>
  </si>
  <si>
    <t>ANR/LFW/08544</t>
  </si>
  <si>
    <t xml:space="preserve">FERRARI VENTILATORI </t>
  </si>
  <si>
    <t>SITRAPAT LOME</t>
  </si>
  <si>
    <t>ANR/LFW/08560</t>
  </si>
  <si>
    <t>CEVA AIR &amp; OCEAN</t>
  </si>
  <si>
    <t>BSR/LFW/08545</t>
  </si>
  <si>
    <t xml:space="preserve">AFRIC EQUIPEMENTS </t>
  </si>
  <si>
    <t>1 PALLET STSC</t>
  </si>
  <si>
    <t>CAS/LFW/00595</t>
  </si>
  <si>
    <t>IZ ENERGY LOT NASSIM</t>
  </si>
  <si>
    <t>IZ ENERGY TOGO</t>
  </si>
  <si>
    <t>GND/LFW/00111</t>
  </si>
  <si>
    <t xml:space="preserve">LINCOHN ELECTRIC </t>
  </si>
  <si>
    <t>LEH/LFW/08550</t>
  </si>
  <si>
    <t>NCI COMLPANY</t>
  </si>
  <si>
    <t>LEH/LFW/08554</t>
  </si>
  <si>
    <t xml:space="preserve">NAT&amp;FORM </t>
  </si>
  <si>
    <t xml:space="preserve">PHARMACIE GBOSSIME </t>
  </si>
  <si>
    <t>TKL/LFW/00757</t>
  </si>
  <si>
    <t>FRICTIOPN TECH AUTO</t>
  </si>
  <si>
    <t>LYS/LFW/08590</t>
  </si>
  <si>
    <t>BLOUKOUTOU KONDJI</t>
  </si>
  <si>
    <t>MAN/LFW/08567</t>
  </si>
  <si>
    <t>CBT</t>
  </si>
  <si>
    <t>MIL/LFW/08576</t>
  </si>
  <si>
    <t>MIL/LFW/08580</t>
  </si>
  <si>
    <t>ELCOMAN SAL</t>
  </si>
  <si>
    <t>GILI SARL TOGO</t>
  </si>
  <si>
    <t>MIL/LFW/08584</t>
  </si>
  <si>
    <t>GLG PORTE INDUSTRIALI</t>
  </si>
  <si>
    <t>STE KEVIN LAURI SARL</t>
  </si>
  <si>
    <t xml:space="preserve">1  CASE STC </t>
  </si>
  <si>
    <t>RTM/LFW/08586</t>
  </si>
  <si>
    <t>ZHU/LFW/00003</t>
  </si>
  <si>
    <t xml:space="preserve">KATEKILE </t>
  </si>
  <si>
    <t xml:space="preserve">TOGOCEL </t>
  </si>
  <si>
    <t xml:space="preserve">16 PALLETS STC </t>
  </si>
  <si>
    <t>MSC ELISA XIII</t>
  </si>
  <si>
    <t>ANR/LFW/08556</t>
  </si>
  <si>
    <t>ANR/LFW/08570</t>
  </si>
  <si>
    <t>KUEHNE+NAGEL N.V</t>
  </si>
  <si>
    <t xml:space="preserve">ELITE EQUIPEMENT </t>
  </si>
  <si>
    <t>LYS/LFW/08562</t>
  </si>
  <si>
    <t>MAN/LFW/08565</t>
  </si>
  <si>
    <t xml:space="preserve">NOBLEGEN CRYOGENICS </t>
  </si>
  <si>
    <t>UNITED NATIONS DEV.</t>
  </si>
  <si>
    <t>XIC/LFW/08552</t>
  </si>
  <si>
    <t>HERBAL KING</t>
  </si>
  <si>
    <t>ANR/LFW/08628</t>
  </si>
  <si>
    <t>EPPENDORE SE</t>
  </si>
  <si>
    <t>ANKER BURKINA</t>
  </si>
  <si>
    <t>ANR/LFW/08629</t>
  </si>
  <si>
    <t>VOLTA IMPEX PRIVATE LIMITED</t>
  </si>
  <si>
    <t>ANR/LFW/08634</t>
  </si>
  <si>
    <t>ARPEGE SPRL</t>
  </si>
  <si>
    <t>BECAO TOGO</t>
  </si>
  <si>
    <t>ANR/LFW/08635</t>
  </si>
  <si>
    <t>ANR/LFW/08656</t>
  </si>
  <si>
    <t>KHH/LFW/08569</t>
  </si>
  <si>
    <t>CHAO WEI PLASTIC</t>
  </si>
  <si>
    <t xml:space="preserve">1 WOODEN CASE </t>
  </si>
  <si>
    <t>LON/LFW/08595</t>
  </si>
  <si>
    <t xml:space="preserve">FENDERCARE </t>
  </si>
  <si>
    <t>TOP MARINE SERVICE</t>
  </si>
  <si>
    <t xml:space="preserve">2 PALLET STC </t>
  </si>
  <si>
    <t>MIL/LFW/08605</t>
  </si>
  <si>
    <t>C.G.M GRUPPI</t>
  </si>
  <si>
    <t>AMEN CONSTRUCTION</t>
  </si>
  <si>
    <t>MIL/LFW/08608</t>
  </si>
  <si>
    <t>ELETRAFO SRL</t>
  </si>
  <si>
    <t>SCAN GLOBAL LOGISTICS</t>
  </si>
  <si>
    <t>MIL/LFW/08625</t>
  </si>
  <si>
    <t>PAR/LFW/08603</t>
  </si>
  <si>
    <t>PAR/LFW/08623</t>
  </si>
  <si>
    <t>PROVIDE SHIPPER FULL</t>
  </si>
  <si>
    <t>AGS MEURISSE GERALD TG</t>
  </si>
  <si>
    <t>RTM/LFW/08620</t>
  </si>
  <si>
    <t>RSM MARINE SERVICES</t>
  </si>
  <si>
    <t>MHT INC.</t>
  </si>
  <si>
    <t xml:space="preserve">TRAIDE CONSULTING </t>
  </si>
  <si>
    <t>MSC SORAYA</t>
  </si>
  <si>
    <t>ANR/LFW/08652</t>
  </si>
  <si>
    <t>MATAM S.A.N. N.V</t>
  </si>
  <si>
    <t>ANR/LFW/08655</t>
  </si>
  <si>
    <t>TECHNO SYSTEMS</t>
  </si>
  <si>
    <t>ANR/LFW/08658</t>
  </si>
  <si>
    <t>ANR/LFW/08661</t>
  </si>
  <si>
    <t>ANR/LFW/08662</t>
  </si>
  <si>
    <t>MA CORPORATION PTE</t>
  </si>
  <si>
    <t xml:space="preserve">1 PACAKAGES STC </t>
  </si>
  <si>
    <t>ANR/LFW/08642</t>
  </si>
  <si>
    <t>ASECNA PARIS</t>
  </si>
  <si>
    <t>ESECNA TOGO</t>
  </si>
  <si>
    <t>LEH/LFW/08651</t>
  </si>
  <si>
    <t>FICHET SECURITY SOLUTIONS</t>
  </si>
  <si>
    <t>ACOPRESS</t>
  </si>
  <si>
    <t>LEH/LFW/08654</t>
  </si>
  <si>
    <t xml:space="preserve">8 PALLETS STC </t>
  </si>
  <si>
    <t>LON/LFW/08610</t>
  </si>
  <si>
    <t xml:space="preserve">AL SHIRKATUL </t>
  </si>
  <si>
    <t>JAMAAT ISLAMIQUE</t>
  </si>
  <si>
    <t>LYS/LFW/08637</t>
  </si>
  <si>
    <t xml:space="preserve">MICHAUD EXPORT </t>
  </si>
  <si>
    <t xml:space="preserve">CEET-COMPAGNIE </t>
  </si>
  <si>
    <t>LYS/LFW/08647</t>
  </si>
  <si>
    <t>BLR/LFW/16134</t>
  </si>
  <si>
    <t xml:space="preserve">MICRO LABS LIMITED </t>
  </si>
  <si>
    <t>HOUEDJI FRANCOIS YVAN</t>
  </si>
  <si>
    <t>ANR/LFW/08660</t>
  </si>
  <si>
    <t>GEDEON GROUP FZO</t>
  </si>
  <si>
    <t>LIZA MALL</t>
  </si>
  <si>
    <t>ANR/LFW/08669</t>
  </si>
  <si>
    <t>APPRO TECHNO SPRL</t>
  </si>
  <si>
    <t>GEVAPAF</t>
  </si>
  <si>
    <t>BRS/LFW/00425</t>
  </si>
  <si>
    <t>CEVA AIR &amp; OCEAN UK</t>
  </si>
  <si>
    <t>CMB/LFW/00767</t>
  </si>
  <si>
    <t>DOLE-OUT</t>
  </si>
  <si>
    <t>MR. MEDEDA A.</t>
  </si>
  <si>
    <t>MRS/LFW/08639</t>
  </si>
  <si>
    <t>ARGEVILLE SAS P/C</t>
  </si>
  <si>
    <t>MRS/LFW/08648</t>
  </si>
  <si>
    <t>V. MANE FILS ON BEHALF</t>
  </si>
  <si>
    <t>MRS/LFW/08659</t>
  </si>
  <si>
    <t xml:space="preserve">LEVASUD </t>
  </si>
  <si>
    <t>ANR/LFW/08675</t>
  </si>
  <si>
    <t>NILOS GMBH &amp; CO. KG</t>
  </si>
  <si>
    <t xml:space="preserve">9 CASES STC </t>
  </si>
  <si>
    <t>ANR/LFW/08681</t>
  </si>
  <si>
    <t>MATAMA S.A N.V.</t>
  </si>
  <si>
    <t>ANR/LFW/08684</t>
  </si>
  <si>
    <t>STIGE SAS</t>
  </si>
  <si>
    <t>ANR/LFW/08690</t>
  </si>
  <si>
    <t>CP4 MINING SL</t>
  </si>
  <si>
    <t>CME TECTOOLS</t>
  </si>
  <si>
    <t>BRF/LFW/00426</t>
  </si>
  <si>
    <t>LUBRIWOL LIMITED</t>
  </si>
  <si>
    <t>LYS/LFW/08677</t>
  </si>
  <si>
    <t>MIL/LFW/08680</t>
  </si>
  <si>
    <t>LP GROUP SRL</t>
  </si>
  <si>
    <t>NEGOCE-INTERCONTINE</t>
  </si>
  <si>
    <t>MIL/LFW/08688</t>
  </si>
  <si>
    <t>ECU WORLDWIDE ITALY</t>
  </si>
  <si>
    <t>CNSS RESIDENCE</t>
  </si>
  <si>
    <t>MRS/LFW/08666</t>
  </si>
  <si>
    <t xml:space="preserve">6 PALETTS STC </t>
  </si>
  <si>
    <t>MRS/LFW/08683</t>
  </si>
  <si>
    <t xml:space="preserve">ALLIOS </t>
  </si>
  <si>
    <t>FTF</t>
  </si>
  <si>
    <t>ANR/LFW/08709</t>
  </si>
  <si>
    <t>AGENCE DES TRAVAUX</t>
  </si>
  <si>
    <t>ANR/LFW/00307</t>
  </si>
  <si>
    <t>CAMUSAT MAURICE LTD</t>
  </si>
  <si>
    <t>AKTIVCO BURKINA SARL</t>
  </si>
  <si>
    <t>CHI/LFW/00089</t>
  </si>
  <si>
    <t>SPECIALITY FREIGHT SERVICE</t>
  </si>
  <si>
    <t xml:space="preserve">PRIORITY WORLDWIDE </t>
  </si>
  <si>
    <t>MEM/LFW/00088</t>
  </si>
  <si>
    <t xml:space="preserve">ERANOVE GYANCOURT </t>
  </si>
  <si>
    <t xml:space="preserve">7 PALETTS STC </t>
  </si>
  <si>
    <t>NAV/LFW/00776</t>
  </si>
  <si>
    <t>REGENCY SALES &amp; SERVICES</t>
  </si>
  <si>
    <t>DIAMOND CEMENT BF</t>
  </si>
  <si>
    <t xml:space="preserve">6 CASES STC </t>
  </si>
  <si>
    <t>ANR/LFW/08704</t>
  </si>
  <si>
    <t xml:space="preserve">ENERGIA PROMOTION </t>
  </si>
  <si>
    <t xml:space="preserve">5 PALETTS STC </t>
  </si>
  <si>
    <t>ANR/LFW/08722</t>
  </si>
  <si>
    <t>OTC INTERNATIONAL</t>
  </si>
  <si>
    <t>ANR/LFW/00775</t>
  </si>
  <si>
    <t xml:space="preserve">SIGNODE INDIA LIMITED </t>
  </si>
  <si>
    <t>SEWAPACK LA SEMEUSE</t>
  </si>
  <si>
    <t>ANR/LFW/08686</t>
  </si>
  <si>
    <t>LEH/LFW/08696</t>
  </si>
  <si>
    <t>LEH/LFW/08708</t>
  </si>
  <si>
    <t>ASECNA DELEGATION PARIS</t>
  </si>
  <si>
    <t>ASECNA TOGO</t>
  </si>
  <si>
    <t>TAO/LFW/00165</t>
  </si>
  <si>
    <t>SINOTRUCK INTERNATIONAL</t>
  </si>
  <si>
    <t>SINOCAR SARL</t>
  </si>
  <si>
    <t>ANR/LFW/08720</t>
  </si>
  <si>
    <t xml:space="preserve">1 BUNDLE STC </t>
  </si>
  <si>
    <t>ANR/LFW/08721</t>
  </si>
  <si>
    <t xml:space="preserve">3 BUNDLES STC </t>
  </si>
  <si>
    <t>ANR/LFW/08734</t>
  </si>
  <si>
    <t>ANR/LFW/08735</t>
  </si>
  <si>
    <t>5 PACAKAGE STC</t>
  </si>
  <si>
    <t>HKG/LFW/00321</t>
  </si>
  <si>
    <t>CLASQUIN (FAR EAST)</t>
  </si>
  <si>
    <t>LEH/LFW/08726</t>
  </si>
  <si>
    <t>SEM CFR LOME</t>
  </si>
  <si>
    <t>MIL/LFW/08702</t>
  </si>
  <si>
    <t>BIJ GROUP SAL</t>
  </si>
  <si>
    <t>HITCH CONSTRUCTION</t>
  </si>
  <si>
    <t xml:space="preserve">1 PALETTS STC </t>
  </si>
  <si>
    <t>MIL/LFW/08715</t>
  </si>
  <si>
    <t>AFRIDIA INDUSTRIES</t>
  </si>
  <si>
    <t xml:space="preserve">4 PALETTS STC </t>
  </si>
  <si>
    <t>MRS/LFW/08710</t>
  </si>
  <si>
    <t>NAV/LFW/00777</t>
  </si>
  <si>
    <t>KTM/LFW/08724</t>
  </si>
  <si>
    <t xml:space="preserve">SADE MIELCZAREK </t>
  </si>
  <si>
    <t>SAKI DOUTI</t>
  </si>
  <si>
    <t>ANR/LFW/08740</t>
  </si>
  <si>
    <t>SAS SVT INDUSTRY</t>
  </si>
  <si>
    <t xml:space="preserve">1 PALETT STC </t>
  </si>
  <si>
    <t>ANR/LFW/08741</t>
  </si>
  <si>
    <t>KUEHNE</t>
  </si>
  <si>
    <t>HODAVIA DISTRIBUTION</t>
  </si>
  <si>
    <t xml:space="preserve">4 PACAKAGES STC </t>
  </si>
  <si>
    <t>ANR/LFW/08698</t>
  </si>
  <si>
    <t>ECU WORLDWIDE GUANGZHOU</t>
  </si>
  <si>
    <t>TOGO TERMINAL</t>
  </si>
  <si>
    <t>HKG/LFW/00322</t>
  </si>
  <si>
    <t>SHENZHEN HENGTAI</t>
  </si>
  <si>
    <t>AIONET LOME</t>
  </si>
  <si>
    <t xml:space="preserve">1 WOODEN STC </t>
  </si>
  <si>
    <t>ACB PRO PHARMA</t>
  </si>
  <si>
    <t>EQEER TOGO</t>
  </si>
  <si>
    <t>1 PALET STC</t>
  </si>
  <si>
    <t>MIL/LFW/08733</t>
  </si>
  <si>
    <t>TRADING AND MARKETING</t>
  </si>
  <si>
    <t>ANR/LFW/08739</t>
  </si>
  <si>
    <t>2 PALETTS STC</t>
  </si>
  <si>
    <t>ANR/LFW/08757</t>
  </si>
  <si>
    <t xml:space="preserve">4 PACKAGE STC </t>
  </si>
  <si>
    <t>ANR/LFW/08761</t>
  </si>
  <si>
    <t>ANR/LFW/08764</t>
  </si>
  <si>
    <t>DIMEXCO GROUP</t>
  </si>
  <si>
    <t>LEH/LFW/08745</t>
  </si>
  <si>
    <t>SA BRAUD ET QUENNESSON</t>
  </si>
  <si>
    <t>LOUNG AFRICA</t>
  </si>
  <si>
    <t>LEH/LFW/08748</t>
  </si>
  <si>
    <t>CERCLE FEMININ</t>
  </si>
  <si>
    <t xml:space="preserve">FTH </t>
  </si>
  <si>
    <t>MIL/LFW/00092</t>
  </si>
  <si>
    <t>CLASQUIN USA INC.</t>
  </si>
  <si>
    <t>MRS/LFW/08743</t>
  </si>
  <si>
    <t>V. MANE FILS, P/C TAMS TVA</t>
  </si>
  <si>
    <t>MRS/LFW/08760</t>
  </si>
  <si>
    <t>MAKEEN ENERGY</t>
  </si>
  <si>
    <t>ZENER SA</t>
  </si>
  <si>
    <t>NGB/LFW/00138</t>
  </si>
  <si>
    <t xml:space="preserve">WINDA INTERNATIONAL </t>
  </si>
  <si>
    <t>WINDA-BENART AFRIQUE</t>
  </si>
  <si>
    <t xml:space="preserve">4 WOODEN STC </t>
  </si>
  <si>
    <t>ANR/LFW/08770</t>
  </si>
  <si>
    <t>CMS 2i CIMENT MINERAL</t>
  </si>
  <si>
    <t>ANR/LFW/08773</t>
  </si>
  <si>
    <t>ANR/LFW/08778</t>
  </si>
  <si>
    <t>VM STEEL AVENUE PASTEUR</t>
  </si>
  <si>
    <t xml:space="preserve">2 BUNDLES STC </t>
  </si>
  <si>
    <t>ANR/LFW/08793</t>
  </si>
  <si>
    <t>ANR/LFW/08797</t>
  </si>
  <si>
    <t xml:space="preserve">APS GROUP </t>
  </si>
  <si>
    <t>FRE/LFW/00002</t>
  </si>
  <si>
    <t>TREJA GLOBAL SUPPLY</t>
  </si>
  <si>
    <t>GDMI DRILL SARL</t>
  </si>
  <si>
    <t>MRS/LFW/08763</t>
  </si>
  <si>
    <t xml:space="preserve">TECHNCOFLOR P/C TAMS </t>
  </si>
  <si>
    <t>SHA/LFW/08752</t>
  </si>
  <si>
    <t xml:space="preserve">JIANGSU KAIDA HEAVY </t>
  </si>
  <si>
    <t>CIM METAL S.A</t>
  </si>
  <si>
    <t>XIC/LFW/08746</t>
  </si>
  <si>
    <t>RECH CHEMICAL CO.LTD</t>
  </si>
  <si>
    <t xml:space="preserve">3 AGS STC </t>
  </si>
  <si>
    <t>ZHU/LFW/00004</t>
  </si>
  <si>
    <t>KATEKILE WORDWIDE PTY</t>
  </si>
  <si>
    <t xml:space="preserve">TOGOCELLULAIRE </t>
  </si>
  <si>
    <t>MEDUAW6604450A</t>
  </si>
  <si>
    <t xml:space="preserve">SAVANA 23 CHEMIN </t>
  </si>
  <si>
    <t>ANTEOR SAS</t>
  </si>
  <si>
    <t>MEDUAW6604450B</t>
  </si>
  <si>
    <t>MEDUAW6604450C</t>
  </si>
  <si>
    <t>LG ELECTRONICS AFRICA</t>
  </si>
  <si>
    <t>MEGAMEP AFRICA SARL</t>
  </si>
  <si>
    <t>MEDUAW6604450D</t>
  </si>
  <si>
    <t>AERZEN-France S.A.S.</t>
  </si>
  <si>
    <t>MEDUAW6604450E</t>
  </si>
  <si>
    <t xml:space="preserve">KN TRANS RUE 102 </t>
  </si>
  <si>
    <t xml:space="preserve">SNF </t>
  </si>
  <si>
    <t>MEDUAW6604450F</t>
  </si>
  <si>
    <t>GARIMA FASHIONS PVT</t>
  </si>
  <si>
    <t>ABOU MANAWOE</t>
  </si>
  <si>
    <t>15 CARTONS STC</t>
  </si>
  <si>
    <t>MEDUAW6604450G</t>
  </si>
  <si>
    <t>BEIJING ENGTEC</t>
  </si>
  <si>
    <t>1BOXPALLET STC</t>
  </si>
  <si>
    <t>ANALYSE MENSUELLE DES REVENUS — PIVOT PAR ANNÉE</t>
  </si>
  <si>
    <t>Chiffre d'affaires (FCFA) — Groupage 2019–2025</t>
  </si>
  <si>
    <t>2019</t>
  </si>
  <si>
    <t>2021</t>
  </si>
  <si>
    <t>2022</t>
  </si>
  <si>
    <t>2023</t>
  </si>
  <si>
    <t>2024</t>
  </si>
  <si>
    <t>2025</t>
  </si>
  <si>
    <t>MOIS MEILLEUR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</si>
  <si>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</si>
  <si>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</si>
  <si>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</si>
  <si>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</si>
  <si>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</si>
  <si>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</si>
  <si>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</si>
  <si>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</si>
  <si>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</si>
  <si>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</si>
  <si>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</si>
  <si>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</si>
  <si>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ANALYSE PAR NAVIRE — PERFORMANCE &amp; ACTIVITÉ</t>
  </si>
  <si>
    <t>Top navires par nombre de B/L traités · 62 lignes au total</t>
  </si>
  <si>
    <t>POIDS TOTAL (KG)</t>
  </si>
  <si>
    <t>PART ACTIVITÉ</t>
  </si>
  <si>
    <t>DONNÉES 2026 — ANALYSE AVEC MARGE DE FACTURATION</t>
  </si>
  <si>
    <t>CA TOTAL 2026</t>
  </si>
  <si>
    <t>MARGE TOTALE</t>
  </si>
  <si>
    <t>NB B/L 2026</t>
  </si>
  <si>
    <t>TAUX DE MARGE MOY</t>
  </si>
  <si>
    <t>58.4M FCFA</t>
  </si>
  <si>
    <t>3.74M FCFA</t>
  </si>
  <si>
    <t>195</t>
  </si>
  <si>
    <t>39.8%</t>
  </si>
  <si>
    <t>DOCS FEES</t>
  </si>
  <si>
    <t>MONTANT NORMAL</t>
  </si>
  <si>
    <t>MARGE</t>
  </si>
  <si>
    <t>TAUX MARGE</t>
  </si>
  <si>
    <t>KEL/LFW/08826</t>
  </si>
  <si>
    <t xml:space="preserve">MING WEI PAPERWARE </t>
  </si>
  <si>
    <t>IMEP SARL</t>
  </si>
  <si>
    <t xml:space="preserve">3 WOODEN CASES </t>
  </si>
  <si>
    <t>LON/LFW/00427</t>
  </si>
  <si>
    <t>WHO</t>
  </si>
  <si>
    <t>PORT OF ENTRY LOME</t>
  </si>
  <si>
    <t>MIL/LFW/08822</t>
  </si>
  <si>
    <t>MIL/LFW/08834</t>
  </si>
  <si>
    <t>FIOCCHETTI SCIENTIFIC SRL</t>
  </si>
  <si>
    <t>BGL SYSMET TOGO</t>
  </si>
  <si>
    <t xml:space="preserve">5 CRATES STC </t>
  </si>
  <si>
    <t>MIL/LFW/08843</t>
  </si>
  <si>
    <t>WESTERN CO.SRL</t>
  </si>
  <si>
    <t>ESCAN GLOBAL TOGO</t>
  </si>
  <si>
    <t>SHA/LFW/08825</t>
  </si>
  <si>
    <t xml:space="preserve">SUNWARD INTELLIGENT </t>
  </si>
  <si>
    <t xml:space="preserve">MSC BENIN </t>
  </si>
  <si>
    <t>ANR/LFW/08873</t>
  </si>
  <si>
    <t>DHL LOGISTICS</t>
  </si>
  <si>
    <t>NP GANDOUR SARL</t>
  </si>
  <si>
    <t>ANR/LFW/08889</t>
  </si>
  <si>
    <t>SMT AFRICA NV/SA</t>
  </si>
  <si>
    <t xml:space="preserve">SMT TOGO SARL </t>
  </si>
  <si>
    <t xml:space="preserve">9 PACKAGES STC </t>
  </si>
  <si>
    <t>LON/LFW/00432</t>
  </si>
  <si>
    <t>LYS/LFW/08870</t>
  </si>
  <si>
    <t xml:space="preserve">MLT MINET LACING </t>
  </si>
  <si>
    <t>LYS/LFW/08879</t>
  </si>
  <si>
    <t>WACEM TOGO</t>
  </si>
  <si>
    <t>MIL/LFW/08858</t>
  </si>
  <si>
    <t>NAV/LFW/00881</t>
  </si>
  <si>
    <t xml:space="preserve">SK AGE EXPORTS </t>
  </si>
  <si>
    <t>TAO/LFW/00168</t>
  </si>
  <si>
    <t>QUANGO INTERNATIONAL</t>
  </si>
  <si>
    <t>TOUCHE DE THE</t>
  </si>
  <si>
    <t xml:space="preserve">36 PACKAGES STC </t>
  </si>
  <si>
    <t xml:space="preserve">MSC ORIANE </t>
  </si>
  <si>
    <t>ANR/LFW/08856</t>
  </si>
  <si>
    <t>BRS/LFW/00431</t>
  </si>
  <si>
    <t>PERFORMANCE MASTER</t>
  </si>
  <si>
    <t>HAM/LFW/08840</t>
  </si>
  <si>
    <t xml:space="preserve">SEW-Eurodrrive </t>
  </si>
  <si>
    <t>CI INDUSTRIES</t>
  </si>
  <si>
    <t>JNB/LFW/00522</t>
  </si>
  <si>
    <t>AFTEX EXPORTERS CC</t>
  </si>
  <si>
    <t>LEH/LFW/08837</t>
  </si>
  <si>
    <t>SDMO INDUSTRIES SAS</t>
  </si>
  <si>
    <t>NORD SUD ENTREPRISES</t>
  </si>
  <si>
    <t>LEH/LFW/08846</t>
  </si>
  <si>
    <t xml:space="preserve">SIKA France </t>
  </si>
  <si>
    <t>MRS/LFW/08845</t>
  </si>
  <si>
    <t>V.MANE FILS P/C TAMS</t>
  </si>
  <si>
    <t>MRS/LFW/08848</t>
  </si>
  <si>
    <t>TECHNICOFLOR ON BEHALF</t>
  </si>
  <si>
    <t>MRS/LFW/08854</t>
  </si>
  <si>
    <t xml:space="preserve">6 PALLET STC </t>
  </si>
  <si>
    <t>MRS/LFW/08861</t>
  </si>
  <si>
    <t>S.A.S. NEO PARFUMS</t>
  </si>
  <si>
    <t>NAV/LFW/00876</t>
  </si>
  <si>
    <t>VOLTA IMPEX PRIVATE</t>
  </si>
  <si>
    <t>DCT TOGO</t>
  </si>
  <si>
    <t>WJXG250910638</t>
  </si>
  <si>
    <t>ZHENGZHOU ENLIN</t>
  </si>
  <si>
    <t>WJXG250910</t>
  </si>
  <si>
    <t xml:space="preserve">MSC CAMILLE </t>
  </si>
  <si>
    <t>ANR/LFW/08880</t>
  </si>
  <si>
    <t>MATAM S.A.N.V/</t>
  </si>
  <si>
    <t>ANR/LFW/08916</t>
  </si>
  <si>
    <t>CAS/LFW/00596</t>
  </si>
  <si>
    <t>SOLUPEC</t>
  </si>
  <si>
    <t>BRAVIA HOTELS SA</t>
  </si>
  <si>
    <t>LEH/LFW/08905</t>
  </si>
  <si>
    <t>PRYSMIAN CABLES ET SYSTÈME PRYSMAIAN</t>
  </si>
  <si>
    <t>PRYSMIAN</t>
  </si>
  <si>
    <t>LYS/LFW/08917</t>
  </si>
  <si>
    <t>TRELLEBORG CLERMONT</t>
  </si>
  <si>
    <t>NAV/LFW/00890</t>
  </si>
  <si>
    <t>ANR/LFW/08902</t>
  </si>
  <si>
    <t>ANR/LFW/08907</t>
  </si>
  <si>
    <t>ANR/LFW/08914</t>
  </si>
  <si>
    <t>BCN/LFW/08898</t>
  </si>
  <si>
    <t>ELEMENT MINING</t>
  </si>
  <si>
    <t>MAO AFRIQUE SARL</t>
  </si>
  <si>
    <t>4 PACKAGES</t>
  </si>
  <si>
    <t>HKG/LFW/00323</t>
  </si>
  <si>
    <t>WINDA BERNART</t>
  </si>
  <si>
    <t xml:space="preserve">1 PACKAGE STC </t>
  </si>
  <si>
    <t>LEH/LFW/08882</t>
  </si>
  <si>
    <t>MOLYDAL S.A</t>
  </si>
  <si>
    <t xml:space="preserve">SITRAPAT SA </t>
  </si>
  <si>
    <t>NAV/LFW/00884</t>
  </si>
  <si>
    <t xml:space="preserve">M D CREATION </t>
  </si>
  <si>
    <t>EKUA ATTAH</t>
  </si>
  <si>
    <t>36 CARTONS STC</t>
  </si>
  <si>
    <t>NAV/LFW/00886</t>
  </si>
  <si>
    <t>SWASTIC FABRICS</t>
  </si>
  <si>
    <t>RTM/LFW/08900</t>
  </si>
  <si>
    <t>HOLLAND FAMMING BV</t>
  </si>
  <si>
    <t>LE GRENIER</t>
  </si>
  <si>
    <t>RTM/LFW/08912</t>
  </si>
  <si>
    <t xml:space="preserve">VAN VLIET </t>
  </si>
  <si>
    <t>VAN VLIET TOGO</t>
  </si>
  <si>
    <t>ANR/LFW/08503</t>
  </si>
  <si>
    <t>COMPAGNIE ENGRENAGES</t>
  </si>
  <si>
    <t>ANR/LFW/08507</t>
  </si>
  <si>
    <t>XINDA GROUP</t>
  </si>
  <si>
    <t>ANR/LFW/08508</t>
  </si>
  <si>
    <t xml:space="preserve">KUEHME + NAGEL </t>
  </si>
  <si>
    <t>BRS/LFW/08489</t>
  </si>
  <si>
    <t>CEVA LOGISTICS</t>
  </si>
  <si>
    <t>HKG/LFW/00320</t>
  </si>
  <si>
    <t xml:space="preserve">7 PACKAGES STC </t>
  </si>
  <si>
    <t>KHH/LFW/2501209</t>
  </si>
  <si>
    <t>1 WOODEN CRATE</t>
  </si>
  <si>
    <t>LEH/LFW/08492</t>
  </si>
  <si>
    <t>TLD SPR</t>
  </si>
  <si>
    <t>LEH/LFW/08495</t>
  </si>
  <si>
    <t>TENTEKS TENTE BRANDA</t>
  </si>
  <si>
    <t>LOME TENLEKS</t>
  </si>
  <si>
    <t xml:space="preserve">3 PACAKAGES STC </t>
  </si>
  <si>
    <t>LEH/LFW/08500</t>
  </si>
  <si>
    <t>MIL/LFW/08506</t>
  </si>
  <si>
    <t xml:space="preserve">PARFER SITTI </t>
  </si>
  <si>
    <t>TXG/LFW/2501208</t>
  </si>
  <si>
    <t>MSC JOHNNESBURG</t>
  </si>
  <si>
    <t>ANR/LFW/08496</t>
  </si>
  <si>
    <t>ATLAS COPCO</t>
  </si>
  <si>
    <t>ANR/LFW/08517</t>
  </si>
  <si>
    <t>ANR/LFW/08527</t>
  </si>
  <si>
    <t>ANR/LFW/08528</t>
  </si>
  <si>
    <t>SILESIA GERHANKE</t>
  </si>
  <si>
    <t xml:space="preserve">UNIFOOD TOGO </t>
  </si>
  <si>
    <t>ANR/LFW/08529</t>
  </si>
  <si>
    <t>FRACHT AG</t>
  </si>
  <si>
    <t>ANR/LFW/08530</t>
  </si>
  <si>
    <t>GURTEC GMBH</t>
  </si>
  <si>
    <t>ANR/LFW/08533</t>
  </si>
  <si>
    <t>EQUIPEMENTS &amp; SERVICE BIA</t>
  </si>
  <si>
    <t>EQUIPEMENT &amp;SERVICE TG</t>
  </si>
  <si>
    <t>LYS/LFW/08518</t>
  </si>
  <si>
    <t xml:space="preserve">ORAPI MAINTENANCE </t>
  </si>
  <si>
    <t>MRS/LFW/08525</t>
  </si>
  <si>
    <t>MRS/LFW/08526</t>
  </si>
  <si>
    <t>RTM/LFW/08498</t>
  </si>
  <si>
    <t>SHANR24220238B</t>
  </si>
  <si>
    <t>SHANGHAI TANGWEAR</t>
  </si>
  <si>
    <t>SHANR24220238C</t>
  </si>
  <si>
    <t>VAN/LFW/00652</t>
  </si>
  <si>
    <t>UNICAF</t>
  </si>
  <si>
    <t xml:space="preserve">MSC IKARIA </t>
  </si>
  <si>
    <t>ANR/LFW/08541</t>
  </si>
  <si>
    <t>ANR/LFW/08548</t>
  </si>
  <si>
    <t>ANR/LFW/08555</t>
  </si>
  <si>
    <t>KEL/LFW/2501236</t>
  </si>
  <si>
    <t>APLUS POWER CORP</t>
  </si>
  <si>
    <t>APLUS TOGO</t>
  </si>
  <si>
    <t>MIL/LFW/08540</t>
  </si>
  <si>
    <t>MRS/LFW/08511</t>
  </si>
  <si>
    <t>V. MANE FILS</t>
  </si>
  <si>
    <t>MRS/LFW/08532</t>
  </si>
  <si>
    <t>NAV/LFW/00760</t>
  </si>
  <si>
    <t>ANR/LFW/08794</t>
  </si>
  <si>
    <t>ANR/LFW/08800</t>
  </si>
  <si>
    <t>JEA/LFW/00031</t>
  </si>
  <si>
    <t>LEH/LFW/08792</t>
  </si>
  <si>
    <t>LYS/LFW/08828</t>
  </si>
  <si>
    <t>NAV/LFW/00835</t>
  </si>
  <si>
    <t>XIC/LFW/08769</t>
  </si>
  <si>
    <t>ANALYSE COMPLÈTE DES CLIENTS — CLASSEMENT &amp; FIDÉLITÉ</t>
  </si>
  <si>
    <t>1116 clients uniques identifiés sur la période 2019–2025</t>
  </si>
  <si>
    <t>CLIENT / CONSIGNATAIRE</t>
  </si>
  <si>
    <t>ANNÉES ACTIF</t>
  </si>
  <si>
    <t>POIDS TOTAL</t>
  </si>
  <si>
    <t>SUIVI DES OPPORTUNITÉS COMMERCIALES</t>
  </si>
  <si>
    <t>Service Commercial &amp; LCL  ·  Cotations Import / Export  ·  TAAL SA</t>
  </si>
  <si>
    <t>TOTAL COTATIONS</t>
  </si>
  <si>
    <t>OFFRES GAGNÉES</t>
  </si>
  <si>
    <t>OFFRES PERDUES</t>
  </si>
  <si>
    <t>MARGE TOTALE (FCFA)</t>
  </si>
  <si>
    <t>N° COTATION</t>
  </si>
  <si>
    <t>DATE</t>
  </si>
  <si>
    <t>NOM CLIENT</t>
  </si>
  <si>
    <t>TYPE SERVICE</t>
  </si>
  <si>
    <t>OFFRE TRANSITAIRE (FCFA)</t>
  </si>
  <si>
    <t>COTATION CLIENT (FCFA)</t>
  </si>
  <si>
    <t>MARGE TAAL SA (FCFA)</t>
  </si>
  <si>
    <t>RÉSULTAT</t>
  </si>
  <si>
    <t>OBSERVATIONS</t>
  </si>
  <si>
    <t>RÉCAPITULATIF — SERVICE COMMERCIAL &amp; LCL</t>
  </si>
  <si>
    <t>Synthèse automatique liée à l'onglet Opportunités · Tableau de bord de performance</t>
  </si>
  <si>
    <t>TAUX DE RÉUSSITE :</t>
  </si>
  <si>
    <t>MARGE MOYENNE / COTATION :</t>
  </si>
  <si>
    <t>▶  A — RÉPARTITION PAR TYPE DE SERVICE (Automatique)</t>
  </si>
  <si>
    <t>TYPE</t>
  </si>
  <si>
    <t>NB COTATIONS</t>
  </si>
  <si>
    <t>GAGNÉES</t>
  </si>
  <si>
    <t>PERDUES</t>
  </si>
  <si>
    <t>EN COURS</t>
  </si>
  <si>
    <t>ANNULÉES</t>
  </si>
  <si>
    <t>CA GAGNÉ (FCFA)</t>
  </si>
  <si>
    <t>MARGE (FCFA)</t>
  </si>
  <si>
    <t>TAUX RÉUSSITE</t>
  </si>
  <si>
    <t>IMPORT</t>
  </si>
  <si>
    <t>EXPORT</t>
  </si>
  <si>
    <t>▶  B — SUIVI MENSUEL DE PERFORMANCE  (Saisie manuelle par le service)</t>
  </si>
  <si>
    <t>INDICATEUR</t>
  </si>
  <si>
    <t>JAN</t>
  </si>
  <si>
    <t>FÉV</t>
  </si>
  <si>
    <t>MAR</t>
  </si>
  <si>
    <t>AVR</t>
  </si>
  <si>
    <t>JUN</t>
  </si>
  <si>
    <t>JUL</t>
  </si>
  <si>
    <t>SEP</t>
  </si>
  <si>
    <t>OCT</t>
  </si>
  <si>
    <t>NOV</t>
  </si>
  <si>
    <t>DÉC</t>
  </si>
  <si>
    <t>Nb cotations émises</t>
  </si>
  <si>
    <t>Nb offres gagnées</t>
  </si>
  <si>
    <t>Nb offres perdues</t>
  </si>
  <si>
    <t>CA gagné (FCFA)</t>
  </si>
  <si>
    <t>Marge réalisée (FCFA)</t>
  </si>
  <si>
    <t>Taux de réussite (%)</t>
  </si>
  <si>
    <t>TOTAL ANNUEL</t>
  </si>
  <si>
    <t>▶  C — PARAMÈTRES &amp; OBJECTIFS COMMERCIAUX</t>
  </si>
  <si>
    <t>Objectif cotations / mois</t>
  </si>
  <si>
    <t>Objectif taux de réussite (%)</t>
  </si>
  <si>
    <t>Objectif marge mensuelle (FCFA)</t>
  </si>
  <si>
    <t>Responsable commercial</t>
  </si>
  <si>
    <t>Responsable LCL</t>
  </si>
  <si>
    <t>Période de référence</t>
  </si>
  <si>
    <t>N°</t>
  </si>
  <si>
    <t>AOÛT</t>
  </si>
  <si>
    <t>PLAN DE PROSPECTION COMMERCIALE — GROUPAGE NAT1</t>
  </si>
  <si>
    <t>Top 15 clients à reconquérir · Analyse basée sur données 2019–2025 · Classé par potentiel CA</t>
  </si>
  <si>
    <t>CA POTENTIEL À RÉCUPÉRER</t>
  </si>
  <si>
    <t>CLIENTS TOTALEMENT PERDUS</t>
  </si>
  <si>
    <t>CLIENTS EN FORT DÉCLIN</t>
  </si>
  <si>
    <t>PRIORITÉ N°1</t>
  </si>
  <si>
    <t>0.07 Mrd FCFA</t>
  </si>
  <si>
    <t>8 comptes</t>
  </si>
  <si>
    <t>7 comptes</t>
  </si>
  <si>
    <t>SCANTOGO MINES SA…</t>
  </si>
  <si>
    <t>▶  TOP 15 CLIENTS À PROSPECTER EN PRIORITÉ</t>
  </si>
  <si>
    <t>Num D'ordre</t>
  </si>
  <si>
    <t>CA PASSÉ (FCFA)</t>
  </si>
  <si>
    <t>CA ACTUEL (FCFA)</t>
  </si>
  <si>
    <t>BAISSE (FCFA)</t>
  </si>
  <si>
    <t>BAISSE %</t>
  </si>
  <si>
    <t>ANS ACTIF</t>
  </si>
  <si>
    <t>DERNIER BL</t>
  </si>
  <si>
    <t>STATUT</t>
  </si>
  <si>
    <t>ACTION RECOMMANDÉE</t>
  </si>
  <si>
    <t>EN DÉCLIN</t>
  </si>
  <si>
    <t>Réunion commerciale — proposer offre personnalisée</t>
  </si>
  <si>
    <t>PERDU</t>
  </si>
  <si>
    <t>Appel de reconquête — identifier motif départ</t>
  </si>
  <si>
    <t>HISTORIQUE ANNUEL — ÉVOLUTION CA PAR CLIENT CIBLE</t>
  </si>
  <si>
    <t>CA (FCFA) et nombre de BL par année · Clients sélectionnés pour prospection</t>
  </si>
  <si>
    <t>CA (FCFA)</t>
  </si>
  <si>
    <t>SHIPPERS À RELANCER — EXPÉDITEURS CLÉS DISPARUS OU EN DÉCLIN</t>
  </si>
  <si>
    <t>Relancer un shipper = récupérer automatiquement ses consignataires associés</t>
  </si>
  <si>
    <t>SHIPPER / EXPÉDITEUR</t>
  </si>
  <si>
    <t>NB BL PASSÉ</t>
  </si>
  <si>
    <t>NB BL ACTUEL</t>
  </si>
  <si>
    <t xml:space="preserve">SCANTOGO MINES </t>
  </si>
  <si>
    <t xml:space="preserve">FRET AERIEN </t>
  </si>
  <si>
    <t>FRET MARITIME</t>
  </si>
  <si>
    <t>GAGNÉ</t>
  </si>
  <si>
    <t xml:space="preserve">ABM SERVICES </t>
  </si>
  <si>
    <t>ECU WORLDWIDE USA</t>
  </si>
  <si>
    <t>ECU WORLDWIDE TUNISIE</t>
  </si>
  <si>
    <t>ECU WORLDWIDE Espagne</t>
  </si>
  <si>
    <t>ELWA GHANA</t>
  </si>
  <si>
    <t>MASTER MV TASMANIA</t>
  </si>
  <si>
    <t>FRATELLI COSULICH</t>
  </si>
  <si>
    <t>FRET EXPORT</t>
  </si>
  <si>
    <t>MARCO PATILI</t>
  </si>
  <si>
    <t>ANNULÉ</t>
  </si>
  <si>
    <t xml:space="preserve">TRANSIT 01*40 </t>
  </si>
  <si>
    <t>RECA TOGO SARL</t>
  </si>
  <si>
    <t xml:space="preserve">COT 2000 TONNES DE RIZ / TONNE </t>
  </si>
  <si>
    <t xml:space="preserve">LINT CLEANER TURKYE </t>
  </si>
  <si>
    <t>COT EXPORT 25 TC 20'' COTONOU - TURQUIE</t>
  </si>
  <si>
    <t xml:space="preserve">UNDP TOGO </t>
  </si>
  <si>
    <t xml:space="preserve">FORMALITES DE TRANSIT LOME PORT A MAISON </t>
  </si>
  <si>
    <t>MARGE TOTALE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</si>
</sst>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51" x14ac:knownFonts="1">
    <font>
      <sz val="11"/>
      <color theme="1"/>
      <name val="Calibri"/>
      <family val="2"/>
      <charset val="1"/>
    </font>
    <font>
      <b/>
      <sz val="20"/>
      <color rgb="FFF59E0B"/>
      <name val="Arial"/>
      <family val="2"/>
    </font>
    <font>
      <sz val="10"/>
      <color rgb="FF90A4AE"/>
      <name val="Arial"/>
      <family val="2"/>
    </font>
    <font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F59E0B"/>
      <name val="Arial"/>
      <family val="2"/>
    </font>
    <font>
      <sz val="8"/>
      <color rgb="FF90A4AE"/>
      <name val="Arial"/>
      <family val="2"/>
    </font>
    <font>
      <b/>
      <sz val="12"/>
      <color rgb="FFFFFFFF"/>
      <name val="Arial"/>
      <family val="2"/>
    </font>
    <font>
      <sz val="10"/>
      <color rgb="FF37474F"/>
      <name val="Arial"/>
      <family val="2"/>
    </font>
    <font>
      <b/>
      <sz val="10"/>
      <color rgb="FF26A69A"/>
      <name val="Arial"/>
      <family val="2"/>
    </font>
    <font>
      <b/>
      <sz val="10"/>
      <color rgb="FFE53935"/>
      <name val="Arial"/>
      <family val="2"/>
    </font>
    <font>
      <b/>
      <sz val="10"/>
      <color rgb="FFF59E0B"/>
      <name val="Arial"/>
      <family val="2"/>
    </font>
    <font>
      <sz val="9"/>
      <color rgb="FF37474F"/>
      <name val="Arial"/>
      <family val="2"/>
    </font>
    <font>
      <b/>
      <sz val="14"/>
      <color rgb="FFF59E0B"/>
      <name val="Arial"/>
      <family val="2"/>
    </font>
    <font>
      <sz val="9"/>
      <color rgb="FF90A4AE"/>
      <name val="Arial"/>
      <family val="2"/>
    </font>
    <font>
      <b/>
      <sz val="9"/>
      <color rgb="FFF59E0B"/>
      <name val="Arial"/>
      <family val="2"/>
    </font>
    <font>
      <b/>
      <sz val="9"/>
      <color rgb="FF00ACC1"/>
      <name val="Arial"/>
      <family val="2"/>
    </font>
    <font>
      <b/>
      <sz val="10"/>
      <color rgb="FF0A1F3D"/>
      <name val="Arial"/>
      <family val="2"/>
    </font>
    <font>
      <b/>
      <sz val="9"/>
      <color rgb="FF26A69A"/>
      <name val="Arial"/>
      <family val="2"/>
    </font>
    <font>
      <b/>
      <sz val="9"/>
      <color rgb="FF1565C0"/>
      <name val="Arial"/>
      <family val="2"/>
    </font>
    <font>
      <b/>
      <sz val="18"/>
      <color rgb="FFF59E0B"/>
      <name val="Arial"/>
      <family val="2"/>
    </font>
    <font>
      <sz val="10"/>
      <color rgb="FF78909C"/>
      <name val="Arial"/>
      <family val="2"/>
    </font>
    <font>
      <sz val="9"/>
      <color rgb="FF1565C0"/>
      <name val="Arial"/>
      <family val="2"/>
    </font>
    <font>
      <b/>
      <sz val="9"/>
      <color rgb="FF37474F"/>
      <name val="Arial"/>
      <family val="2"/>
    </font>
    <font>
      <sz val="9"/>
      <color rgb="FF78909C"/>
      <name val="Arial"/>
      <family val="2"/>
    </font>
    <font>
      <b/>
      <sz val="22"/>
      <color rgb="FFF59E0B"/>
      <name val="Arial"/>
      <family val="2"/>
    </font>
    <font>
      <b/>
      <sz val="11"/>
      <color rgb="FF78909C"/>
      <name val="Arial"/>
      <family val="2"/>
    </font>
    <font>
      <b/>
      <sz val="11"/>
      <color rgb="FFFFFFFF"/>
      <name val="Arial"/>
      <family val="2"/>
    </font>
    <font>
      <b/>
      <sz val="10"/>
      <color rgb="FF0D47A1"/>
      <name val="Arial"/>
      <family val="2"/>
    </font>
    <font>
      <sz val="9"/>
      <color rgb="FF0D47A1"/>
      <name val="Arial"/>
      <family val="2"/>
    </font>
    <font>
      <b/>
      <sz val="10"/>
      <color rgb="FF4527A0"/>
      <name val="Arial"/>
      <family val="2"/>
    </font>
    <font>
      <sz val="9"/>
      <color rgb="FF4527A0"/>
      <name val="Arial"/>
      <family val="2"/>
    </font>
    <font>
      <b/>
      <sz val="10"/>
      <color rgb="FF0D2B5E"/>
      <name val="Arial"/>
      <family val="2"/>
    </font>
    <font>
      <b/>
      <sz val="9"/>
      <color rgb="FF0D2B5E"/>
      <name val="Arial"/>
      <family val="2"/>
    </font>
    <font>
      <b/>
      <sz val="9"/>
      <color rgb="FF33691E"/>
      <name val="Arial"/>
      <family val="2"/>
    </font>
    <font>
      <sz val="10"/>
      <color rgb="FF33691E"/>
      <name val="Arial"/>
      <family val="2"/>
    </font>
    <font>
      <b/>
      <sz val="9"/>
      <color rgb="FFA32D2D"/>
      <name val="Arial"/>
      <family val="2"/>
    </font>
    <font>
      <sz val="10"/>
      <color rgb="FFA32D2D"/>
      <name val="Arial"/>
      <family val="2"/>
    </font>
    <font>
      <b/>
      <sz val="9"/>
      <color rgb="FF0D47A1"/>
      <name val="Arial"/>
      <family val="2"/>
    </font>
    <font>
      <sz val="10"/>
      <color rgb="FF0D47A1"/>
      <name val="Arial"/>
      <family val="2"/>
    </font>
    <font>
      <b/>
      <sz val="9"/>
      <color rgb="FFF57F17"/>
      <name val="Arial"/>
      <family val="2"/>
    </font>
    <font>
      <sz val="10"/>
      <color rgb="FFF57F17"/>
      <name val="Arial"/>
      <family val="2"/>
    </font>
    <font>
      <b/>
      <sz val="11"/>
      <color rgb="FF0D2B5E"/>
      <name val="Arial"/>
      <family val="2"/>
    </font>
    <font>
      <b/>
      <sz val="13"/>
      <color rgb="FFF59E0B"/>
      <name val="Arial"/>
      <family val="2"/>
    </font>
    <font>
      <b/>
      <sz val="9"/>
      <color rgb="FF854F0B"/>
      <name val="Arial"/>
      <family val="2"/>
    </font>
    <font>
      <sz val="9"/>
      <color rgb="FF3B6D11"/>
      <name val="Arial"/>
      <family val="2"/>
    </font>
    <font>
      <sz val="11"/>
      <color rgb="FF002060"/>
      <name val="Calibri"/>
      <family val="2"/>
      <charset val="1"/>
    </font>
    <font>
      <b/>
      <sz val="8"/>
      <color rgb="FFFFFFFF"/>
      <name val="Arial"/>
      <family val="2"/>
    </font>
    <font>
      <b/>
      <sz val="9"/>
      <color theme="6" tint="0.39997558519241921"/>
      <name val="Arial"/>
      <family val="2"/>
    </font>
    <font>
      <b/>
      <sz val="11"/>
      <color theme="6" tint="0.39997558519241921"/>
      <name val="Calibri"/>
      <family val="2"/>
      <charset val="1"/>
    </font>
    <font>
      <b/>
      <sz val="9"/>
      <color theme="8" tint="-0.249977111117893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D2B5E"/>
        <bgColor rgb="FF102A52"/>
      </patternFill>
    </fill>
    <fill>
      <patternFill patternType="solid">
        <fgColor rgb="FF0A1F3D"/>
        <bgColor rgb="FF102A52"/>
      </patternFill>
    </fill>
    <fill>
      <patternFill patternType="solid">
        <fgColor rgb="FF1565C0"/>
        <bgColor rgb="FF0D47A1"/>
      </patternFill>
    </fill>
    <fill>
      <patternFill patternType="solid">
        <fgColor rgb="FF00ACC1"/>
        <bgColor rgb="FF26A69A"/>
      </patternFill>
    </fill>
    <fill>
      <patternFill patternType="solid">
        <fgColor rgb="FF26A69A"/>
        <bgColor rgb="FF00ACC1"/>
      </patternFill>
    </fill>
    <fill>
      <patternFill patternType="solid">
        <fgColor rgb="FFF59E0B"/>
        <bgColor rgb="FFF57F17"/>
      </patternFill>
    </fill>
    <fill>
      <patternFill patternType="solid">
        <fgColor rgb="FF102A52"/>
        <bgColor rgb="FF0D2B5E"/>
      </patternFill>
    </fill>
    <fill>
      <patternFill patternType="solid">
        <fgColor rgb="FFECEFF1"/>
        <bgColor rgb="FFF0F4F8"/>
      </patternFill>
    </fill>
    <fill>
      <patternFill patternType="solid">
        <fgColor rgb="FFF0F4F8"/>
        <bgColor rgb="FFECEFF1"/>
      </patternFill>
    </fill>
    <fill>
      <patternFill patternType="solid">
        <fgColor rgb="FFFFFFFF"/>
        <bgColor rgb="FFFFFDE7"/>
      </patternFill>
    </fill>
    <fill>
      <patternFill patternType="solid">
        <fgColor rgb="FFE53935"/>
        <bgColor rgb="FFA32D2D"/>
      </patternFill>
    </fill>
    <fill>
      <patternFill patternType="solid">
        <fgColor rgb="FFE3F2FD"/>
        <bgColor rgb="FFECEFF1"/>
      </patternFill>
    </fill>
    <fill>
      <patternFill patternType="solid">
        <fgColor rgb="FFEDE7F6"/>
        <bgColor rgb="FFECEFF1"/>
      </patternFill>
    </fill>
    <fill>
      <patternFill patternType="solid">
        <fgColor rgb="FFF1F8E9"/>
        <bgColor rgb="FFF0F4F8"/>
      </patternFill>
    </fill>
    <fill>
      <patternFill patternType="solid">
        <fgColor rgb="FFFCEBEB"/>
        <bgColor rgb="FFEDE7F6"/>
      </patternFill>
    </fill>
    <fill>
      <patternFill patternType="solid">
        <fgColor rgb="FFFFFDE7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F59E0B"/>
        <bgColor rgb="FFFFCC00"/>
      </patternFill>
    </fill>
    <fill>
      <patternFill patternType="solid">
        <fgColor rgb="FF00ACC1"/>
        <bgColor rgb="FF33CCCC"/>
      </patternFill>
    </fill>
    <fill>
      <patternFill patternType="solid">
        <fgColor rgb="FFECEFF1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EAF3DE"/>
        <bgColor rgb="FFECEFF1"/>
      </patternFill>
    </fill>
    <fill>
      <patternFill patternType="solid">
        <fgColor rgb="FFFFFFFF"/>
        <bgColor rgb="FFECEFF1"/>
      </patternFill>
    </fill>
    <fill>
      <patternFill patternType="solid">
        <fgColor rgb="FFFCEBEB"/>
        <bgColor rgb="FFFAEEDA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hair">
        <color rgb="FFBDBDBD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4" fillId="4" borderId="0" xfId="0" applyFont="1" applyFill="1" applyAlignment="1">
      <alignment horizontal="center" vertical="center"/>
    </xf>
    <xf numFmtId="0" fontId="0" fillId="2" borderId="0" xfId="0" applyFill="1"/>
    <xf numFmtId="0" fontId="0" fillId="9" borderId="0" xfId="0" applyFill="1"/>
    <xf numFmtId="0" fontId="4" fillId="4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center" vertical="center"/>
    </xf>
    <xf numFmtId="164" fontId="8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5" fontId="10" fillId="11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2" fillId="10" borderId="1" xfId="0" applyNumberFormat="1" applyFont="1" applyFill="1" applyBorder="1" applyAlignment="1">
      <alignment horizontal="left" vertical="center"/>
    </xf>
    <xf numFmtId="3" fontId="12" fillId="10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left" vertical="center"/>
    </xf>
    <xf numFmtId="3" fontId="12" fillId="11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165" fontId="12" fillId="11" borderId="1" xfId="0" applyNumberFormat="1" applyFont="1" applyFill="1" applyBorder="1" applyAlignment="1">
      <alignment horizontal="center" vertical="center"/>
    </xf>
    <xf numFmtId="3" fontId="12" fillId="10" borderId="2" xfId="0" applyNumberFormat="1" applyFont="1" applyFill="1" applyBorder="1" applyAlignment="1">
      <alignment horizontal="center" vertical="center"/>
    </xf>
    <xf numFmtId="49" fontId="12" fillId="10" borderId="2" xfId="0" applyNumberFormat="1" applyFont="1" applyFill="1" applyBorder="1" applyAlignment="1">
      <alignment horizontal="left" vertical="center"/>
    </xf>
    <xf numFmtId="164" fontId="12" fillId="10" borderId="2" xfId="0" applyNumberFormat="1" applyFont="1" applyFill="1" applyBorder="1" applyAlignment="1">
      <alignment horizontal="center" vertical="center"/>
    </xf>
    <xf numFmtId="4" fontId="12" fillId="10" borderId="2" xfId="0" applyNumberFormat="1" applyFont="1" applyFill="1" applyBorder="1" applyAlignment="1">
      <alignment horizontal="center" vertical="center"/>
    </xf>
    <xf numFmtId="49" fontId="12" fillId="10" borderId="2" xfId="0" applyNumberFormat="1" applyFont="1" applyFill="1" applyBorder="1" applyAlignment="1">
      <alignment horizontal="center" vertical="center"/>
    </xf>
    <xf numFmtId="49" fontId="12" fillId="10" borderId="0" xfId="0" applyNumberFormat="1" applyFont="1" applyFill="1" applyAlignment="1">
      <alignment horizontal="center" vertical="center"/>
    </xf>
    <xf numFmtId="3" fontId="12" fillId="11" borderId="2" xfId="0" applyNumberFormat="1" applyFont="1" applyFill="1" applyBorder="1" applyAlignment="1">
      <alignment horizontal="center" vertical="center"/>
    </xf>
    <xf numFmtId="49" fontId="12" fillId="11" borderId="2" xfId="0" applyNumberFormat="1" applyFont="1" applyFill="1" applyBorder="1" applyAlignment="1">
      <alignment horizontal="left" vertical="center"/>
    </xf>
    <xf numFmtId="164" fontId="12" fillId="11" borderId="2" xfId="0" applyNumberFormat="1" applyFont="1" applyFill="1" applyBorder="1" applyAlignment="1">
      <alignment horizontal="center" vertical="center"/>
    </xf>
    <xf numFmtId="4" fontId="12" fillId="11" borderId="2" xfId="0" applyNumberFormat="1" applyFont="1" applyFill="1" applyBorder="1" applyAlignment="1">
      <alignment horizontal="center" vertical="center"/>
    </xf>
    <xf numFmtId="49" fontId="12" fillId="11" borderId="2" xfId="0" applyNumberFormat="1" applyFont="1" applyFill="1" applyBorder="1" applyAlignment="1">
      <alignment horizontal="center" vertical="center"/>
    </xf>
    <xf numFmtId="49" fontId="12" fillId="11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3" fontId="17" fillId="7" borderId="1" xfId="0" applyNumberFormat="1" applyFont="1" applyFill="1" applyBorder="1" applyAlignment="1">
      <alignment horizontal="center" vertical="center"/>
    </xf>
    <xf numFmtId="49" fontId="19" fillId="10" borderId="2" xfId="0" applyNumberFormat="1" applyFont="1" applyFill="1" applyBorder="1" applyAlignment="1">
      <alignment horizontal="left" vertical="center"/>
    </xf>
    <xf numFmtId="10" fontId="12" fillId="10" borderId="2" xfId="0" applyNumberFormat="1" applyFont="1" applyFill="1" applyBorder="1" applyAlignment="1">
      <alignment horizontal="center" vertical="center"/>
    </xf>
    <xf numFmtId="49" fontId="19" fillId="11" borderId="2" xfId="0" applyNumberFormat="1" applyFont="1" applyFill="1" applyBorder="1" applyAlignment="1">
      <alignment horizontal="left" vertical="center"/>
    </xf>
    <xf numFmtId="10" fontId="12" fillId="11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49" fontId="22" fillId="9" borderId="1" xfId="0" applyNumberFormat="1" applyFont="1" applyFill="1" applyBorder="1" applyAlignment="1">
      <alignment horizontal="center" vertical="center"/>
    </xf>
    <xf numFmtId="14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3" fontId="12" fillId="9" borderId="1" xfId="0" applyNumberFormat="1" applyFont="1" applyFill="1" applyBorder="1" applyAlignment="1">
      <alignment horizontal="center" vertical="center"/>
    </xf>
    <xf numFmtId="3" fontId="2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49" fontId="22" fillId="11" borderId="1" xfId="0" applyNumberFormat="1" applyFont="1" applyFill="1" applyBorder="1" applyAlignment="1">
      <alignment horizontal="center" vertical="center"/>
    </xf>
    <xf numFmtId="14" fontId="12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3" fontId="23" fillId="11" borderId="1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left" vertical="center" wrapText="1"/>
    </xf>
    <xf numFmtId="0" fontId="0" fillId="8" borderId="0" xfId="0" applyFill="1"/>
    <xf numFmtId="0" fontId="4" fillId="4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/>
    </xf>
    <xf numFmtId="3" fontId="29" fillId="13" borderId="1" xfId="0" applyNumberFormat="1" applyFont="1" applyFill="1" applyBorder="1" applyAlignment="1">
      <alignment horizontal="center" vertical="center"/>
    </xf>
    <xf numFmtId="165" fontId="29" fillId="13" borderId="1" xfId="0" applyNumberFormat="1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3" fontId="31" fillId="14" borderId="1" xfId="0" applyNumberFormat="1" applyFont="1" applyFill="1" applyBorder="1" applyAlignment="1">
      <alignment horizontal="center" vertical="center"/>
    </xf>
    <xf numFmtId="165" fontId="31" fillId="14" borderId="1" xfId="0" applyNumberFormat="1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3" fontId="33" fillId="9" borderId="1" xfId="0" applyNumberFormat="1" applyFont="1" applyFill="1" applyBorder="1" applyAlignment="1">
      <alignment horizontal="center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3" fontId="8" fillId="9" borderId="1" xfId="0" applyNumberFormat="1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left" vertical="center"/>
    </xf>
    <xf numFmtId="3" fontId="35" fillId="11" borderId="1" xfId="0" applyNumberFormat="1" applyFont="1" applyFill="1" applyBorder="1" applyAlignment="1">
      <alignment horizontal="center" vertical="center"/>
    </xf>
    <xf numFmtId="3" fontId="35" fillId="15" borderId="1" xfId="0" applyNumberFormat="1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left" vertical="center"/>
    </xf>
    <xf numFmtId="3" fontId="37" fillId="11" borderId="1" xfId="0" applyNumberFormat="1" applyFont="1" applyFill="1" applyBorder="1" applyAlignment="1">
      <alignment horizontal="center" vertical="center"/>
    </xf>
    <xf numFmtId="3" fontId="37" fillId="16" borderId="1" xfId="0" applyNumberFormat="1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left" vertical="center"/>
    </xf>
    <xf numFmtId="3" fontId="39" fillId="11" borderId="1" xfId="0" applyNumberFormat="1" applyFont="1" applyFill="1" applyBorder="1" applyAlignment="1">
      <alignment horizontal="center" vertical="center"/>
    </xf>
    <xf numFmtId="3" fontId="39" fillId="13" borderId="1" xfId="0" applyNumberFormat="1" applyFont="1" applyFill="1" applyBorder="1" applyAlignment="1">
      <alignment horizontal="center" vertical="center"/>
    </xf>
    <xf numFmtId="0" fontId="40" fillId="17" borderId="1" xfId="0" applyFont="1" applyFill="1" applyBorder="1" applyAlignment="1">
      <alignment horizontal="left" vertical="center"/>
    </xf>
    <xf numFmtId="165" fontId="41" fillId="11" borderId="1" xfId="0" applyNumberFormat="1" applyFont="1" applyFill="1" applyBorder="1" applyAlignment="1">
      <alignment horizontal="center" vertical="center"/>
    </xf>
    <xf numFmtId="165" fontId="41" fillId="17" borderId="1" xfId="0" applyNumberFormat="1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3" fontId="32" fillId="7" borderId="1" xfId="0" applyNumberFormat="1" applyFont="1" applyFill="1" applyBorder="1" applyAlignment="1">
      <alignment horizontal="center" vertical="center"/>
    </xf>
    <xf numFmtId="0" fontId="0" fillId="21" borderId="0" xfId="0" applyFill="1"/>
    <xf numFmtId="0" fontId="4" fillId="18" borderId="1" xfId="0" applyFont="1" applyFill="1" applyBorder="1" applyAlignment="1">
      <alignment horizontal="center" vertical="center"/>
    </xf>
    <xf numFmtId="3" fontId="12" fillId="21" borderId="1" xfId="0" applyNumberFormat="1" applyFont="1" applyFill="1" applyBorder="1" applyAlignment="1">
      <alignment horizontal="center" vertical="center"/>
    </xf>
    <xf numFmtId="49" fontId="23" fillId="21" borderId="1" xfId="0" applyNumberFormat="1" applyFont="1" applyFill="1" applyBorder="1" applyAlignment="1">
      <alignment horizontal="left" vertical="center"/>
    </xf>
    <xf numFmtId="165" fontId="44" fillId="21" borderId="1" xfId="0" applyNumberFormat="1" applyFont="1" applyFill="1" applyBorder="1" applyAlignment="1">
      <alignment horizontal="center" vertical="center"/>
    </xf>
    <xf numFmtId="49" fontId="44" fillId="22" borderId="1" xfId="0" applyNumberFormat="1" applyFont="1" applyFill="1" applyBorder="1" applyAlignment="1">
      <alignment horizontal="center" vertical="center"/>
    </xf>
    <xf numFmtId="49" fontId="45" fillId="23" borderId="1" xfId="0" applyNumberFormat="1" applyFont="1" applyFill="1" applyBorder="1" applyAlignment="1">
      <alignment horizontal="left" vertical="center" wrapText="1"/>
    </xf>
    <xf numFmtId="3" fontId="12" fillId="24" borderId="1" xfId="0" applyNumberFormat="1" applyFont="1" applyFill="1" applyBorder="1" applyAlignment="1">
      <alignment horizontal="center" vertical="center"/>
    </xf>
    <xf numFmtId="49" fontId="23" fillId="24" borderId="1" xfId="0" applyNumberFormat="1" applyFont="1" applyFill="1" applyBorder="1" applyAlignment="1">
      <alignment horizontal="left" vertical="center"/>
    </xf>
    <xf numFmtId="165" fontId="36" fillId="24" borderId="1" xfId="0" applyNumberFormat="1" applyFont="1" applyFill="1" applyBorder="1" applyAlignment="1">
      <alignment horizontal="center" vertical="center"/>
    </xf>
    <xf numFmtId="49" fontId="36" fillId="25" borderId="1" xfId="0" applyNumberFormat="1" applyFont="1" applyFill="1" applyBorder="1" applyAlignment="1">
      <alignment horizontal="center" vertical="center"/>
    </xf>
    <xf numFmtId="165" fontId="36" fillId="21" borderId="1" xfId="0" applyNumberFormat="1" applyFont="1" applyFill="1" applyBorder="1" applyAlignment="1">
      <alignment horizontal="center" vertical="center"/>
    </xf>
    <xf numFmtId="165" fontId="44" fillId="24" borderId="1" xfId="0" applyNumberFormat="1" applyFont="1" applyFill="1" applyBorder="1" applyAlignment="1">
      <alignment horizontal="center" vertical="center"/>
    </xf>
    <xf numFmtId="0" fontId="46" fillId="26" borderId="0" xfId="0" applyFont="1" applyFill="1"/>
    <xf numFmtId="0" fontId="47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left" vertical="center"/>
    </xf>
    <xf numFmtId="3" fontId="14" fillId="21" borderId="1" xfId="0" applyNumberFormat="1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left" vertical="center"/>
    </xf>
    <xf numFmtId="3" fontId="14" fillId="24" borderId="1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3" fontId="12" fillId="10" borderId="5" xfId="0" applyNumberFormat="1" applyFont="1" applyFill="1" applyBorder="1" applyAlignment="1">
      <alignment horizontal="center" vertical="center"/>
    </xf>
    <xf numFmtId="49" fontId="12" fillId="10" borderId="5" xfId="0" applyNumberFormat="1" applyFont="1" applyFill="1" applyBorder="1" applyAlignment="1">
      <alignment horizontal="center" vertical="center"/>
    </xf>
    <xf numFmtId="164" fontId="12" fillId="10" borderId="5" xfId="0" applyNumberFormat="1" applyFont="1" applyFill="1" applyBorder="1" applyAlignment="1">
      <alignment horizontal="center" vertical="center"/>
    </xf>
    <xf numFmtId="4" fontId="12" fillId="10" borderId="5" xfId="0" applyNumberFormat="1" applyFont="1" applyFill="1" applyBorder="1" applyAlignment="1">
      <alignment horizontal="center" vertical="center"/>
    </xf>
    <xf numFmtId="3" fontId="18" fillId="10" borderId="5" xfId="0" applyNumberFormat="1" applyFont="1" applyFill="1" applyBorder="1" applyAlignment="1">
      <alignment horizontal="center" vertical="center"/>
    </xf>
    <xf numFmtId="165" fontId="18" fillId="10" borderId="5" xfId="0" applyNumberFormat="1" applyFont="1" applyFill="1" applyBorder="1" applyAlignment="1">
      <alignment horizontal="center" vertical="center"/>
    </xf>
    <xf numFmtId="3" fontId="12" fillId="11" borderId="5" xfId="0" applyNumberFormat="1" applyFont="1" applyFill="1" applyBorder="1" applyAlignment="1">
      <alignment horizontal="center" vertical="center"/>
    </xf>
    <xf numFmtId="49" fontId="12" fillId="11" borderId="5" xfId="0" applyNumberFormat="1" applyFont="1" applyFill="1" applyBorder="1" applyAlignment="1">
      <alignment horizontal="center" vertical="center"/>
    </xf>
    <xf numFmtId="164" fontId="12" fillId="11" borderId="5" xfId="0" applyNumberFormat="1" applyFont="1" applyFill="1" applyBorder="1" applyAlignment="1">
      <alignment horizontal="center" vertical="center"/>
    </xf>
    <xf numFmtId="4" fontId="12" fillId="11" borderId="5" xfId="0" applyNumberFormat="1" applyFont="1" applyFill="1" applyBorder="1" applyAlignment="1">
      <alignment horizontal="center" vertical="center"/>
    </xf>
    <xf numFmtId="3" fontId="18" fillId="11" borderId="5" xfId="0" applyNumberFormat="1" applyFont="1" applyFill="1" applyBorder="1" applyAlignment="1">
      <alignment horizontal="center" vertical="center"/>
    </xf>
    <xf numFmtId="165" fontId="18" fillId="11" borderId="5" xfId="0" applyNumberFormat="1" applyFont="1" applyFill="1" applyBorder="1" applyAlignment="1">
      <alignment horizontal="center" vertical="center"/>
    </xf>
    <xf numFmtId="165" fontId="12" fillId="10" borderId="5" xfId="0" applyNumberFormat="1" applyFont="1" applyFill="1" applyBorder="1" applyAlignment="1">
      <alignment horizontal="center" vertical="center"/>
    </xf>
    <xf numFmtId="165" fontId="12" fillId="11" borderId="5" xfId="0" applyNumberFormat="1" applyFont="1" applyFill="1" applyBorder="1" applyAlignment="1">
      <alignment horizontal="center" vertical="center"/>
    </xf>
    <xf numFmtId="0" fontId="0" fillId="0" borderId="5" xfId="0" applyBorder="1"/>
    <xf numFmtId="3" fontId="48" fillId="11" borderId="5" xfId="0" applyNumberFormat="1" applyFont="1" applyFill="1" applyBorder="1" applyAlignment="1">
      <alignment horizontal="center" vertical="center"/>
    </xf>
    <xf numFmtId="3" fontId="48" fillId="10" borderId="5" xfId="0" applyNumberFormat="1" applyFont="1" applyFill="1" applyBorder="1" applyAlignment="1">
      <alignment horizontal="center" vertical="center"/>
    </xf>
    <xf numFmtId="0" fontId="49" fillId="0" borderId="5" xfId="0" applyFont="1" applyBorder="1"/>
    <xf numFmtId="3" fontId="50" fillId="11" borderId="5" xfId="0" applyNumberFormat="1" applyFont="1" applyFill="1" applyBorder="1" applyAlignment="1">
      <alignment horizontal="center" vertical="center"/>
    </xf>
    <xf numFmtId="3" fontId="50" fillId="10" borderId="5" xfId="0" applyNumberFormat="1" applyFont="1" applyFill="1" applyBorder="1" applyAlignment="1">
      <alignment horizontal="center" vertical="center"/>
    </xf>
    <xf numFmtId="49" fontId="12" fillId="11" borderId="0" xfId="0" applyNumberFormat="1" applyFont="1" applyFill="1" applyAlignment="1">
      <alignment horizontal="left" vertical="center"/>
    </xf>
    <xf numFmtId="3" fontId="12" fillId="11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0" fillId="8" borderId="0" xfId="0" applyFill="1"/>
    <xf numFmtId="0" fontId="7" fillId="2" borderId="0" xfId="0" applyFont="1" applyFill="1" applyAlignment="1">
      <alignment horizontal="left" vertical="center"/>
    </xf>
    <xf numFmtId="0" fontId="43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4" fillId="18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3" fontId="1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6" fillId="8" borderId="0" xfId="0" applyFont="1" applyFill="1" applyAlignment="1">
      <alignment horizontal="right" vertical="center"/>
    </xf>
    <xf numFmtId="165" fontId="13" fillId="8" borderId="0" xfId="0" applyNumberFormat="1" applyFont="1" applyFill="1" applyAlignment="1">
      <alignment horizontal="center" vertical="center"/>
    </xf>
    <xf numFmtId="3" fontId="13" fillId="8" borderId="0" xfId="0" applyNumberFormat="1" applyFont="1" applyFill="1" applyAlignment="1">
      <alignment horizontal="center" vertical="center"/>
    </xf>
    <xf numFmtId="3" fontId="25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8">
    <dxf>
      <font>
        <b/>
        <sz val="9"/>
        <color rgb="FF78909C"/>
        <name val="Arial"/>
        <charset val="1"/>
      </font>
      <fill>
        <patternFill>
          <bgColor rgb="FFECEFF1"/>
        </patternFill>
      </fill>
    </dxf>
    <dxf>
      <font>
        <b/>
        <sz val="9"/>
        <color rgb="FFF57F17"/>
        <name val="Arial"/>
        <charset val="1"/>
      </font>
      <fill>
        <patternFill>
          <bgColor rgb="FFFFFDE7"/>
        </patternFill>
      </fill>
    </dxf>
    <dxf>
      <font>
        <b/>
        <sz val="9"/>
        <color rgb="FFA32D2D"/>
        <name val="Arial"/>
        <charset val="1"/>
      </font>
      <fill>
        <patternFill>
          <bgColor rgb="FFFCEBEB"/>
        </patternFill>
      </fill>
    </dxf>
    <dxf>
      <font>
        <b/>
        <sz val="9"/>
        <color rgb="FF33691E"/>
        <name val="Arial"/>
        <charset val="1"/>
      </font>
      <fill>
        <patternFill>
          <bgColor rgb="FFF1F8E9"/>
        </patternFill>
      </fill>
    </dxf>
    <dxf>
      <font>
        <b/>
        <sz val="9"/>
        <color rgb="FF33691E"/>
        <name val="Arial"/>
        <charset val="1"/>
      </font>
      <fill>
        <patternFill>
          <bgColor rgb="FFF1F8E9"/>
        </patternFill>
      </fill>
    </dxf>
    <dxf>
      <font>
        <b/>
        <sz val="9"/>
        <color rgb="FFA32D2D"/>
        <name val="Arial"/>
        <charset val="1"/>
      </font>
      <fill>
        <patternFill>
          <bgColor rgb="FFFCEBEB"/>
        </patternFill>
      </fill>
    </dxf>
    <dxf>
      <font>
        <b/>
        <sz val="9"/>
        <color rgb="FF4527A0"/>
        <name val="Arial"/>
        <charset val="1"/>
      </font>
      <fill>
        <patternFill>
          <bgColor rgb="FFEDE7F6"/>
        </patternFill>
      </fill>
    </dxf>
    <dxf>
      <font>
        <b/>
        <sz val="9"/>
        <color rgb="FF0D47A1"/>
        <name val="Arial"/>
        <charset val="1"/>
      </font>
      <fill>
        <patternFill>
          <bgColor rgb="FFE3F2F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3691E"/>
      <rgbColor rgb="FF000080"/>
      <rgbColor rgb="FF808000"/>
      <rgbColor rgb="FF800080"/>
      <rgbColor rgb="FF008080"/>
      <rgbColor rgb="FFBDBDBD"/>
      <rgbColor rgb="FF78909C"/>
      <rgbColor rgb="FF9999FF"/>
      <rgbColor rgb="FFE53935"/>
      <rgbColor rgb="FFFFFDE7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CC1"/>
      <rgbColor rgb="FFF0F4F8"/>
      <rgbColor rgb="FFF1F8E9"/>
      <rgbColor rgb="FFFCEBEB"/>
      <rgbColor rgb="FF99CCFF"/>
      <rgbColor rgb="FFFF99CC"/>
      <rgbColor rgb="FFCC99FF"/>
      <rgbColor rgb="FFECEFF1"/>
      <rgbColor rgb="FF0D47A1"/>
      <rgbColor rgb="FF33CCCC"/>
      <rgbColor rgb="FF99CC00"/>
      <rgbColor rgb="FFFFCC00"/>
      <rgbColor rgb="FFF59E0B"/>
      <rgbColor rgb="FFF57F17"/>
      <rgbColor rgb="FF666699"/>
      <rgbColor rgb="FF90A4AE"/>
      <rgbColor rgb="FF0D2B5E"/>
      <rgbColor rgb="FF26A69A"/>
      <rgbColor rgb="FF0A1F3D"/>
      <rgbColor rgb="FF102A52"/>
      <rgbColor rgb="FFA32D2D"/>
      <rgbColor rgb="FF993366"/>
      <rgbColor rgb="FF4527A0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00B0F0"/>
  </sheetPr>
  <dimension ref="A1:M119"/>
  <sheetViews>
    <sheetView showGridLines="0" topLeftCell="A28" zoomScale="90" zoomScaleNormal="90" workbookViewId="0">
      <selection activeCell="N32" sqref="N32"/>
    </sheetView>
  </sheetViews>
  <sheetFormatPr baseColWidth="10" defaultColWidth="8.6640625" defaultRowHeight="14.4" x14ac:dyDescent="0.3"/>
  <cols>
    <col min="1" max="1" width="1.5546875" customWidth="1"/>
    <col min="2" max="6" width="18" customWidth="1"/>
    <col min="7" max="7" width="29.88671875" customWidth="1"/>
    <col min="8" max="9" width="18" customWidth="1"/>
    <col min="10" max="10" width="29.88671875" customWidth="1"/>
    <col min="11" max="11" width="4.109375" hidden="1" customWidth="1"/>
    <col min="12" max="12" width="18" hidden="1" customWidth="1"/>
    <col min="13" max="13" width="1.5546875" customWidth="1"/>
  </cols>
  <sheetData>
    <row r="1" spans="1:13" ht="19.5" customHeight="1" x14ac:dyDescent="0.3">
      <c r="A1" s="2"/>
      <c r="B1" s="143" t="s">
        <v>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2"/>
    </row>
    <row r="2" spans="1:13" ht="19.5" customHeight="1" x14ac:dyDescent="0.3">
      <c r="A2" s="2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2"/>
    </row>
    <row r="3" spans="1:13" ht="19.5" customHeight="1" x14ac:dyDescent="0.3">
      <c r="A3" s="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2"/>
    </row>
    <row r="4" spans="1:13" ht="19.5" customHeight="1" x14ac:dyDescent="0.3">
      <c r="A4" s="2"/>
      <c r="B4" s="144" t="s">
        <v>1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2"/>
    </row>
    <row r="5" spans="1:13" ht="19.5" customHeight="1" x14ac:dyDescent="0.3">
      <c r="A5" s="2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2"/>
    </row>
    <row r="6" spans="1:13" ht="19.5" customHeight="1" x14ac:dyDescent="0.3">
      <c r="A6" s="2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2"/>
    </row>
    <row r="7" spans="1:13" ht="19.5" customHeight="1" x14ac:dyDescent="0.3">
      <c r="A7" s="2"/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2"/>
    </row>
    <row r="8" spans="1:13" ht="18" customHeight="1" x14ac:dyDescent="0.3"/>
    <row r="9" spans="1:13" ht="21.75" customHeight="1" x14ac:dyDescent="0.3">
      <c r="B9" s="147" t="s">
        <v>2</v>
      </c>
      <c r="C9" s="147"/>
      <c r="D9" s="148" t="s">
        <v>3</v>
      </c>
      <c r="E9" s="148"/>
      <c r="F9" s="149" t="s">
        <v>4</v>
      </c>
      <c r="G9" s="149"/>
      <c r="H9" s="150" t="s">
        <v>5</v>
      </c>
      <c r="I9" s="150"/>
      <c r="J9" s="151" t="s">
        <v>6</v>
      </c>
      <c r="K9" s="151"/>
    </row>
    <row r="10" spans="1:13" ht="21.75" customHeight="1" x14ac:dyDescent="0.3">
      <c r="B10" s="142" t="s">
        <v>7</v>
      </c>
      <c r="C10" s="142"/>
      <c r="D10" s="142" t="s">
        <v>8</v>
      </c>
      <c r="E10" s="142"/>
      <c r="F10" s="142" t="s">
        <v>9</v>
      </c>
      <c r="G10" s="142"/>
      <c r="H10" s="142" t="s">
        <v>10</v>
      </c>
      <c r="I10" s="142"/>
      <c r="J10" s="142" t="s">
        <v>11</v>
      </c>
      <c r="K10" s="142"/>
    </row>
    <row r="11" spans="1:13" ht="21.75" customHeight="1" x14ac:dyDescent="0.3">
      <c r="B11" s="142"/>
      <c r="C11" s="142"/>
      <c r="D11" s="142"/>
      <c r="E11" s="142"/>
      <c r="F11" s="142"/>
      <c r="G11" s="142"/>
      <c r="H11" s="142"/>
      <c r="I11" s="142"/>
      <c r="J11" s="142"/>
      <c r="K11" s="142"/>
    </row>
    <row r="12" spans="1:13" ht="21.75" customHeight="1" x14ac:dyDescent="0.3">
      <c r="B12" s="141" t="s">
        <v>12</v>
      </c>
      <c r="C12" s="141"/>
      <c r="D12" s="141" t="s">
        <v>13</v>
      </c>
      <c r="E12" s="141"/>
      <c r="F12" s="141" t="s">
        <v>14</v>
      </c>
      <c r="G12" s="141"/>
      <c r="H12" s="141" t="s">
        <v>15</v>
      </c>
      <c r="I12" s="141"/>
      <c r="J12" s="141" t="s">
        <v>16</v>
      </c>
      <c r="K12" s="141"/>
    </row>
    <row r="13" spans="1:13" ht="21.75" customHeight="1" x14ac:dyDescent="0.3"/>
    <row r="14" spans="1:13" ht="7.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1.75" customHeight="1" x14ac:dyDescent="0.3">
      <c r="B16" s="140" t="s">
        <v>17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</row>
    <row r="17" spans="1:13" ht="21.75" customHeight="1" x14ac:dyDescent="0.3">
      <c r="B17" s="4" t="s">
        <v>18</v>
      </c>
      <c r="C17" s="4" t="s">
        <v>19</v>
      </c>
      <c r="D17" s="4" t="s">
        <v>20</v>
      </c>
      <c r="E17" s="4" t="s">
        <v>21</v>
      </c>
      <c r="F17" s="4" t="s">
        <v>22</v>
      </c>
      <c r="G17" s="4" t="s">
        <v>23</v>
      </c>
      <c r="H17" s="4" t="s">
        <v>24</v>
      </c>
      <c r="I17" s="4" t="s">
        <v>25</v>
      </c>
    </row>
    <row r="18" spans="1:13" ht="19.5" customHeight="1" x14ac:dyDescent="0.3">
      <c r="B18" s="5">
        <v>2019</v>
      </c>
      <c r="C18" s="6">
        <v>18726500</v>
      </c>
      <c r="D18" s="6">
        <v>109</v>
      </c>
      <c r="E18" s="7">
        <v>115737.927</v>
      </c>
      <c r="F18" s="7">
        <v>347.91</v>
      </c>
      <c r="G18" s="8">
        <v>0</v>
      </c>
      <c r="H18" s="6">
        <v>171802.752293578</v>
      </c>
      <c r="I18" s="8">
        <v>2.2911592886457499E-2</v>
      </c>
    </row>
    <row r="19" spans="1:13" ht="19.5" customHeight="1" x14ac:dyDescent="0.3">
      <c r="B19" s="9">
        <v>2020</v>
      </c>
      <c r="C19" s="10">
        <v>106717214</v>
      </c>
      <c r="D19" s="10">
        <v>582</v>
      </c>
      <c r="E19" s="11">
        <v>803850.63899999997</v>
      </c>
      <c r="F19" s="11">
        <v>1721.191</v>
      </c>
      <c r="G19" s="12">
        <v>4.6987271513630402</v>
      </c>
      <c r="H19" s="10">
        <v>183362.91065292101</v>
      </c>
      <c r="I19" s="13">
        <v>0.15913105634151101</v>
      </c>
    </row>
    <row r="20" spans="1:13" ht="19.5" customHeight="1" x14ac:dyDescent="0.3">
      <c r="B20" s="5">
        <v>2021</v>
      </c>
      <c r="C20" s="6">
        <v>93222260</v>
      </c>
      <c r="D20" s="6">
        <v>482</v>
      </c>
      <c r="E20" s="7">
        <v>622192.13</v>
      </c>
      <c r="F20" s="7">
        <v>4804.893</v>
      </c>
      <c r="G20" s="14">
        <v>-0.126455268969072</v>
      </c>
      <c r="H20" s="6">
        <v>193407.178423237</v>
      </c>
      <c r="I20" s="8">
        <v>0.12316976076232899</v>
      </c>
    </row>
    <row r="21" spans="1:13" ht="19.5" customHeight="1" x14ac:dyDescent="0.3">
      <c r="B21" s="9">
        <v>2022</v>
      </c>
      <c r="C21" s="10">
        <v>95324867.260000005</v>
      </c>
      <c r="D21" s="10">
        <v>456</v>
      </c>
      <c r="E21" s="11">
        <v>601911.43599999999</v>
      </c>
      <c r="F21" s="11">
        <v>1567.2028</v>
      </c>
      <c r="G21" s="12">
        <v>2.2554776723928398E-2</v>
      </c>
      <c r="H21" s="10">
        <v>209045.76153508801</v>
      </c>
      <c r="I21" s="13">
        <v>0.119154974802124</v>
      </c>
    </row>
    <row r="22" spans="1:13" ht="19.5" customHeight="1" x14ac:dyDescent="0.3">
      <c r="B22" s="5">
        <v>2023</v>
      </c>
      <c r="C22" s="6">
        <v>79843300</v>
      </c>
      <c r="D22" s="6">
        <v>368</v>
      </c>
      <c r="E22" s="7">
        <v>443636.25799999997</v>
      </c>
      <c r="F22" s="7">
        <v>1129.2053000000001</v>
      </c>
      <c r="G22" s="14">
        <v>-0.162408484847651</v>
      </c>
      <c r="H22" s="6">
        <v>216965.48913043499</v>
      </c>
      <c r="I22" s="8">
        <v>8.7822666229086896E-2</v>
      </c>
    </row>
    <row r="23" spans="1:13" ht="19.5" customHeight="1" x14ac:dyDescent="0.3">
      <c r="B23" s="9">
        <v>2024</v>
      </c>
      <c r="C23" s="10">
        <v>86303400</v>
      </c>
      <c r="D23" s="10">
        <v>328</v>
      </c>
      <c r="E23" s="11">
        <v>1240573.7890000001</v>
      </c>
      <c r="F23" s="11">
        <v>1071.9568999999999</v>
      </c>
      <c r="G23" s="12">
        <v>8.0909731937432505E-2</v>
      </c>
      <c r="H23" s="10">
        <v>263120.12195121998</v>
      </c>
      <c r="I23" s="13">
        <v>0.24558519696985801</v>
      </c>
    </row>
    <row r="24" spans="1:13" ht="19.5" customHeight="1" x14ac:dyDescent="0.3">
      <c r="B24" s="5">
        <v>2025</v>
      </c>
      <c r="C24" s="6">
        <v>67522811.799999997</v>
      </c>
      <c r="D24" s="6">
        <v>224</v>
      </c>
      <c r="E24" s="7">
        <v>947228.02899999998</v>
      </c>
      <c r="F24" s="7">
        <v>737.18799999999999</v>
      </c>
      <c r="G24" s="14">
        <v>-0.217611220415418</v>
      </c>
      <c r="H24" s="6">
        <v>301441.12410714303</v>
      </c>
      <c r="I24" s="8">
        <v>0.18751418427504399</v>
      </c>
    </row>
    <row r="25" spans="1:13" ht="19.5" customHeight="1" x14ac:dyDescent="0.3">
      <c r="B25" s="9">
        <v>2026</v>
      </c>
      <c r="C25" s="10">
        <v>58408011.799999997</v>
      </c>
      <c r="D25" s="10">
        <v>195</v>
      </c>
      <c r="E25" s="11">
        <v>276370.46999999997</v>
      </c>
      <c r="F25" s="11">
        <v>666.15</v>
      </c>
      <c r="G25" s="15">
        <v>-0.134988454375948</v>
      </c>
      <c r="H25" s="10">
        <v>299528.26564102602</v>
      </c>
      <c r="I25" s="13">
        <v>5.4710567733591002E-2</v>
      </c>
    </row>
    <row r="26" spans="1:13" ht="21.75" customHeight="1" x14ac:dyDescent="0.3">
      <c r="B26" s="16" t="s">
        <v>26</v>
      </c>
      <c r="C26" s="17">
        <v>606068364.86000001</v>
      </c>
      <c r="D26" s="17">
        <v>2744</v>
      </c>
      <c r="E26" s="18">
        <v>5051500.6780000003</v>
      </c>
      <c r="F26" s="18">
        <v>12045.697</v>
      </c>
      <c r="G26" s="19"/>
      <c r="H26" s="19"/>
      <c r="I26" s="20" t="s">
        <v>27</v>
      </c>
    </row>
    <row r="27" spans="1:13" ht="7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7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8" customHeight="1" x14ac:dyDescent="0.3">
      <c r="B29" s="140" t="s">
        <v>28</v>
      </c>
      <c r="C29" s="140"/>
      <c r="D29" s="140"/>
      <c r="E29" s="140"/>
      <c r="F29" s="140"/>
      <c r="G29" s="140" t="s">
        <v>29</v>
      </c>
      <c r="H29" s="140"/>
      <c r="I29" s="140"/>
      <c r="J29" s="140"/>
      <c r="K29" s="140"/>
      <c r="L29" s="140"/>
    </row>
    <row r="30" spans="1:13" ht="21.75" customHeight="1" x14ac:dyDescent="0.3">
      <c r="B30" s="21" t="s">
        <v>30</v>
      </c>
      <c r="C30" s="21" t="s">
        <v>31</v>
      </c>
      <c r="D30" s="21" t="s">
        <v>32</v>
      </c>
      <c r="E30" s="21" t="s">
        <v>21</v>
      </c>
      <c r="F30" s="21" t="s">
        <v>33</v>
      </c>
      <c r="G30" s="22" t="s">
        <v>34</v>
      </c>
      <c r="H30" s="22" t="s">
        <v>31</v>
      </c>
      <c r="I30" s="22" t="s">
        <v>32</v>
      </c>
      <c r="J30" s="22" t="s">
        <v>33</v>
      </c>
    </row>
    <row r="31" spans="1:13" ht="18" customHeight="1" x14ac:dyDescent="0.3">
      <c r="B31" s="23" t="s">
        <v>35</v>
      </c>
      <c r="C31" s="24">
        <v>94123280</v>
      </c>
      <c r="D31" s="24">
        <v>375</v>
      </c>
      <c r="E31" s="25">
        <v>678631.57900000003</v>
      </c>
      <c r="F31" s="26">
        <v>0.48204241032595102</v>
      </c>
      <c r="G31" s="23" t="s">
        <v>36</v>
      </c>
      <c r="H31" s="24">
        <v>6827300</v>
      </c>
      <c r="I31" s="24">
        <v>36</v>
      </c>
      <c r="J31" s="26">
        <v>0.113021632254</v>
      </c>
    </row>
    <row r="32" spans="1:13" ht="18" customHeight="1" x14ac:dyDescent="0.3">
      <c r="B32" s="27" t="s">
        <v>37</v>
      </c>
      <c r="C32" s="28">
        <v>22108040</v>
      </c>
      <c r="D32" s="28">
        <v>127</v>
      </c>
      <c r="E32" s="29">
        <v>156247.609</v>
      </c>
      <c r="F32" s="30">
        <v>0.113223985492033</v>
      </c>
      <c r="G32" s="27" t="s">
        <v>38</v>
      </c>
      <c r="H32" s="28">
        <v>5769420</v>
      </c>
      <c r="I32" s="28">
        <v>32</v>
      </c>
      <c r="J32" s="30">
        <v>9.5509098114755497E-2</v>
      </c>
    </row>
    <row r="33" spans="2:10" ht="18" customHeight="1" x14ac:dyDescent="0.3">
      <c r="B33" s="23" t="s">
        <v>39</v>
      </c>
      <c r="C33" s="24">
        <v>10229880</v>
      </c>
      <c r="D33" s="24">
        <v>38</v>
      </c>
      <c r="E33" s="25">
        <v>45646.85</v>
      </c>
      <c r="F33" s="26">
        <v>5.23912470171592E-2</v>
      </c>
      <c r="G33" s="23" t="s">
        <v>40</v>
      </c>
      <c r="H33" s="24">
        <v>4747400</v>
      </c>
      <c r="I33" s="24">
        <v>4</v>
      </c>
      <c r="J33" s="26">
        <v>7.8590203588920604E-2</v>
      </c>
    </row>
    <row r="34" spans="2:10" ht="18" customHeight="1" x14ac:dyDescent="0.3">
      <c r="B34" s="27" t="s">
        <v>41</v>
      </c>
      <c r="C34" s="28">
        <v>9312400</v>
      </c>
      <c r="D34" s="28">
        <v>52</v>
      </c>
      <c r="E34" s="29">
        <v>55356</v>
      </c>
      <c r="F34" s="30">
        <v>4.7692470363542301E-2</v>
      </c>
      <c r="G34" s="27" t="s">
        <v>42</v>
      </c>
      <c r="H34" s="28">
        <v>4710900</v>
      </c>
      <c r="I34" s="28">
        <v>18</v>
      </c>
      <c r="J34" s="30">
        <v>7.7985969180403195E-2</v>
      </c>
    </row>
    <row r="35" spans="2:10" ht="18" customHeight="1" x14ac:dyDescent="0.3">
      <c r="B35" s="23" t="s">
        <v>43</v>
      </c>
      <c r="C35" s="24">
        <v>8574460</v>
      </c>
      <c r="D35" s="24">
        <v>43</v>
      </c>
      <c r="E35" s="25">
        <v>64962.2</v>
      </c>
      <c r="F35" s="26">
        <v>4.3913188805611701E-2</v>
      </c>
      <c r="G35" s="23" t="s">
        <v>44</v>
      </c>
      <c r="H35" s="24">
        <v>4671160</v>
      </c>
      <c r="I35" s="24">
        <v>16</v>
      </c>
      <c r="J35" s="26">
        <v>7.7328098621650299E-2</v>
      </c>
    </row>
    <row r="36" spans="2:10" ht="18" customHeight="1" x14ac:dyDescent="0.3">
      <c r="B36" s="27" t="s">
        <v>45</v>
      </c>
      <c r="C36" s="28">
        <v>7570580</v>
      </c>
      <c r="D36" s="28">
        <v>37</v>
      </c>
      <c r="E36" s="29">
        <v>29419.651999999998</v>
      </c>
      <c r="F36" s="30">
        <v>3.8771923702249203E-2</v>
      </c>
      <c r="G36" s="27" t="s">
        <v>46</v>
      </c>
      <c r="H36" s="28">
        <v>4454600</v>
      </c>
      <c r="I36" s="28">
        <v>1</v>
      </c>
      <c r="J36" s="30">
        <v>7.3743084826895899E-2</v>
      </c>
    </row>
    <row r="37" spans="2:10" ht="18" customHeight="1" x14ac:dyDescent="0.3">
      <c r="B37" s="23" t="s">
        <v>47</v>
      </c>
      <c r="C37" s="24">
        <v>6448345</v>
      </c>
      <c r="D37" s="24">
        <v>38</v>
      </c>
      <c r="E37" s="25">
        <v>33707.86</v>
      </c>
      <c r="F37" s="26">
        <v>3.3024516000858602E-2</v>
      </c>
      <c r="G37" s="23" t="s">
        <v>48</v>
      </c>
      <c r="H37" s="24">
        <v>4427380</v>
      </c>
      <c r="I37" s="24">
        <v>23</v>
      </c>
      <c r="J37" s="26">
        <v>7.32924749474482E-2</v>
      </c>
    </row>
    <row r="38" spans="2:10" ht="18" customHeight="1" x14ac:dyDescent="0.3">
      <c r="B38" s="27" t="s">
        <v>49</v>
      </c>
      <c r="C38" s="28">
        <v>6041589</v>
      </c>
      <c r="D38" s="28">
        <v>34</v>
      </c>
      <c r="E38" s="29">
        <v>39918.83</v>
      </c>
      <c r="F38" s="30">
        <v>3.0941358224647001E-2</v>
      </c>
      <c r="G38" s="27" t="s">
        <v>50</v>
      </c>
      <c r="H38" s="28">
        <v>4052260</v>
      </c>
      <c r="I38" s="28">
        <v>20</v>
      </c>
      <c r="J38" s="30">
        <v>6.7082600664624695E-2</v>
      </c>
    </row>
    <row r="39" spans="2:10" ht="18" customHeight="1" x14ac:dyDescent="0.3">
      <c r="B39" s="23" t="s">
        <v>51</v>
      </c>
      <c r="C39" s="24">
        <v>5703940</v>
      </c>
      <c r="D39" s="24">
        <v>33</v>
      </c>
      <c r="E39" s="25">
        <v>28196.576000000001</v>
      </c>
      <c r="F39" s="26">
        <v>2.92121246301086E-2</v>
      </c>
      <c r="G39" s="23" t="s">
        <v>52</v>
      </c>
      <c r="H39" s="24">
        <v>3460800</v>
      </c>
      <c r="I39" s="24">
        <v>18</v>
      </c>
      <c r="J39" s="26">
        <v>5.7291354547865499E-2</v>
      </c>
    </row>
    <row r="40" spans="2:10" ht="18" customHeight="1" x14ac:dyDescent="0.3">
      <c r="B40" s="27" t="s">
        <v>53</v>
      </c>
      <c r="C40" s="28">
        <v>4929660</v>
      </c>
      <c r="D40" s="28">
        <v>3</v>
      </c>
      <c r="E40" s="29">
        <v>1273</v>
      </c>
      <c r="F40" s="30">
        <v>2.5246731610792002E-2</v>
      </c>
      <c r="G40" s="27" t="s">
        <v>54</v>
      </c>
      <c r="H40" s="28">
        <v>3094240</v>
      </c>
      <c r="I40" s="28">
        <v>16</v>
      </c>
      <c r="J40" s="30">
        <v>5.1223185649614901E-2</v>
      </c>
    </row>
    <row r="41" spans="2:10" ht="18" customHeight="1" x14ac:dyDescent="0.3">
      <c r="B41" s="23" t="s">
        <v>55</v>
      </c>
      <c r="C41" s="24">
        <v>4812260</v>
      </c>
      <c r="D41" s="24">
        <v>20</v>
      </c>
      <c r="E41" s="25">
        <v>48315.074000000001</v>
      </c>
      <c r="F41" s="26">
        <v>2.4645479944123999E-2</v>
      </c>
      <c r="G41" s="23" t="s">
        <v>56</v>
      </c>
      <c r="H41" s="24">
        <v>2961080</v>
      </c>
      <c r="I41" s="24">
        <v>13</v>
      </c>
      <c r="J41" s="26">
        <v>4.9018806092404499E-2</v>
      </c>
    </row>
    <row r="42" spans="2:10" ht="18" customHeight="1" x14ac:dyDescent="0.3">
      <c r="B42" s="27" t="s">
        <v>57</v>
      </c>
      <c r="C42" s="28">
        <v>3985040</v>
      </c>
      <c r="D42" s="28">
        <v>18</v>
      </c>
      <c r="E42" s="29">
        <v>8743.893</v>
      </c>
      <c r="F42" s="30">
        <v>2.04089603214564E-2</v>
      </c>
      <c r="G42" s="27" t="s">
        <v>58</v>
      </c>
      <c r="H42" s="28">
        <v>2838700</v>
      </c>
      <c r="I42" s="28">
        <v>1</v>
      </c>
      <c r="J42" s="30">
        <v>4.6992882615298701E-2</v>
      </c>
    </row>
    <row r="43" spans="2:10" ht="18" customHeight="1" x14ac:dyDescent="0.3">
      <c r="B43" s="23" t="s">
        <v>59</v>
      </c>
      <c r="C43" s="24">
        <v>3946060</v>
      </c>
      <c r="D43" s="24">
        <v>21</v>
      </c>
      <c r="E43" s="25">
        <v>126567.61</v>
      </c>
      <c r="F43" s="26">
        <v>2.0209328379661499E-2</v>
      </c>
      <c r="G43" s="23" t="s">
        <v>60</v>
      </c>
      <c r="H43" s="24">
        <v>2824160</v>
      </c>
      <c r="I43" s="24">
        <v>17</v>
      </c>
      <c r="J43" s="26">
        <v>4.6752182113933102E-2</v>
      </c>
    </row>
    <row r="44" spans="2:10" ht="18" customHeight="1" x14ac:dyDescent="0.3">
      <c r="B44" s="27" t="s">
        <v>61</v>
      </c>
      <c r="C44" s="28">
        <v>3795000</v>
      </c>
      <c r="D44" s="28">
        <v>15</v>
      </c>
      <c r="E44" s="29">
        <v>39216.639999999999</v>
      </c>
      <c r="F44" s="30">
        <v>1.9435690587780101E-2</v>
      </c>
      <c r="G44" s="27" t="s">
        <v>62</v>
      </c>
      <c r="H44" s="28">
        <v>2792660</v>
      </c>
      <c r="I44" s="28">
        <v>12</v>
      </c>
      <c r="J44" s="30">
        <v>4.62307195421989E-2</v>
      </c>
    </row>
    <row r="45" spans="2:10" ht="18" customHeight="1" x14ac:dyDescent="0.3">
      <c r="B45" s="23" t="s">
        <v>63</v>
      </c>
      <c r="C45" s="24">
        <v>3678800</v>
      </c>
      <c r="D45" s="24">
        <v>15</v>
      </c>
      <c r="E45" s="25">
        <v>43837.035000000003</v>
      </c>
      <c r="F45" s="26">
        <v>1.88405845940251E-2</v>
      </c>
      <c r="G45" s="23" t="s">
        <v>64</v>
      </c>
      <c r="H45" s="24">
        <v>2774960</v>
      </c>
      <c r="I45" s="24">
        <v>17</v>
      </c>
      <c r="J45" s="26">
        <v>4.5937707239986303E-2</v>
      </c>
    </row>
    <row r="46" spans="2:10" ht="18" customHeight="1" x14ac:dyDescent="0.3"/>
    <row r="47" spans="2:10" ht="18" customHeight="1" x14ac:dyDescent="0.3"/>
    <row r="48" spans="2:10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</sheetData>
  <mergeCells count="22">
    <mergeCell ref="B1:L3"/>
    <mergeCell ref="B4:L4"/>
    <mergeCell ref="B5:L6"/>
    <mergeCell ref="B7:L7"/>
    <mergeCell ref="B9:C9"/>
    <mergeCell ref="D9:E9"/>
    <mergeCell ref="F9:G9"/>
    <mergeCell ref="H9:I9"/>
    <mergeCell ref="J9:K9"/>
    <mergeCell ref="B10:C11"/>
    <mergeCell ref="D10:E11"/>
    <mergeCell ref="F10:G11"/>
    <mergeCell ref="H10:I11"/>
    <mergeCell ref="J10:K11"/>
    <mergeCell ref="B16:L16"/>
    <mergeCell ref="B29:F29"/>
    <mergeCell ref="G29:L29"/>
    <mergeCell ref="B12:C12"/>
    <mergeCell ref="D12:E12"/>
    <mergeCell ref="F12:G12"/>
    <mergeCell ref="H12:I12"/>
    <mergeCell ref="J12:K12"/>
  </mergeCells>
  <conditionalFormatting sqref="C18:C25">
    <cfRule type="dataBar" priority="2">
      <dataBar>
        <cfvo type="min"/>
        <cfvo type="max"/>
        <color rgb="FF1E88E5"/>
      </dataBar>
      <extLst>
        <ext xmlns:x14="http://schemas.microsoft.com/office/spreadsheetml/2009/9/main" uri="{B025F937-C7B1-47D3-B67F-A62EFF666E3E}">
          <x14:id>{A88682C3-DA1A-4696-AD16-24A0A9213832}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8682C3-DA1A-4696-AD16-24A0A9213832}">
            <x14:dataBar axisPosition="none">
              <x14:cfvo type="min"/>
              <x14:cfvo type="max"/>
              <x14:negativeFillColor rgb="FF1E88E5"/>
            </x14:dataBar>
          </x14:cfRule>
          <xm:sqref>C18:C25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FFFF00"/>
  </sheetPr>
  <dimension ref="A1:K2555"/>
  <sheetViews>
    <sheetView showGridLines="0" tabSelected="1" zoomScaleNormal="100" workbookViewId="0">
      <pane ySplit="5" topLeftCell="A6" activePane="bottomLeft" state="frozen"/>
      <selection activeCell="H21" sqref="H21"/>
      <selection pane="bottomLeft" activeCell="K39" sqref="K39"/>
    </sheetView>
  </sheetViews>
  <sheetFormatPr baseColWidth="10" defaultColWidth="8.6640625" defaultRowHeight="14.4" x14ac:dyDescent="0.3"/>
  <cols>
    <col min="1" max="1" width="8.109375" customWidth="1"/>
    <col min="2" max="2" width="20" customWidth="1"/>
    <col min="3" max="3" width="22" customWidth="1"/>
    <col min="4" max="5" width="30" customWidth="1"/>
    <col min="6" max="6" width="17.6640625" customWidth="1"/>
    <col min="7" max="7" width="15.6640625" customWidth="1"/>
    <col min="8" max="8" width="14.77734375" customWidth="1"/>
    <col min="9" max="9" width="20.21875" customWidth="1"/>
    <col min="10" max="10" width="14" customWidth="1"/>
    <col min="11" max="11" width="14.21875" customWidth="1"/>
  </cols>
  <sheetData>
    <row r="1" spans="1:11" ht="21.75" customHeight="1" x14ac:dyDescent="0.3">
      <c r="A1" s="152" t="s">
        <v>65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</row>
    <row r="2" spans="1:11" ht="21.75" customHeight="1" x14ac:dyDescent="0.3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</row>
    <row r="3" spans="1:11" ht="21.75" customHeight="1" x14ac:dyDescent="0.3">
      <c r="A3" s="153" t="s">
        <v>66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</row>
    <row r="4" spans="1:11" ht="21.75" customHeight="1" x14ac:dyDescent="0.3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</row>
    <row r="5" spans="1:11" ht="24" customHeight="1" x14ac:dyDescent="0.3">
      <c r="A5" s="4" t="s">
        <v>5768</v>
      </c>
      <c r="B5" s="4" t="s">
        <v>67</v>
      </c>
      <c r="C5" s="4" t="s">
        <v>68</v>
      </c>
      <c r="D5" s="4" t="s">
        <v>34</v>
      </c>
      <c r="E5" s="4" t="s">
        <v>69</v>
      </c>
      <c r="F5" s="4" t="s">
        <v>70</v>
      </c>
      <c r="G5" s="4" t="s">
        <v>21</v>
      </c>
      <c r="H5" s="4" t="s">
        <v>71</v>
      </c>
      <c r="I5" s="4" t="s">
        <v>72</v>
      </c>
      <c r="J5" s="4" t="s">
        <v>73</v>
      </c>
      <c r="K5" s="4" t="s">
        <v>18</v>
      </c>
    </row>
    <row r="6" spans="1:11" ht="15" customHeight="1" x14ac:dyDescent="0.3">
      <c r="A6" s="31">
        <v>1</v>
      </c>
      <c r="B6" s="32" t="s">
        <v>74</v>
      </c>
      <c r="C6" s="32"/>
      <c r="D6" s="32" t="s">
        <v>75</v>
      </c>
      <c r="E6" s="32" t="s">
        <v>76</v>
      </c>
      <c r="F6" s="32" t="s">
        <v>77</v>
      </c>
      <c r="G6" s="33">
        <v>913.5</v>
      </c>
      <c r="H6" s="34">
        <v>0.754</v>
      </c>
      <c r="I6" s="31">
        <v>118260</v>
      </c>
      <c r="J6" s="35" t="s">
        <v>78</v>
      </c>
      <c r="K6" s="36">
        <v>2019</v>
      </c>
    </row>
    <row r="7" spans="1:11" ht="15" customHeight="1" x14ac:dyDescent="0.3">
      <c r="A7" s="37">
        <v>2</v>
      </c>
      <c r="B7" s="38" t="s">
        <v>74</v>
      </c>
      <c r="C7" s="38"/>
      <c r="D7" s="38" t="s">
        <v>79</v>
      </c>
      <c r="E7" s="38" t="s">
        <v>80</v>
      </c>
      <c r="F7" s="38" t="s">
        <v>81</v>
      </c>
      <c r="G7" s="39">
        <v>988</v>
      </c>
      <c r="H7" s="40">
        <v>4.7839999999999998</v>
      </c>
      <c r="I7" s="37">
        <v>218000</v>
      </c>
      <c r="J7" s="41" t="s">
        <v>78</v>
      </c>
      <c r="K7" s="42">
        <v>2019</v>
      </c>
    </row>
    <row r="8" spans="1:11" ht="15" customHeight="1" x14ac:dyDescent="0.3">
      <c r="A8" s="31">
        <v>3</v>
      </c>
      <c r="B8" s="32" t="s">
        <v>74</v>
      </c>
      <c r="C8" s="32"/>
      <c r="D8" s="32" t="s">
        <v>82</v>
      </c>
      <c r="E8" s="32" t="s">
        <v>83</v>
      </c>
      <c r="F8" s="32" t="s">
        <v>84</v>
      </c>
      <c r="G8" s="33">
        <v>4315.2</v>
      </c>
      <c r="H8" s="34">
        <v>9.6</v>
      </c>
      <c r="I8" s="31">
        <v>358260</v>
      </c>
      <c r="J8" s="35" t="s">
        <v>78</v>
      </c>
      <c r="K8" s="36">
        <v>2019</v>
      </c>
    </row>
    <row r="9" spans="1:11" ht="15" customHeight="1" x14ac:dyDescent="0.3">
      <c r="A9" s="37">
        <v>4</v>
      </c>
      <c r="B9" s="38" t="s">
        <v>74</v>
      </c>
      <c r="C9" s="38"/>
      <c r="D9" s="38" t="s">
        <v>85</v>
      </c>
      <c r="E9" s="38" t="s">
        <v>35</v>
      </c>
      <c r="F9" s="38" t="s">
        <v>86</v>
      </c>
      <c r="G9" s="39">
        <v>986</v>
      </c>
      <c r="H9" s="40">
        <v>0.67200000000000004</v>
      </c>
      <c r="I9" s="37">
        <v>118260</v>
      </c>
      <c r="J9" s="41" t="s">
        <v>78</v>
      </c>
      <c r="K9" s="42">
        <v>2019</v>
      </c>
    </row>
    <row r="10" spans="1:11" ht="15" customHeight="1" x14ac:dyDescent="0.3">
      <c r="A10" s="31">
        <v>5</v>
      </c>
      <c r="B10" s="32" t="s">
        <v>74</v>
      </c>
      <c r="C10" s="32"/>
      <c r="D10" s="32" t="s">
        <v>87</v>
      </c>
      <c r="E10" s="32" t="s">
        <v>88</v>
      </c>
      <c r="F10" s="32" t="s">
        <v>86</v>
      </c>
      <c r="G10" s="33">
        <v>650</v>
      </c>
      <c r="H10" s="34">
        <v>1.018</v>
      </c>
      <c r="I10" s="31">
        <v>118260</v>
      </c>
      <c r="J10" s="35" t="s">
        <v>78</v>
      </c>
      <c r="K10" s="36">
        <v>2019</v>
      </c>
    </row>
    <row r="11" spans="1:11" ht="15" customHeight="1" x14ac:dyDescent="0.3">
      <c r="A11" s="37">
        <v>6</v>
      </c>
      <c r="B11" s="38" t="s">
        <v>74</v>
      </c>
      <c r="C11" s="38"/>
      <c r="D11" s="38" t="s">
        <v>89</v>
      </c>
      <c r="E11" s="38" t="s">
        <v>37</v>
      </c>
      <c r="F11" s="38" t="s">
        <v>84</v>
      </c>
      <c r="G11" s="39">
        <v>2520</v>
      </c>
      <c r="H11" s="40">
        <v>4.681</v>
      </c>
      <c r="I11" s="37">
        <v>228260</v>
      </c>
      <c r="J11" s="41" t="s">
        <v>78</v>
      </c>
      <c r="K11" s="42">
        <v>2019</v>
      </c>
    </row>
    <row r="12" spans="1:11" ht="15" customHeight="1" x14ac:dyDescent="0.3">
      <c r="A12" s="31">
        <v>7</v>
      </c>
      <c r="B12" s="32" t="s">
        <v>74</v>
      </c>
      <c r="C12" s="32"/>
      <c r="D12" s="32" t="s">
        <v>85</v>
      </c>
      <c r="E12" s="32" t="s">
        <v>90</v>
      </c>
      <c r="F12" s="32" t="s">
        <v>77</v>
      </c>
      <c r="G12" s="33">
        <v>338</v>
      </c>
      <c r="H12" s="34">
        <v>4.3879999999999999</v>
      </c>
      <c r="I12" s="31">
        <v>19000</v>
      </c>
      <c r="J12" s="35" t="s">
        <v>78</v>
      </c>
      <c r="K12" s="36">
        <v>2019</v>
      </c>
    </row>
    <row r="13" spans="1:11" ht="15" customHeight="1" x14ac:dyDescent="0.3">
      <c r="A13" s="37">
        <v>8</v>
      </c>
      <c r="B13" s="38" t="s">
        <v>74</v>
      </c>
      <c r="C13" s="38"/>
      <c r="D13" s="38" t="s">
        <v>91</v>
      </c>
      <c r="E13" s="38" t="s">
        <v>88</v>
      </c>
      <c r="F13" s="38" t="s">
        <v>86</v>
      </c>
      <c r="G13" s="39">
        <v>112.06</v>
      </c>
      <c r="H13" s="40">
        <v>0.91200000000000003</v>
      </c>
      <c r="I13" s="37">
        <v>108000</v>
      </c>
      <c r="J13" s="41" t="s">
        <v>78</v>
      </c>
      <c r="K13" s="42">
        <v>2019</v>
      </c>
    </row>
    <row r="14" spans="1:11" ht="15" customHeight="1" x14ac:dyDescent="0.3">
      <c r="A14" s="31">
        <v>9</v>
      </c>
      <c r="B14" s="32" t="s">
        <v>74</v>
      </c>
      <c r="C14" s="32"/>
      <c r="D14" s="32" t="s">
        <v>92</v>
      </c>
      <c r="E14" s="32" t="s">
        <v>93</v>
      </c>
      <c r="F14" s="32" t="s">
        <v>94</v>
      </c>
      <c r="G14" s="33">
        <v>415</v>
      </c>
      <c r="H14" s="34">
        <v>2.222</v>
      </c>
      <c r="I14" s="31">
        <v>134000</v>
      </c>
      <c r="J14" s="35" t="s">
        <v>78</v>
      </c>
      <c r="K14" s="36">
        <v>2019</v>
      </c>
    </row>
    <row r="15" spans="1:11" ht="15" customHeight="1" x14ac:dyDescent="0.3">
      <c r="A15" s="37">
        <v>10</v>
      </c>
      <c r="B15" s="38" t="s">
        <v>74</v>
      </c>
      <c r="C15" s="38"/>
      <c r="D15" s="38" t="s">
        <v>95</v>
      </c>
      <c r="E15" s="38" t="s">
        <v>96</v>
      </c>
      <c r="F15" s="38" t="s">
        <v>97</v>
      </c>
      <c r="G15" s="39">
        <v>1798</v>
      </c>
      <c r="H15" s="40">
        <v>11.285</v>
      </c>
      <c r="I15" s="37">
        <v>358260</v>
      </c>
      <c r="J15" s="41" t="s">
        <v>78</v>
      </c>
      <c r="K15" s="42">
        <v>2019</v>
      </c>
    </row>
    <row r="16" spans="1:11" ht="15" customHeight="1" x14ac:dyDescent="0.3">
      <c r="A16" s="31">
        <v>11</v>
      </c>
      <c r="B16" s="32" t="s">
        <v>74</v>
      </c>
      <c r="C16" s="32"/>
      <c r="D16" s="32" t="s">
        <v>98</v>
      </c>
      <c r="E16" s="32" t="s">
        <v>99</v>
      </c>
      <c r="F16" s="32" t="s">
        <v>84</v>
      </c>
      <c r="G16" s="33">
        <v>1589</v>
      </c>
      <c r="H16" s="34">
        <v>4.3920000000000003</v>
      </c>
      <c r="I16" s="31">
        <v>200260</v>
      </c>
      <c r="J16" s="35" t="s">
        <v>78</v>
      </c>
      <c r="K16" s="36">
        <v>2019</v>
      </c>
    </row>
    <row r="17" spans="1:11" ht="15" customHeight="1" x14ac:dyDescent="0.3">
      <c r="A17" s="37">
        <v>12</v>
      </c>
      <c r="B17" s="38" t="s">
        <v>100</v>
      </c>
      <c r="C17" s="38"/>
      <c r="D17" s="38" t="s">
        <v>101</v>
      </c>
      <c r="E17" s="38" t="s">
        <v>102</v>
      </c>
      <c r="F17" s="38" t="s">
        <v>77</v>
      </c>
      <c r="G17" s="39">
        <v>498.25200000000001</v>
      </c>
      <c r="H17" s="40">
        <v>1.728</v>
      </c>
      <c r="I17" s="37">
        <v>144260</v>
      </c>
      <c r="J17" s="41" t="s">
        <v>78</v>
      </c>
      <c r="K17" s="42">
        <v>2019</v>
      </c>
    </row>
    <row r="18" spans="1:11" ht="15" customHeight="1" x14ac:dyDescent="0.3">
      <c r="A18" s="31">
        <v>13</v>
      </c>
      <c r="B18" s="32" t="s">
        <v>100</v>
      </c>
      <c r="C18" s="32"/>
      <c r="D18" s="32" t="s">
        <v>103</v>
      </c>
      <c r="E18" s="32" t="s">
        <v>104</v>
      </c>
      <c r="F18" s="32" t="s">
        <v>105</v>
      </c>
      <c r="G18" s="33">
        <v>1389.56</v>
      </c>
      <c r="H18" s="34">
        <v>6.1589999999999998</v>
      </c>
      <c r="I18" s="31">
        <v>256260</v>
      </c>
      <c r="J18" s="35" t="s">
        <v>78</v>
      </c>
      <c r="K18" s="36">
        <v>2019</v>
      </c>
    </row>
    <row r="19" spans="1:11" ht="15" customHeight="1" x14ac:dyDescent="0.3">
      <c r="A19" s="37">
        <v>14</v>
      </c>
      <c r="B19" s="38" t="s">
        <v>100</v>
      </c>
      <c r="C19" s="38"/>
      <c r="D19" s="38" t="s">
        <v>106</v>
      </c>
      <c r="E19" s="38" t="s">
        <v>37</v>
      </c>
      <c r="F19" s="38" t="s">
        <v>86</v>
      </c>
      <c r="G19" s="39">
        <v>150</v>
      </c>
      <c r="H19" s="40">
        <v>1.3440000000000001</v>
      </c>
      <c r="I19" s="37">
        <v>118260</v>
      </c>
      <c r="J19" s="41" t="s">
        <v>78</v>
      </c>
      <c r="K19" s="42">
        <v>2019</v>
      </c>
    </row>
    <row r="20" spans="1:11" ht="15" customHeight="1" x14ac:dyDescent="0.3">
      <c r="A20" s="31">
        <v>15</v>
      </c>
      <c r="B20" s="32" t="s">
        <v>100</v>
      </c>
      <c r="C20" s="32"/>
      <c r="D20" s="32" t="s">
        <v>44</v>
      </c>
      <c r="E20" s="32" t="s">
        <v>107</v>
      </c>
      <c r="F20" s="32" t="s">
        <v>86</v>
      </c>
      <c r="G20" s="33">
        <v>2150</v>
      </c>
      <c r="H20" s="34">
        <v>3.4239999999999999</v>
      </c>
      <c r="I20" s="31">
        <v>172260</v>
      </c>
      <c r="J20" s="35" t="s">
        <v>78</v>
      </c>
      <c r="K20" s="36">
        <v>2019</v>
      </c>
    </row>
    <row r="21" spans="1:11" ht="15" customHeight="1" x14ac:dyDescent="0.3">
      <c r="A21" s="37">
        <v>16</v>
      </c>
      <c r="B21" s="38" t="s">
        <v>100</v>
      </c>
      <c r="C21" s="38"/>
      <c r="D21" s="38" t="s">
        <v>108</v>
      </c>
      <c r="E21" s="38" t="s">
        <v>109</v>
      </c>
      <c r="F21" s="38" t="s">
        <v>86</v>
      </c>
      <c r="G21" s="39">
        <v>120</v>
      </c>
      <c r="H21" s="40">
        <v>1.56</v>
      </c>
      <c r="I21" s="37">
        <v>144260</v>
      </c>
      <c r="J21" s="41" t="s">
        <v>78</v>
      </c>
      <c r="K21" s="42">
        <v>2019</v>
      </c>
    </row>
    <row r="22" spans="1:11" ht="15" customHeight="1" x14ac:dyDescent="0.3">
      <c r="A22" s="31">
        <v>17</v>
      </c>
      <c r="B22" s="32" t="s">
        <v>100</v>
      </c>
      <c r="C22" s="32"/>
      <c r="D22" s="32" t="s">
        <v>110</v>
      </c>
      <c r="E22" s="32" t="s">
        <v>111</v>
      </c>
      <c r="F22" s="32" t="s">
        <v>86</v>
      </c>
      <c r="G22" s="33">
        <v>120</v>
      </c>
      <c r="H22" s="34">
        <v>3.3809999999999998</v>
      </c>
      <c r="I22" s="31">
        <v>172260</v>
      </c>
      <c r="J22" s="35" t="s">
        <v>78</v>
      </c>
      <c r="K22" s="36">
        <v>2019</v>
      </c>
    </row>
    <row r="23" spans="1:11" ht="15" customHeight="1" x14ac:dyDescent="0.3">
      <c r="A23" s="37">
        <v>18</v>
      </c>
      <c r="B23" s="38" t="s">
        <v>100</v>
      </c>
      <c r="C23" s="38"/>
      <c r="D23" s="38" t="s">
        <v>112</v>
      </c>
      <c r="E23" s="38" t="s">
        <v>113</v>
      </c>
      <c r="F23" s="38" t="s">
        <v>86</v>
      </c>
      <c r="G23" s="39">
        <v>158</v>
      </c>
      <c r="H23" s="40">
        <v>0.72</v>
      </c>
      <c r="I23" s="37">
        <v>108000</v>
      </c>
      <c r="J23" s="41" t="s">
        <v>78</v>
      </c>
      <c r="K23" s="42">
        <v>2019</v>
      </c>
    </row>
    <row r="24" spans="1:11" ht="15" customHeight="1" x14ac:dyDescent="0.3">
      <c r="A24" s="31">
        <v>19</v>
      </c>
      <c r="B24" s="32" t="s">
        <v>100</v>
      </c>
      <c r="C24" s="32"/>
      <c r="D24" s="32" t="s">
        <v>114</v>
      </c>
      <c r="E24" s="32" t="s">
        <v>115</v>
      </c>
      <c r="F24" s="32" t="s">
        <v>86</v>
      </c>
      <c r="G24" s="33">
        <v>68</v>
      </c>
      <c r="H24" s="34">
        <v>1.3440000000000001</v>
      </c>
      <c r="I24" s="31">
        <v>118260</v>
      </c>
      <c r="J24" s="35" t="s">
        <v>78</v>
      </c>
      <c r="K24" s="36">
        <v>2019</v>
      </c>
    </row>
    <row r="25" spans="1:11" ht="15" customHeight="1" x14ac:dyDescent="0.3">
      <c r="A25" s="37">
        <v>20</v>
      </c>
      <c r="B25" s="38" t="s">
        <v>100</v>
      </c>
      <c r="C25" s="38"/>
      <c r="D25" s="38" t="s">
        <v>116</v>
      </c>
      <c r="E25" s="38" t="s">
        <v>117</v>
      </c>
      <c r="F25" s="38" t="s">
        <v>118</v>
      </c>
      <c r="G25" s="39">
        <v>680</v>
      </c>
      <c r="H25" s="40">
        <v>1.1890000000000001</v>
      </c>
      <c r="I25" s="37">
        <v>118260</v>
      </c>
      <c r="J25" s="41" t="s">
        <v>78</v>
      </c>
      <c r="K25" s="42">
        <v>2019</v>
      </c>
    </row>
    <row r="26" spans="1:11" ht="15" customHeight="1" x14ac:dyDescent="0.3">
      <c r="A26" s="31">
        <v>21</v>
      </c>
      <c r="B26" s="32" t="s">
        <v>100</v>
      </c>
      <c r="C26" s="32"/>
      <c r="D26" s="32" t="s">
        <v>119</v>
      </c>
      <c r="E26" s="32" t="s">
        <v>120</v>
      </c>
      <c r="F26" s="32" t="s">
        <v>94</v>
      </c>
      <c r="G26" s="33">
        <v>761.5</v>
      </c>
      <c r="H26" s="34">
        <v>3.3010000000000002</v>
      </c>
      <c r="I26" s="31">
        <v>172260</v>
      </c>
      <c r="J26" s="35" t="s">
        <v>78</v>
      </c>
      <c r="K26" s="36">
        <v>2019</v>
      </c>
    </row>
    <row r="27" spans="1:11" ht="15" customHeight="1" x14ac:dyDescent="0.3">
      <c r="A27" s="37">
        <v>22</v>
      </c>
      <c r="B27" s="38" t="s">
        <v>100</v>
      </c>
      <c r="C27" s="38"/>
      <c r="D27" s="38" t="s">
        <v>121</v>
      </c>
      <c r="E27" s="38" t="s">
        <v>76</v>
      </c>
      <c r="F27" s="38" t="s">
        <v>86</v>
      </c>
      <c r="G27" s="39">
        <v>860.2</v>
      </c>
      <c r="H27" s="40">
        <v>1.4950000000000001</v>
      </c>
      <c r="I27" s="37">
        <v>118260</v>
      </c>
      <c r="J27" s="41" t="s">
        <v>78</v>
      </c>
      <c r="K27" s="42">
        <v>2019</v>
      </c>
    </row>
    <row r="28" spans="1:11" ht="15" customHeight="1" x14ac:dyDescent="0.3">
      <c r="A28" s="31">
        <v>23</v>
      </c>
      <c r="B28" s="32" t="s">
        <v>100</v>
      </c>
      <c r="C28" s="32"/>
      <c r="D28" s="32" t="s">
        <v>122</v>
      </c>
      <c r="E28" s="32" t="s">
        <v>37</v>
      </c>
      <c r="F28" s="32" t="s">
        <v>86</v>
      </c>
      <c r="G28" s="33">
        <v>280</v>
      </c>
      <c r="H28" s="34">
        <v>0.92</v>
      </c>
      <c r="I28" s="31">
        <v>118260</v>
      </c>
      <c r="J28" s="35" t="s">
        <v>78</v>
      </c>
      <c r="K28" s="36">
        <v>2019</v>
      </c>
    </row>
    <row r="29" spans="1:11" ht="15" customHeight="1" x14ac:dyDescent="0.3">
      <c r="A29" s="37">
        <v>24</v>
      </c>
      <c r="B29" s="38" t="s">
        <v>123</v>
      </c>
      <c r="C29" s="38"/>
      <c r="D29" s="38" t="s">
        <v>124</v>
      </c>
      <c r="E29" s="38" t="s">
        <v>125</v>
      </c>
      <c r="F29" s="38" t="s">
        <v>118</v>
      </c>
      <c r="G29" s="39">
        <v>1148</v>
      </c>
      <c r="H29" s="40">
        <v>4.9720000000000004</v>
      </c>
      <c r="I29" s="37">
        <v>228260</v>
      </c>
      <c r="J29" s="41" t="s">
        <v>126</v>
      </c>
      <c r="K29" s="42">
        <v>2019</v>
      </c>
    </row>
    <row r="30" spans="1:11" ht="15" customHeight="1" x14ac:dyDescent="0.3">
      <c r="A30" s="31">
        <v>25</v>
      </c>
      <c r="B30" s="32" t="s">
        <v>123</v>
      </c>
      <c r="C30" s="32"/>
      <c r="D30" s="32" t="s">
        <v>127</v>
      </c>
      <c r="E30" s="32" t="s">
        <v>128</v>
      </c>
      <c r="F30" s="32" t="s">
        <v>77</v>
      </c>
      <c r="G30" s="33">
        <v>673</v>
      </c>
      <c r="H30" s="34">
        <v>0.94299999999999995</v>
      </c>
      <c r="I30" s="31">
        <v>118260</v>
      </c>
      <c r="J30" s="35" t="s">
        <v>126</v>
      </c>
      <c r="K30" s="36">
        <v>2019</v>
      </c>
    </row>
    <row r="31" spans="1:11" ht="15" customHeight="1" x14ac:dyDescent="0.3">
      <c r="A31" s="37">
        <v>26</v>
      </c>
      <c r="B31" s="38" t="s">
        <v>123</v>
      </c>
      <c r="C31" s="38"/>
      <c r="D31" s="38" t="s">
        <v>127</v>
      </c>
      <c r="E31" s="38" t="s">
        <v>129</v>
      </c>
      <c r="F31" s="38" t="s">
        <v>86</v>
      </c>
      <c r="G31" s="39">
        <v>964</v>
      </c>
      <c r="H31" s="40">
        <v>8.1539999999999999</v>
      </c>
      <c r="I31" s="37">
        <v>294000</v>
      </c>
      <c r="J31" s="41" t="s">
        <v>126</v>
      </c>
      <c r="K31" s="42">
        <v>2019</v>
      </c>
    </row>
    <row r="32" spans="1:11" ht="15" customHeight="1" x14ac:dyDescent="0.3">
      <c r="A32" s="31">
        <v>27</v>
      </c>
      <c r="B32" s="32" t="s">
        <v>123</v>
      </c>
      <c r="C32" s="32"/>
      <c r="D32" s="32" t="s">
        <v>130</v>
      </c>
      <c r="E32" s="32" t="s">
        <v>131</v>
      </c>
      <c r="F32" s="32" t="s">
        <v>132</v>
      </c>
      <c r="G32" s="33">
        <v>361.3</v>
      </c>
      <c r="H32" s="34">
        <v>0.64200000000000002</v>
      </c>
      <c r="I32" s="31">
        <v>108000</v>
      </c>
      <c r="J32" s="35" t="s">
        <v>126</v>
      </c>
      <c r="K32" s="36">
        <v>2019</v>
      </c>
    </row>
    <row r="33" spans="1:11" ht="15" customHeight="1" x14ac:dyDescent="0.3">
      <c r="A33" s="37">
        <v>28</v>
      </c>
      <c r="B33" s="38" t="s">
        <v>123</v>
      </c>
      <c r="C33" s="38"/>
      <c r="D33" s="38" t="s">
        <v>36</v>
      </c>
      <c r="E33" s="38" t="s">
        <v>133</v>
      </c>
      <c r="F33" s="38" t="s">
        <v>86</v>
      </c>
      <c r="G33" s="39">
        <v>1720</v>
      </c>
      <c r="H33" s="40">
        <v>4.5869999999999997</v>
      </c>
      <c r="I33" s="37">
        <v>228260</v>
      </c>
      <c r="J33" s="41" t="s">
        <v>126</v>
      </c>
      <c r="K33" s="42">
        <v>2019</v>
      </c>
    </row>
    <row r="34" spans="1:11" ht="15" customHeight="1" x14ac:dyDescent="0.3">
      <c r="A34" s="31">
        <v>29</v>
      </c>
      <c r="B34" s="32" t="s">
        <v>134</v>
      </c>
      <c r="C34" s="32"/>
      <c r="D34" s="32" t="s">
        <v>135</v>
      </c>
      <c r="E34" s="32" t="s">
        <v>136</v>
      </c>
      <c r="F34" s="32" t="s">
        <v>86</v>
      </c>
      <c r="G34" s="33">
        <v>462</v>
      </c>
      <c r="H34" s="34">
        <v>0.29499999999999998</v>
      </c>
      <c r="I34" s="31">
        <v>108000</v>
      </c>
      <c r="J34" s="35" t="s">
        <v>126</v>
      </c>
      <c r="K34" s="36">
        <v>2019</v>
      </c>
    </row>
    <row r="35" spans="1:11" ht="15" customHeight="1" x14ac:dyDescent="0.3">
      <c r="A35" s="37">
        <v>30</v>
      </c>
      <c r="B35" s="38" t="s">
        <v>134</v>
      </c>
      <c r="C35" s="38"/>
      <c r="D35" s="38" t="s">
        <v>137</v>
      </c>
      <c r="E35" s="38" t="s">
        <v>138</v>
      </c>
      <c r="F35" s="38" t="s">
        <v>105</v>
      </c>
      <c r="G35" s="39">
        <v>2093</v>
      </c>
      <c r="H35" s="40">
        <v>11.439</v>
      </c>
      <c r="I35" s="37">
        <v>358260</v>
      </c>
      <c r="J35" s="41" t="s">
        <v>126</v>
      </c>
      <c r="K35" s="42">
        <v>2019</v>
      </c>
    </row>
    <row r="36" spans="1:11" ht="15" customHeight="1" x14ac:dyDescent="0.3">
      <c r="A36" s="31">
        <v>31</v>
      </c>
      <c r="B36" s="32" t="s">
        <v>134</v>
      </c>
      <c r="C36" s="32"/>
      <c r="D36" s="32" t="s">
        <v>139</v>
      </c>
      <c r="E36" s="32" t="s">
        <v>37</v>
      </c>
      <c r="F36" s="32" t="s">
        <v>84</v>
      </c>
      <c r="G36" s="33">
        <v>4139</v>
      </c>
      <c r="H36" s="34">
        <v>4.6239999999999997</v>
      </c>
      <c r="I36" s="31">
        <v>228260</v>
      </c>
      <c r="J36" s="35" t="s">
        <v>126</v>
      </c>
      <c r="K36" s="36">
        <v>2019</v>
      </c>
    </row>
    <row r="37" spans="1:11" ht="15" customHeight="1" x14ac:dyDescent="0.3">
      <c r="A37" s="37">
        <v>32</v>
      </c>
      <c r="B37" s="38" t="s">
        <v>134</v>
      </c>
      <c r="C37" s="38"/>
      <c r="D37" s="38" t="s">
        <v>85</v>
      </c>
      <c r="E37" s="38" t="s">
        <v>35</v>
      </c>
      <c r="F37" s="38" t="s">
        <v>77</v>
      </c>
      <c r="G37" s="39">
        <v>1282</v>
      </c>
      <c r="H37" s="40">
        <v>1.68</v>
      </c>
      <c r="I37" s="37">
        <v>144260</v>
      </c>
      <c r="J37" s="41" t="s">
        <v>126</v>
      </c>
      <c r="K37" s="42">
        <v>2019</v>
      </c>
    </row>
    <row r="38" spans="1:11" ht="15" customHeight="1" x14ac:dyDescent="0.3">
      <c r="A38" s="31">
        <v>33</v>
      </c>
      <c r="B38" s="32" t="s">
        <v>134</v>
      </c>
      <c r="C38" s="32"/>
      <c r="D38" s="32" t="s">
        <v>85</v>
      </c>
      <c r="E38" s="32" t="s">
        <v>140</v>
      </c>
      <c r="F38" s="32" t="s">
        <v>118</v>
      </c>
      <c r="G38" s="33">
        <v>3396</v>
      </c>
      <c r="H38" s="34">
        <v>5.5229999999999997</v>
      </c>
      <c r="I38" s="31">
        <v>256260</v>
      </c>
      <c r="J38" s="35" t="s">
        <v>126</v>
      </c>
      <c r="K38" s="36">
        <v>2019</v>
      </c>
    </row>
    <row r="39" spans="1:11" ht="15" customHeight="1" x14ac:dyDescent="0.3">
      <c r="A39" s="37">
        <v>34</v>
      </c>
      <c r="B39" s="38" t="s">
        <v>134</v>
      </c>
      <c r="C39" s="38"/>
      <c r="D39" s="38" t="s">
        <v>85</v>
      </c>
      <c r="E39" s="38" t="s">
        <v>35</v>
      </c>
      <c r="F39" s="38" t="s">
        <v>86</v>
      </c>
      <c r="G39" s="39">
        <v>425.5</v>
      </c>
      <c r="H39" s="40">
        <v>0.81599999999999995</v>
      </c>
      <c r="I39" s="37">
        <v>118260</v>
      </c>
      <c r="J39" s="41" t="s">
        <v>126</v>
      </c>
      <c r="K39" s="42" t="s">
        <v>5501</v>
      </c>
    </row>
    <row r="40" spans="1:11" ht="15" customHeight="1" x14ac:dyDescent="0.3">
      <c r="A40" s="31">
        <v>35</v>
      </c>
      <c r="B40" s="32" t="s">
        <v>134</v>
      </c>
      <c r="C40" s="32"/>
      <c r="D40" s="32" t="s">
        <v>141</v>
      </c>
      <c r="E40" s="32" t="s">
        <v>136</v>
      </c>
      <c r="F40" s="32" t="s">
        <v>86</v>
      </c>
      <c r="G40" s="33">
        <v>135</v>
      </c>
      <c r="H40" s="34">
        <v>0.51</v>
      </c>
      <c r="I40" s="31">
        <v>108000</v>
      </c>
      <c r="J40" s="35" t="s">
        <v>126</v>
      </c>
      <c r="K40" s="36">
        <v>2019</v>
      </c>
    </row>
    <row r="41" spans="1:11" ht="15" customHeight="1" x14ac:dyDescent="0.3">
      <c r="A41" s="37">
        <v>36</v>
      </c>
      <c r="B41" s="38" t="s">
        <v>134</v>
      </c>
      <c r="C41" s="38"/>
      <c r="D41" s="38" t="s">
        <v>142</v>
      </c>
      <c r="E41" s="38" t="s">
        <v>143</v>
      </c>
      <c r="F41" s="38" t="s">
        <v>118</v>
      </c>
      <c r="G41" s="39">
        <v>3157.942</v>
      </c>
      <c r="H41" s="40">
        <v>8.6839999999999993</v>
      </c>
      <c r="I41" s="37">
        <v>331260</v>
      </c>
      <c r="J41" s="41" t="s">
        <v>126</v>
      </c>
      <c r="K41" s="42">
        <v>2019</v>
      </c>
    </row>
    <row r="42" spans="1:11" ht="15" customHeight="1" x14ac:dyDescent="0.3">
      <c r="A42" s="31">
        <v>37</v>
      </c>
      <c r="B42" s="32" t="s">
        <v>134</v>
      </c>
      <c r="C42" s="32"/>
      <c r="D42" s="32" t="s">
        <v>144</v>
      </c>
      <c r="E42" s="32" t="s">
        <v>145</v>
      </c>
      <c r="F42" s="32" t="s">
        <v>77</v>
      </c>
      <c r="G42" s="33">
        <v>484</v>
      </c>
      <c r="H42" s="34">
        <v>1.83</v>
      </c>
      <c r="I42" s="31">
        <v>144260</v>
      </c>
      <c r="J42" s="35" t="s">
        <v>126</v>
      </c>
      <c r="K42" s="36">
        <v>2019</v>
      </c>
    </row>
    <row r="43" spans="1:11" ht="15" customHeight="1" x14ac:dyDescent="0.3">
      <c r="A43" s="37">
        <v>38</v>
      </c>
      <c r="B43" s="38" t="s">
        <v>134</v>
      </c>
      <c r="C43" s="38"/>
      <c r="D43" s="38" t="s">
        <v>146</v>
      </c>
      <c r="E43" s="38" t="s">
        <v>88</v>
      </c>
      <c r="F43" s="38" t="s">
        <v>77</v>
      </c>
      <c r="G43" s="39">
        <v>340</v>
      </c>
      <c r="H43" s="40">
        <v>2.1</v>
      </c>
      <c r="I43" s="37">
        <v>134000</v>
      </c>
      <c r="J43" s="41" t="s">
        <v>126</v>
      </c>
      <c r="K43" s="42">
        <v>2019</v>
      </c>
    </row>
    <row r="44" spans="1:11" ht="15" customHeight="1" x14ac:dyDescent="0.3">
      <c r="A44" s="31">
        <v>39</v>
      </c>
      <c r="B44" s="32" t="s">
        <v>134</v>
      </c>
      <c r="C44" s="32"/>
      <c r="D44" s="32" t="s">
        <v>147</v>
      </c>
      <c r="E44" s="32" t="s">
        <v>148</v>
      </c>
      <c r="F44" s="32" t="s">
        <v>86</v>
      </c>
      <c r="G44" s="33">
        <v>514.83299999999997</v>
      </c>
      <c r="H44" s="34">
        <v>1.6140000000000001</v>
      </c>
      <c r="I44" s="31">
        <v>144260</v>
      </c>
      <c r="J44" s="35" t="s">
        <v>126</v>
      </c>
      <c r="K44" s="36">
        <v>2019</v>
      </c>
    </row>
    <row r="45" spans="1:11" ht="15" customHeight="1" x14ac:dyDescent="0.3">
      <c r="A45" s="37">
        <v>40</v>
      </c>
      <c r="B45" s="38" t="s">
        <v>149</v>
      </c>
      <c r="C45" s="38"/>
      <c r="D45" s="38" t="s">
        <v>150</v>
      </c>
      <c r="E45" s="38" t="s">
        <v>151</v>
      </c>
      <c r="F45" s="38" t="s">
        <v>94</v>
      </c>
      <c r="G45" s="39">
        <v>2847</v>
      </c>
      <c r="H45" s="40">
        <v>10.319000000000001</v>
      </c>
      <c r="I45" s="37">
        <v>358260</v>
      </c>
      <c r="J45" s="41" t="s">
        <v>126</v>
      </c>
      <c r="K45" s="42">
        <v>2019</v>
      </c>
    </row>
    <row r="46" spans="1:11" ht="15" customHeight="1" x14ac:dyDescent="0.3">
      <c r="A46" s="31">
        <v>41</v>
      </c>
      <c r="B46" s="32" t="s">
        <v>149</v>
      </c>
      <c r="C46" s="32"/>
      <c r="D46" s="32" t="s">
        <v>152</v>
      </c>
      <c r="E46" s="32" t="s">
        <v>131</v>
      </c>
      <c r="F46" s="32" t="s">
        <v>153</v>
      </c>
      <c r="G46" s="33">
        <v>1459</v>
      </c>
      <c r="H46" s="34">
        <v>3.17</v>
      </c>
      <c r="I46" s="31">
        <v>162000</v>
      </c>
      <c r="J46" s="35" t="s">
        <v>126</v>
      </c>
      <c r="K46" s="36">
        <v>2019</v>
      </c>
    </row>
    <row r="47" spans="1:11" ht="15" customHeight="1" x14ac:dyDescent="0.3">
      <c r="A47" s="37">
        <v>42</v>
      </c>
      <c r="B47" s="38" t="s">
        <v>149</v>
      </c>
      <c r="C47" s="38"/>
      <c r="D47" s="38" t="s">
        <v>154</v>
      </c>
      <c r="E47" s="38" t="s">
        <v>155</v>
      </c>
      <c r="F47" s="38" t="s">
        <v>86</v>
      </c>
      <c r="G47" s="39">
        <v>892</v>
      </c>
      <c r="H47" s="40">
        <v>1.3819999999999999</v>
      </c>
      <c r="I47" s="37">
        <v>118260</v>
      </c>
      <c r="J47" s="41" t="s">
        <v>126</v>
      </c>
      <c r="K47" s="42">
        <v>2019</v>
      </c>
    </row>
    <row r="48" spans="1:11" ht="15" customHeight="1" x14ac:dyDescent="0.3">
      <c r="A48" s="31">
        <v>43</v>
      </c>
      <c r="B48" s="32" t="s">
        <v>149</v>
      </c>
      <c r="C48" s="32"/>
      <c r="D48" s="32" t="s">
        <v>156</v>
      </c>
      <c r="E48" s="32" t="s">
        <v>157</v>
      </c>
      <c r="F48" s="32" t="s">
        <v>94</v>
      </c>
      <c r="G48" s="33">
        <v>655.8</v>
      </c>
      <c r="H48" s="34">
        <v>4.4400000000000004</v>
      </c>
      <c r="I48" s="31">
        <v>228260</v>
      </c>
      <c r="J48" s="35" t="s">
        <v>126</v>
      </c>
      <c r="K48" s="36">
        <v>2019</v>
      </c>
    </row>
    <row r="49" spans="1:11" ht="15" customHeight="1" x14ac:dyDescent="0.3">
      <c r="A49" s="37">
        <v>44</v>
      </c>
      <c r="B49" s="38" t="s">
        <v>149</v>
      </c>
      <c r="C49" s="38"/>
      <c r="D49" s="38" t="s">
        <v>158</v>
      </c>
      <c r="E49" s="38" t="s">
        <v>159</v>
      </c>
      <c r="F49" s="38" t="s">
        <v>77</v>
      </c>
      <c r="G49" s="39">
        <v>179</v>
      </c>
      <c r="H49" s="40">
        <v>1.5680000000000001</v>
      </c>
      <c r="I49" s="37">
        <v>144260</v>
      </c>
      <c r="J49" s="41" t="s">
        <v>126</v>
      </c>
      <c r="K49" s="42">
        <v>2019</v>
      </c>
    </row>
    <row r="50" spans="1:11" ht="15" customHeight="1" x14ac:dyDescent="0.3">
      <c r="A50" s="31">
        <v>45</v>
      </c>
      <c r="B50" s="32" t="s">
        <v>149</v>
      </c>
      <c r="C50" s="32"/>
      <c r="D50" s="32" t="s">
        <v>158</v>
      </c>
      <c r="E50" s="32" t="s">
        <v>151</v>
      </c>
      <c r="F50" s="32" t="s">
        <v>86</v>
      </c>
      <c r="G50" s="33">
        <v>185</v>
      </c>
      <c r="H50" s="34">
        <v>0.44800000000000001</v>
      </c>
      <c r="I50" s="31">
        <v>118260</v>
      </c>
      <c r="J50" s="35" t="s">
        <v>126</v>
      </c>
      <c r="K50" s="36">
        <v>2019</v>
      </c>
    </row>
    <row r="51" spans="1:11" ht="15" customHeight="1" x14ac:dyDescent="0.3">
      <c r="A51" s="37">
        <v>46</v>
      </c>
      <c r="B51" s="38" t="s">
        <v>149</v>
      </c>
      <c r="C51" s="38"/>
      <c r="D51" s="38" t="s">
        <v>160</v>
      </c>
      <c r="E51" s="38" t="s">
        <v>151</v>
      </c>
      <c r="F51" s="38" t="s">
        <v>86</v>
      </c>
      <c r="G51" s="39">
        <v>36</v>
      </c>
      <c r="H51" s="40">
        <v>0.23100000000000001</v>
      </c>
      <c r="I51" s="37">
        <v>118260</v>
      </c>
      <c r="J51" s="41" t="s">
        <v>126</v>
      </c>
      <c r="K51" s="42">
        <v>2019</v>
      </c>
    </row>
    <row r="52" spans="1:11" ht="15" customHeight="1" x14ac:dyDescent="0.3">
      <c r="A52" s="31">
        <v>47</v>
      </c>
      <c r="B52" s="32" t="s">
        <v>149</v>
      </c>
      <c r="C52" s="32"/>
      <c r="D52" s="32" t="s">
        <v>161</v>
      </c>
      <c r="E52" s="32" t="s">
        <v>162</v>
      </c>
      <c r="F52" s="32" t="s">
        <v>86</v>
      </c>
      <c r="G52" s="33">
        <v>391</v>
      </c>
      <c r="H52" s="34">
        <v>0.72599999999999998</v>
      </c>
      <c r="I52" s="31">
        <v>108000</v>
      </c>
      <c r="J52" s="35" t="s">
        <v>126</v>
      </c>
      <c r="K52" s="36">
        <v>2019</v>
      </c>
    </row>
    <row r="53" spans="1:11" ht="15" customHeight="1" x14ac:dyDescent="0.3">
      <c r="A53" s="37">
        <v>48</v>
      </c>
      <c r="B53" s="38" t="s">
        <v>149</v>
      </c>
      <c r="C53" s="38"/>
      <c r="D53" s="38" t="s">
        <v>163</v>
      </c>
      <c r="E53" s="38" t="s">
        <v>164</v>
      </c>
      <c r="F53" s="38" t="s">
        <v>118</v>
      </c>
      <c r="G53" s="39">
        <v>3399</v>
      </c>
      <c r="H53" s="40">
        <v>10.797000000000001</v>
      </c>
      <c r="I53" s="37">
        <v>348000</v>
      </c>
      <c r="J53" s="41" t="s">
        <v>126</v>
      </c>
      <c r="K53" s="42">
        <v>2019</v>
      </c>
    </row>
    <row r="54" spans="1:11" ht="15" customHeight="1" x14ac:dyDescent="0.3">
      <c r="A54" s="31">
        <v>49</v>
      </c>
      <c r="B54" s="32" t="s">
        <v>149</v>
      </c>
      <c r="C54" s="32"/>
      <c r="D54" s="32" t="s">
        <v>165</v>
      </c>
      <c r="E54" s="32" t="s">
        <v>131</v>
      </c>
      <c r="F54" s="32" t="s">
        <v>81</v>
      </c>
      <c r="G54" s="33">
        <v>6182</v>
      </c>
      <c r="H54" s="34">
        <v>5.51</v>
      </c>
      <c r="I54" s="31">
        <v>246000</v>
      </c>
      <c r="J54" s="35" t="s">
        <v>126</v>
      </c>
      <c r="K54" s="36">
        <v>2019</v>
      </c>
    </row>
    <row r="55" spans="1:11" ht="15" customHeight="1" x14ac:dyDescent="0.3">
      <c r="A55" s="37">
        <v>50</v>
      </c>
      <c r="B55" s="38" t="s">
        <v>149</v>
      </c>
      <c r="C55" s="38"/>
      <c r="D55" s="38" t="s">
        <v>166</v>
      </c>
      <c r="E55" s="38" t="s">
        <v>131</v>
      </c>
      <c r="F55" s="38" t="s">
        <v>77</v>
      </c>
      <c r="G55" s="39">
        <v>1160</v>
      </c>
      <c r="H55" s="40">
        <v>1.5760000000000001</v>
      </c>
      <c r="I55" s="37">
        <v>134000</v>
      </c>
      <c r="J55" s="41" t="s">
        <v>126</v>
      </c>
      <c r="K55" s="42">
        <v>2019</v>
      </c>
    </row>
    <row r="56" spans="1:11" ht="15" customHeight="1" x14ac:dyDescent="0.3">
      <c r="A56" s="31">
        <v>51</v>
      </c>
      <c r="B56" s="32" t="s">
        <v>149</v>
      </c>
      <c r="C56" s="32"/>
      <c r="D56" s="32" t="s">
        <v>167</v>
      </c>
      <c r="E56" s="32" t="s">
        <v>168</v>
      </c>
      <c r="F56" s="32" t="s">
        <v>86</v>
      </c>
      <c r="G56" s="33">
        <v>924</v>
      </c>
      <c r="H56" s="34">
        <v>4.1429999999999998</v>
      </c>
      <c r="I56" s="31">
        <v>190000</v>
      </c>
      <c r="J56" s="35" t="s">
        <v>126</v>
      </c>
      <c r="K56" s="36">
        <v>2019</v>
      </c>
    </row>
    <row r="57" spans="1:11" ht="15" customHeight="1" x14ac:dyDescent="0.3">
      <c r="A57" s="37">
        <v>52</v>
      </c>
      <c r="B57" s="38" t="s">
        <v>149</v>
      </c>
      <c r="C57" s="38"/>
      <c r="D57" s="38" t="s">
        <v>169</v>
      </c>
      <c r="E57" s="38" t="s">
        <v>170</v>
      </c>
      <c r="F57" s="38" t="s">
        <v>94</v>
      </c>
      <c r="G57" s="39">
        <v>560</v>
      </c>
      <c r="H57" s="40">
        <v>3.1739999999999999</v>
      </c>
      <c r="I57" s="37">
        <v>172260</v>
      </c>
      <c r="J57" s="41" t="s">
        <v>126</v>
      </c>
      <c r="K57" s="42">
        <v>2019</v>
      </c>
    </row>
    <row r="58" spans="1:11" ht="15" customHeight="1" x14ac:dyDescent="0.3">
      <c r="A58" s="31">
        <v>53</v>
      </c>
      <c r="B58" s="32" t="s">
        <v>149</v>
      </c>
      <c r="C58" s="32"/>
      <c r="D58" s="32" t="s">
        <v>171</v>
      </c>
      <c r="E58" s="32" t="s">
        <v>172</v>
      </c>
      <c r="F58" s="32" t="s">
        <v>86</v>
      </c>
      <c r="G58" s="33">
        <v>129</v>
      </c>
      <c r="H58" s="34">
        <v>0.52800000000000002</v>
      </c>
      <c r="I58" s="31">
        <v>108000</v>
      </c>
      <c r="J58" s="35" t="s">
        <v>126</v>
      </c>
      <c r="K58" s="36">
        <v>2019</v>
      </c>
    </row>
    <row r="59" spans="1:11" ht="15" customHeight="1" x14ac:dyDescent="0.3">
      <c r="A59" s="37">
        <v>54</v>
      </c>
      <c r="B59" s="38" t="s">
        <v>173</v>
      </c>
      <c r="C59" s="38"/>
      <c r="D59" s="38" t="s">
        <v>174</v>
      </c>
      <c r="E59" s="38" t="s">
        <v>175</v>
      </c>
      <c r="F59" s="38" t="s">
        <v>94</v>
      </c>
      <c r="G59" s="39">
        <v>2476</v>
      </c>
      <c r="H59" s="40">
        <v>4.6219999999999999</v>
      </c>
      <c r="I59" s="37">
        <v>228260</v>
      </c>
      <c r="J59" s="41" t="s">
        <v>126</v>
      </c>
      <c r="K59" s="42">
        <v>2019</v>
      </c>
    </row>
    <row r="60" spans="1:11" ht="15" customHeight="1" x14ac:dyDescent="0.3">
      <c r="A60" s="31">
        <v>55</v>
      </c>
      <c r="B60" s="32" t="s">
        <v>173</v>
      </c>
      <c r="C60" s="32"/>
      <c r="D60" s="32" t="s">
        <v>176</v>
      </c>
      <c r="E60" s="32" t="s">
        <v>177</v>
      </c>
      <c r="F60" s="32" t="s">
        <v>86</v>
      </c>
      <c r="G60" s="33">
        <v>61</v>
      </c>
      <c r="H60" s="34">
        <v>0.57599999999999996</v>
      </c>
      <c r="I60" s="31">
        <v>118260</v>
      </c>
      <c r="J60" s="35" t="s">
        <v>126</v>
      </c>
      <c r="K60" s="36">
        <v>2019</v>
      </c>
    </row>
    <row r="61" spans="1:11" ht="15" customHeight="1" x14ac:dyDescent="0.3">
      <c r="A61" s="37">
        <v>56</v>
      </c>
      <c r="B61" s="38" t="s">
        <v>173</v>
      </c>
      <c r="C61" s="38"/>
      <c r="D61" s="38" t="s">
        <v>178</v>
      </c>
      <c r="E61" s="38" t="s">
        <v>107</v>
      </c>
      <c r="F61" s="38" t="s">
        <v>86</v>
      </c>
      <c r="G61" s="39">
        <v>210</v>
      </c>
      <c r="H61" s="40">
        <v>0.3</v>
      </c>
      <c r="I61" s="37">
        <v>118260</v>
      </c>
      <c r="J61" s="41" t="s">
        <v>126</v>
      </c>
      <c r="K61" s="42">
        <v>2019</v>
      </c>
    </row>
    <row r="62" spans="1:11" ht="15" customHeight="1" x14ac:dyDescent="0.3">
      <c r="A62" s="31">
        <v>57</v>
      </c>
      <c r="B62" s="32" t="s">
        <v>173</v>
      </c>
      <c r="C62" s="32"/>
      <c r="D62" s="32" t="s">
        <v>179</v>
      </c>
      <c r="E62" s="32" t="s">
        <v>175</v>
      </c>
      <c r="F62" s="32" t="s">
        <v>86</v>
      </c>
      <c r="G62" s="33">
        <v>190</v>
      </c>
      <c r="H62" s="34">
        <v>0.84499999999999997</v>
      </c>
      <c r="I62" s="31">
        <v>118260</v>
      </c>
      <c r="J62" s="35" t="s">
        <v>126</v>
      </c>
      <c r="K62" s="36">
        <v>2019</v>
      </c>
    </row>
    <row r="63" spans="1:11" ht="15" customHeight="1" x14ac:dyDescent="0.3">
      <c r="A63" s="37">
        <v>58</v>
      </c>
      <c r="B63" s="38" t="s">
        <v>173</v>
      </c>
      <c r="C63" s="38"/>
      <c r="D63" s="38" t="s">
        <v>180</v>
      </c>
      <c r="E63" s="38" t="s">
        <v>133</v>
      </c>
      <c r="F63" s="38" t="s">
        <v>86</v>
      </c>
      <c r="G63" s="39">
        <v>112</v>
      </c>
      <c r="H63" s="40">
        <v>0.30399999999999999</v>
      </c>
      <c r="I63" s="37">
        <v>118260</v>
      </c>
      <c r="J63" s="41" t="s">
        <v>126</v>
      </c>
      <c r="K63" s="42">
        <v>2019</v>
      </c>
    </row>
    <row r="64" spans="1:11" ht="15" customHeight="1" x14ac:dyDescent="0.3">
      <c r="A64" s="31">
        <v>59</v>
      </c>
      <c r="B64" s="32" t="s">
        <v>173</v>
      </c>
      <c r="C64" s="32"/>
      <c r="D64" s="32" t="s">
        <v>181</v>
      </c>
      <c r="E64" s="32" t="s">
        <v>182</v>
      </c>
      <c r="F64" s="32" t="s">
        <v>81</v>
      </c>
      <c r="G64" s="33">
        <v>2321.88</v>
      </c>
      <c r="H64" s="34">
        <v>5.03</v>
      </c>
      <c r="I64" s="31">
        <v>218000</v>
      </c>
      <c r="J64" s="35" t="s">
        <v>126</v>
      </c>
      <c r="K64" s="36">
        <v>2019</v>
      </c>
    </row>
    <row r="65" spans="1:11" ht="15" customHeight="1" x14ac:dyDescent="0.3">
      <c r="A65" s="37">
        <v>60</v>
      </c>
      <c r="B65" s="38" t="s">
        <v>173</v>
      </c>
      <c r="C65" s="38"/>
      <c r="D65" s="38" t="s">
        <v>183</v>
      </c>
      <c r="E65" s="38" t="s">
        <v>99</v>
      </c>
      <c r="F65" s="38" t="s">
        <v>77</v>
      </c>
      <c r="G65" s="39">
        <v>1011</v>
      </c>
      <c r="H65" s="40">
        <v>2.2450000000000001</v>
      </c>
      <c r="I65" s="37">
        <v>144260</v>
      </c>
      <c r="J65" s="41" t="s">
        <v>126</v>
      </c>
      <c r="K65" s="42">
        <v>2019</v>
      </c>
    </row>
    <row r="66" spans="1:11" ht="15" customHeight="1" x14ac:dyDescent="0.3">
      <c r="A66" s="31">
        <v>61</v>
      </c>
      <c r="B66" s="32" t="s">
        <v>173</v>
      </c>
      <c r="C66" s="32"/>
      <c r="D66" s="32" t="s">
        <v>184</v>
      </c>
      <c r="E66" s="32" t="s">
        <v>182</v>
      </c>
      <c r="F66" s="32" t="s">
        <v>94</v>
      </c>
      <c r="G66" s="33">
        <v>1718</v>
      </c>
      <c r="H66" s="34">
        <v>3.7440000000000002</v>
      </c>
      <c r="I66" s="31">
        <v>190000</v>
      </c>
      <c r="J66" s="35" t="s">
        <v>126</v>
      </c>
      <c r="K66" s="36">
        <v>2019</v>
      </c>
    </row>
    <row r="67" spans="1:11" ht="15" customHeight="1" x14ac:dyDescent="0.3">
      <c r="A67" s="37">
        <v>62</v>
      </c>
      <c r="B67" s="38" t="s">
        <v>173</v>
      </c>
      <c r="C67" s="38"/>
      <c r="D67" s="38" t="s">
        <v>185</v>
      </c>
      <c r="E67" s="38" t="s">
        <v>186</v>
      </c>
      <c r="F67" s="38" t="s">
        <v>81</v>
      </c>
      <c r="G67" s="39">
        <v>1782</v>
      </c>
      <c r="H67" s="40">
        <v>7.8710000000000004</v>
      </c>
      <c r="I67" s="37">
        <v>304260</v>
      </c>
      <c r="J67" s="41" t="s">
        <v>126</v>
      </c>
      <c r="K67" s="42">
        <v>2019</v>
      </c>
    </row>
    <row r="68" spans="1:11" ht="15" customHeight="1" x14ac:dyDescent="0.3">
      <c r="A68" s="31">
        <v>63</v>
      </c>
      <c r="B68" s="32" t="s">
        <v>173</v>
      </c>
      <c r="C68" s="32"/>
      <c r="D68" s="32" t="s">
        <v>187</v>
      </c>
      <c r="E68" s="32" t="s">
        <v>188</v>
      </c>
      <c r="F68" s="32" t="s">
        <v>86</v>
      </c>
      <c r="G68" s="33">
        <v>180</v>
      </c>
      <c r="H68" s="34">
        <v>1.3220000000000001</v>
      </c>
      <c r="I68" s="31">
        <v>118260</v>
      </c>
      <c r="J68" s="35" t="s">
        <v>126</v>
      </c>
      <c r="K68" s="36">
        <v>2019</v>
      </c>
    </row>
    <row r="69" spans="1:11" ht="15" customHeight="1" x14ac:dyDescent="0.3">
      <c r="A69" s="37">
        <v>64</v>
      </c>
      <c r="B69" s="38" t="s">
        <v>173</v>
      </c>
      <c r="C69" s="38"/>
      <c r="D69" s="38" t="s">
        <v>158</v>
      </c>
      <c r="E69" s="38" t="s">
        <v>107</v>
      </c>
      <c r="F69" s="38" t="s">
        <v>86</v>
      </c>
      <c r="G69" s="39">
        <v>365</v>
      </c>
      <c r="H69" s="40">
        <v>1.2430000000000001</v>
      </c>
      <c r="I69" s="37">
        <v>118260</v>
      </c>
      <c r="J69" s="41" t="s">
        <v>126</v>
      </c>
      <c r="K69" s="42">
        <v>2019</v>
      </c>
    </row>
    <row r="70" spans="1:11" ht="15" customHeight="1" x14ac:dyDescent="0.3">
      <c r="A70" s="31">
        <v>65</v>
      </c>
      <c r="B70" s="32" t="s">
        <v>173</v>
      </c>
      <c r="C70" s="32"/>
      <c r="D70" s="32" t="s">
        <v>189</v>
      </c>
      <c r="E70" s="32" t="s">
        <v>190</v>
      </c>
      <c r="F70" s="32" t="s">
        <v>86</v>
      </c>
      <c r="G70" s="33">
        <v>860</v>
      </c>
      <c r="H70" s="34">
        <v>2.1469999999999998</v>
      </c>
      <c r="I70" s="31">
        <v>134000</v>
      </c>
      <c r="J70" s="35" t="s">
        <v>126</v>
      </c>
      <c r="K70" s="36">
        <v>2019</v>
      </c>
    </row>
    <row r="71" spans="1:11" ht="15" customHeight="1" x14ac:dyDescent="0.3">
      <c r="A71" s="37">
        <v>66</v>
      </c>
      <c r="B71" s="38" t="s">
        <v>173</v>
      </c>
      <c r="C71" s="38"/>
      <c r="D71" s="38" t="s">
        <v>191</v>
      </c>
      <c r="E71" s="38" t="s">
        <v>192</v>
      </c>
      <c r="F71" s="38" t="s">
        <v>86</v>
      </c>
      <c r="G71" s="39">
        <v>20</v>
      </c>
      <c r="H71" s="40">
        <v>0.25900000000000001</v>
      </c>
      <c r="I71" s="37">
        <v>108000</v>
      </c>
      <c r="J71" s="41" t="s">
        <v>126</v>
      </c>
      <c r="K71" s="42">
        <v>2019</v>
      </c>
    </row>
    <row r="72" spans="1:11" ht="15" customHeight="1" x14ac:dyDescent="0.3">
      <c r="A72" s="31">
        <v>67</v>
      </c>
      <c r="B72" s="32" t="s">
        <v>173</v>
      </c>
      <c r="C72" s="32"/>
      <c r="D72" s="32" t="s">
        <v>193</v>
      </c>
      <c r="E72" s="32" t="s">
        <v>194</v>
      </c>
      <c r="F72" s="32" t="s">
        <v>77</v>
      </c>
      <c r="G72" s="33">
        <v>760</v>
      </c>
      <c r="H72" s="34">
        <v>11.786</v>
      </c>
      <c r="I72" s="31">
        <v>358260</v>
      </c>
      <c r="J72" s="35" t="s">
        <v>126</v>
      </c>
      <c r="K72" s="36">
        <v>2019</v>
      </c>
    </row>
    <row r="73" spans="1:11" ht="15" customHeight="1" x14ac:dyDescent="0.3">
      <c r="A73" s="37">
        <v>68</v>
      </c>
      <c r="B73" s="38" t="s">
        <v>173</v>
      </c>
      <c r="C73" s="38"/>
      <c r="D73" s="38" t="s">
        <v>195</v>
      </c>
      <c r="E73" s="38" t="s">
        <v>196</v>
      </c>
      <c r="F73" s="38" t="s">
        <v>86</v>
      </c>
      <c r="G73" s="39">
        <v>600</v>
      </c>
      <c r="H73" s="40">
        <v>0.58299999999999996</v>
      </c>
      <c r="I73" s="37">
        <v>118260</v>
      </c>
      <c r="J73" s="41" t="s">
        <v>126</v>
      </c>
      <c r="K73" s="42">
        <v>2019</v>
      </c>
    </row>
    <row r="74" spans="1:11" ht="15" customHeight="1" x14ac:dyDescent="0.3">
      <c r="A74" s="31">
        <v>69</v>
      </c>
      <c r="B74" s="32" t="s">
        <v>173</v>
      </c>
      <c r="C74" s="32"/>
      <c r="D74" s="32" t="s">
        <v>197</v>
      </c>
      <c r="E74" s="32" t="s">
        <v>198</v>
      </c>
      <c r="F74" s="32" t="s">
        <v>77</v>
      </c>
      <c r="G74" s="33">
        <v>600</v>
      </c>
      <c r="H74" s="34">
        <v>2.2000000000000002</v>
      </c>
      <c r="I74" s="31">
        <v>134000</v>
      </c>
      <c r="J74" s="35" t="s">
        <v>126</v>
      </c>
      <c r="K74" s="36">
        <v>2019</v>
      </c>
    </row>
    <row r="75" spans="1:11" ht="15" customHeight="1" x14ac:dyDescent="0.3">
      <c r="A75" s="37">
        <v>70</v>
      </c>
      <c r="B75" s="38" t="s">
        <v>173</v>
      </c>
      <c r="C75" s="38"/>
      <c r="D75" s="38" t="s">
        <v>199</v>
      </c>
      <c r="E75" s="38" t="s">
        <v>80</v>
      </c>
      <c r="F75" s="38" t="s">
        <v>77</v>
      </c>
      <c r="G75" s="39">
        <v>342</v>
      </c>
      <c r="H75" s="40">
        <v>1.456</v>
      </c>
      <c r="I75" s="37">
        <v>108000</v>
      </c>
      <c r="J75" s="41" t="s">
        <v>126</v>
      </c>
      <c r="K75" s="42">
        <v>2019</v>
      </c>
    </row>
    <row r="76" spans="1:11" ht="15" customHeight="1" x14ac:dyDescent="0.3">
      <c r="A76" s="31">
        <v>71</v>
      </c>
      <c r="B76" s="32" t="s">
        <v>173</v>
      </c>
      <c r="C76" s="32"/>
      <c r="D76" s="32" t="s">
        <v>200</v>
      </c>
      <c r="E76" s="32" t="s">
        <v>201</v>
      </c>
      <c r="F76" s="32" t="s">
        <v>86</v>
      </c>
      <c r="G76" s="33">
        <v>150</v>
      </c>
      <c r="H76" s="34">
        <v>0.878</v>
      </c>
      <c r="I76" s="31">
        <v>118260</v>
      </c>
      <c r="J76" s="35" t="s">
        <v>126</v>
      </c>
      <c r="K76" s="36">
        <v>2019</v>
      </c>
    </row>
    <row r="77" spans="1:11" ht="15" customHeight="1" x14ac:dyDescent="0.3">
      <c r="A77" s="37">
        <v>72</v>
      </c>
      <c r="B77" s="38" t="s">
        <v>173</v>
      </c>
      <c r="C77" s="38"/>
      <c r="D77" s="38" t="s">
        <v>202</v>
      </c>
      <c r="E77" s="38" t="s">
        <v>203</v>
      </c>
      <c r="F77" s="38" t="s">
        <v>77</v>
      </c>
      <c r="G77" s="39">
        <v>380</v>
      </c>
      <c r="H77" s="40">
        <v>3.0819999999999999</v>
      </c>
      <c r="I77" s="37">
        <v>162000</v>
      </c>
      <c r="J77" s="41" t="s">
        <v>126</v>
      </c>
      <c r="K77" s="42">
        <v>2019</v>
      </c>
    </row>
    <row r="78" spans="1:11" ht="15" customHeight="1" x14ac:dyDescent="0.3">
      <c r="A78" s="31">
        <v>73</v>
      </c>
      <c r="B78" s="32" t="s">
        <v>204</v>
      </c>
      <c r="C78" s="32"/>
      <c r="D78" s="32" t="s">
        <v>205</v>
      </c>
      <c r="E78" s="32" t="s">
        <v>206</v>
      </c>
      <c r="F78" s="32" t="s">
        <v>94</v>
      </c>
      <c r="G78" s="33">
        <v>510</v>
      </c>
      <c r="H78" s="34">
        <v>1.93</v>
      </c>
      <c r="I78" s="31">
        <v>144260</v>
      </c>
      <c r="J78" s="35" t="s">
        <v>207</v>
      </c>
      <c r="K78" s="36">
        <v>2019</v>
      </c>
    </row>
    <row r="79" spans="1:11" ht="15" customHeight="1" x14ac:dyDescent="0.3">
      <c r="A79" s="37">
        <v>74</v>
      </c>
      <c r="B79" s="38" t="s">
        <v>204</v>
      </c>
      <c r="C79" s="38"/>
      <c r="D79" s="38" t="s">
        <v>208</v>
      </c>
      <c r="E79" s="38" t="s">
        <v>131</v>
      </c>
      <c r="F79" s="38" t="s">
        <v>86</v>
      </c>
      <c r="G79" s="39">
        <v>105</v>
      </c>
      <c r="H79" s="40">
        <v>0.193</v>
      </c>
      <c r="I79" s="37">
        <v>108000</v>
      </c>
      <c r="J79" s="41" t="s">
        <v>207</v>
      </c>
      <c r="K79" s="42">
        <v>2019</v>
      </c>
    </row>
    <row r="80" spans="1:11" ht="15" customHeight="1" x14ac:dyDescent="0.3">
      <c r="A80" s="31">
        <v>75</v>
      </c>
      <c r="B80" s="32" t="s">
        <v>204</v>
      </c>
      <c r="C80" s="32"/>
      <c r="D80" s="32" t="s">
        <v>209</v>
      </c>
      <c r="E80" s="32" t="s">
        <v>210</v>
      </c>
      <c r="F80" s="32" t="s">
        <v>94</v>
      </c>
      <c r="G80" s="33">
        <v>364</v>
      </c>
      <c r="H80" s="34">
        <v>2.8740000000000001</v>
      </c>
      <c r="I80" s="31">
        <v>172260</v>
      </c>
      <c r="J80" s="35" t="s">
        <v>207</v>
      </c>
      <c r="K80" s="36">
        <v>2019</v>
      </c>
    </row>
    <row r="81" spans="1:11" ht="15" customHeight="1" x14ac:dyDescent="0.3">
      <c r="A81" s="37">
        <v>76</v>
      </c>
      <c r="B81" s="38" t="s">
        <v>204</v>
      </c>
      <c r="C81" s="38"/>
      <c r="D81" s="38" t="s">
        <v>211</v>
      </c>
      <c r="E81" s="38" t="s">
        <v>35</v>
      </c>
      <c r="F81" s="38" t="s">
        <v>86</v>
      </c>
      <c r="G81" s="39">
        <v>410</v>
      </c>
      <c r="H81" s="40">
        <v>0.67800000000000005</v>
      </c>
      <c r="I81" s="37">
        <v>118260</v>
      </c>
      <c r="J81" s="41" t="s">
        <v>207</v>
      </c>
      <c r="K81" s="42">
        <v>2019</v>
      </c>
    </row>
    <row r="82" spans="1:11" ht="15" customHeight="1" x14ac:dyDescent="0.3">
      <c r="A82" s="31">
        <v>77</v>
      </c>
      <c r="B82" s="32" t="s">
        <v>204</v>
      </c>
      <c r="C82" s="32"/>
      <c r="D82" s="32" t="s">
        <v>212</v>
      </c>
      <c r="E82" s="32" t="s">
        <v>213</v>
      </c>
      <c r="F82" s="32" t="s">
        <v>77</v>
      </c>
      <c r="G82" s="33">
        <v>38</v>
      </c>
      <c r="H82" s="34">
        <v>0.14199999999999999</v>
      </c>
      <c r="I82" s="31">
        <v>108000</v>
      </c>
      <c r="J82" s="35" t="s">
        <v>207</v>
      </c>
      <c r="K82" s="36">
        <v>2019</v>
      </c>
    </row>
    <row r="83" spans="1:11" ht="15" customHeight="1" x14ac:dyDescent="0.3">
      <c r="A83" s="37">
        <v>78</v>
      </c>
      <c r="B83" s="38" t="s">
        <v>204</v>
      </c>
      <c r="C83" s="38"/>
      <c r="D83" s="38" t="s">
        <v>214</v>
      </c>
      <c r="E83" s="38" t="s">
        <v>215</v>
      </c>
      <c r="F83" s="38" t="s">
        <v>94</v>
      </c>
      <c r="G83" s="39">
        <v>2100</v>
      </c>
      <c r="H83" s="40">
        <v>3.948</v>
      </c>
      <c r="I83" s="37">
        <v>190000</v>
      </c>
      <c r="J83" s="41" t="s">
        <v>207</v>
      </c>
      <c r="K83" s="42">
        <v>2019</v>
      </c>
    </row>
    <row r="84" spans="1:11" ht="15" customHeight="1" x14ac:dyDescent="0.3">
      <c r="A84" s="31">
        <v>79</v>
      </c>
      <c r="B84" s="32" t="s">
        <v>204</v>
      </c>
      <c r="C84" s="32"/>
      <c r="D84" s="32" t="s">
        <v>216</v>
      </c>
      <c r="E84" s="32" t="s">
        <v>217</v>
      </c>
      <c r="F84" s="32" t="s">
        <v>86</v>
      </c>
      <c r="G84" s="33">
        <v>205</v>
      </c>
      <c r="H84" s="34">
        <v>0.432</v>
      </c>
      <c r="I84" s="31">
        <v>118260</v>
      </c>
      <c r="J84" s="35" t="s">
        <v>207</v>
      </c>
      <c r="K84" s="36">
        <v>2019</v>
      </c>
    </row>
    <row r="85" spans="1:11" ht="15" customHeight="1" x14ac:dyDescent="0.3">
      <c r="A85" s="37">
        <v>80</v>
      </c>
      <c r="B85" s="38" t="s">
        <v>204</v>
      </c>
      <c r="C85" s="38"/>
      <c r="D85" s="38" t="s">
        <v>218</v>
      </c>
      <c r="E85" s="38" t="s">
        <v>117</v>
      </c>
      <c r="F85" s="38" t="s">
        <v>153</v>
      </c>
      <c r="G85" s="39">
        <v>3790</v>
      </c>
      <c r="H85" s="40">
        <v>4.29</v>
      </c>
      <c r="I85" s="37">
        <v>200260</v>
      </c>
      <c r="J85" s="41" t="s">
        <v>207</v>
      </c>
      <c r="K85" s="42">
        <v>2019</v>
      </c>
    </row>
    <row r="86" spans="1:11" ht="15" customHeight="1" x14ac:dyDescent="0.3">
      <c r="A86" s="31">
        <v>81</v>
      </c>
      <c r="B86" s="32" t="s">
        <v>204</v>
      </c>
      <c r="C86" s="32"/>
      <c r="D86" s="32" t="s">
        <v>219</v>
      </c>
      <c r="E86" s="32" t="s">
        <v>220</v>
      </c>
      <c r="F86" s="32" t="s">
        <v>94</v>
      </c>
      <c r="G86" s="33">
        <v>720</v>
      </c>
      <c r="H86" s="34">
        <v>4.0979999999999999</v>
      </c>
      <c r="I86" s="31">
        <v>200260</v>
      </c>
      <c r="J86" s="35" t="s">
        <v>207</v>
      </c>
      <c r="K86" s="36">
        <v>2019</v>
      </c>
    </row>
    <row r="87" spans="1:11" ht="15" customHeight="1" x14ac:dyDescent="0.3">
      <c r="A87" s="37">
        <v>82</v>
      </c>
      <c r="B87" s="38" t="s">
        <v>204</v>
      </c>
      <c r="C87" s="38"/>
      <c r="D87" s="38" t="s">
        <v>221</v>
      </c>
      <c r="E87" s="38" t="s">
        <v>222</v>
      </c>
      <c r="F87" s="38" t="s">
        <v>223</v>
      </c>
      <c r="G87" s="39">
        <v>374</v>
      </c>
      <c r="H87" s="40">
        <v>3.45</v>
      </c>
      <c r="I87" s="37">
        <v>172260</v>
      </c>
      <c r="J87" s="41" t="s">
        <v>207</v>
      </c>
      <c r="K87" s="42">
        <v>2019</v>
      </c>
    </row>
    <row r="88" spans="1:11" ht="15" customHeight="1" x14ac:dyDescent="0.3">
      <c r="A88" s="31">
        <v>83</v>
      </c>
      <c r="B88" s="32" t="s">
        <v>204</v>
      </c>
      <c r="C88" s="32"/>
      <c r="D88" s="32" t="s">
        <v>224</v>
      </c>
      <c r="E88" s="32" t="s">
        <v>225</v>
      </c>
      <c r="F88" s="32" t="s">
        <v>77</v>
      </c>
      <c r="G88" s="33">
        <v>449</v>
      </c>
      <c r="H88" s="34">
        <v>2.3969999999999998</v>
      </c>
      <c r="I88" s="31">
        <v>144260</v>
      </c>
      <c r="J88" s="35" t="s">
        <v>207</v>
      </c>
      <c r="K88" s="36">
        <v>2019</v>
      </c>
    </row>
    <row r="89" spans="1:11" ht="15" customHeight="1" x14ac:dyDescent="0.3">
      <c r="A89" s="37">
        <v>84</v>
      </c>
      <c r="B89" s="38" t="s">
        <v>204</v>
      </c>
      <c r="C89" s="38"/>
      <c r="D89" s="38" t="s">
        <v>224</v>
      </c>
      <c r="E89" s="38" t="s">
        <v>226</v>
      </c>
      <c r="F89" s="38" t="s">
        <v>105</v>
      </c>
      <c r="G89" s="39">
        <v>1907</v>
      </c>
      <c r="H89" s="40">
        <v>12.285</v>
      </c>
      <c r="I89" s="37">
        <v>348000</v>
      </c>
      <c r="J89" s="41" t="s">
        <v>207</v>
      </c>
      <c r="K89" s="42">
        <v>2019</v>
      </c>
    </row>
    <row r="90" spans="1:11" ht="15" customHeight="1" x14ac:dyDescent="0.3">
      <c r="A90" s="31">
        <v>85</v>
      </c>
      <c r="B90" s="32" t="s">
        <v>227</v>
      </c>
      <c r="C90" s="32"/>
      <c r="D90" s="32" t="s">
        <v>228</v>
      </c>
      <c r="E90" s="32" t="s">
        <v>229</v>
      </c>
      <c r="F90" s="32" t="s">
        <v>86</v>
      </c>
      <c r="G90" s="33">
        <v>450</v>
      </c>
      <c r="H90" s="34">
        <v>5.28</v>
      </c>
      <c r="I90" s="31">
        <v>228260</v>
      </c>
      <c r="J90" s="35" t="s">
        <v>207</v>
      </c>
      <c r="K90" s="36">
        <v>2019</v>
      </c>
    </row>
    <row r="91" spans="1:11" ht="15" customHeight="1" x14ac:dyDescent="0.3">
      <c r="A91" s="37">
        <v>86</v>
      </c>
      <c r="B91" s="38" t="s">
        <v>227</v>
      </c>
      <c r="C91" s="38"/>
      <c r="D91" s="38" t="s">
        <v>230</v>
      </c>
      <c r="E91" s="38" t="s">
        <v>99</v>
      </c>
      <c r="F91" s="38" t="s">
        <v>86</v>
      </c>
      <c r="G91" s="39">
        <v>894</v>
      </c>
      <c r="H91" s="40">
        <v>1.6140000000000001</v>
      </c>
      <c r="I91" s="37">
        <v>144260</v>
      </c>
      <c r="J91" s="41" t="s">
        <v>207</v>
      </c>
      <c r="K91" s="42">
        <v>2019</v>
      </c>
    </row>
    <row r="92" spans="1:11" ht="15" customHeight="1" x14ac:dyDescent="0.3">
      <c r="A92" s="31">
        <v>87</v>
      </c>
      <c r="B92" s="32" t="s">
        <v>227</v>
      </c>
      <c r="C92" s="32"/>
      <c r="D92" s="32" t="s">
        <v>231</v>
      </c>
      <c r="E92" s="32" t="s">
        <v>232</v>
      </c>
      <c r="F92" s="32" t="s">
        <v>77</v>
      </c>
      <c r="G92" s="33">
        <v>1560</v>
      </c>
      <c r="H92" s="34">
        <v>3.0720000000000001</v>
      </c>
      <c r="I92" s="31">
        <v>172260</v>
      </c>
      <c r="J92" s="35" t="s">
        <v>207</v>
      </c>
      <c r="K92" s="36">
        <v>2019</v>
      </c>
    </row>
    <row r="93" spans="1:11" ht="15" customHeight="1" x14ac:dyDescent="0.3">
      <c r="A93" s="37">
        <v>88</v>
      </c>
      <c r="B93" s="38" t="s">
        <v>227</v>
      </c>
      <c r="C93" s="38"/>
      <c r="D93" s="38" t="s">
        <v>233</v>
      </c>
      <c r="E93" s="38" t="s">
        <v>232</v>
      </c>
      <c r="F93" s="38" t="s">
        <v>77</v>
      </c>
      <c r="G93" s="39">
        <v>1555.2</v>
      </c>
      <c r="H93" s="40">
        <v>2.9180000000000001</v>
      </c>
      <c r="I93" s="37">
        <v>172260</v>
      </c>
      <c r="J93" s="41" t="s">
        <v>207</v>
      </c>
      <c r="K93" s="42">
        <v>2019</v>
      </c>
    </row>
    <row r="94" spans="1:11" ht="15" customHeight="1" x14ac:dyDescent="0.3">
      <c r="A94" s="31">
        <v>89</v>
      </c>
      <c r="B94" s="32" t="s">
        <v>227</v>
      </c>
      <c r="C94" s="32"/>
      <c r="D94" s="32" t="s">
        <v>158</v>
      </c>
      <c r="E94" s="32" t="s">
        <v>234</v>
      </c>
      <c r="F94" s="32" t="s">
        <v>77</v>
      </c>
      <c r="G94" s="33">
        <v>349</v>
      </c>
      <c r="H94" s="34">
        <v>3.2069999999999999</v>
      </c>
      <c r="I94" s="31">
        <v>172260</v>
      </c>
      <c r="J94" s="35" t="s">
        <v>207</v>
      </c>
      <c r="K94" s="36">
        <v>2019</v>
      </c>
    </row>
    <row r="95" spans="1:11" ht="15" customHeight="1" x14ac:dyDescent="0.3">
      <c r="A95" s="37">
        <v>90</v>
      </c>
      <c r="B95" s="38" t="s">
        <v>227</v>
      </c>
      <c r="C95" s="38"/>
      <c r="D95" s="38" t="s">
        <v>235</v>
      </c>
      <c r="E95" s="38" t="s">
        <v>236</v>
      </c>
      <c r="F95" s="38" t="s">
        <v>237</v>
      </c>
      <c r="G95" s="39">
        <v>4492</v>
      </c>
      <c r="H95" s="40">
        <v>18.178999999999998</v>
      </c>
      <c r="I95" s="37">
        <v>358260</v>
      </c>
      <c r="J95" s="41" t="s">
        <v>207</v>
      </c>
      <c r="K95" s="42">
        <v>2019</v>
      </c>
    </row>
    <row r="96" spans="1:11" ht="15" customHeight="1" x14ac:dyDescent="0.3">
      <c r="A96" s="31">
        <v>91</v>
      </c>
      <c r="B96" s="32" t="s">
        <v>227</v>
      </c>
      <c r="C96" s="32"/>
      <c r="D96" s="32" t="s">
        <v>238</v>
      </c>
      <c r="E96" s="32" t="s">
        <v>239</v>
      </c>
      <c r="F96" s="32" t="s">
        <v>86</v>
      </c>
      <c r="G96" s="33">
        <v>593</v>
      </c>
      <c r="H96" s="34">
        <v>2.657</v>
      </c>
      <c r="I96" s="31">
        <v>172260</v>
      </c>
      <c r="J96" s="35" t="s">
        <v>207</v>
      </c>
      <c r="K96" s="36">
        <v>2019</v>
      </c>
    </row>
    <row r="97" spans="1:11" ht="15" customHeight="1" x14ac:dyDescent="0.3">
      <c r="A97" s="37">
        <v>92</v>
      </c>
      <c r="B97" s="38" t="s">
        <v>227</v>
      </c>
      <c r="C97" s="38"/>
      <c r="D97" s="38" t="s">
        <v>212</v>
      </c>
      <c r="E97" s="38" t="s">
        <v>213</v>
      </c>
      <c r="F97" s="38" t="s">
        <v>86</v>
      </c>
      <c r="G97" s="39">
        <v>8</v>
      </c>
      <c r="H97" s="40">
        <v>5.8999999999999997E-2</v>
      </c>
      <c r="I97" s="37">
        <v>108000</v>
      </c>
      <c r="J97" s="41" t="s">
        <v>207</v>
      </c>
      <c r="K97" s="42">
        <v>2019</v>
      </c>
    </row>
    <row r="98" spans="1:11" ht="15" customHeight="1" x14ac:dyDescent="0.3">
      <c r="A98" s="31">
        <v>93</v>
      </c>
      <c r="B98" s="32" t="s">
        <v>227</v>
      </c>
      <c r="C98" s="32"/>
      <c r="D98" s="32" t="s">
        <v>240</v>
      </c>
      <c r="E98" s="32" t="s">
        <v>241</v>
      </c>
      <c r="F98" s="32" t="s">
        <v>81</v>
      </c>
      <c r="G98" s="33">
        <v>3530</v>
      </c>
      <c r="H98" s="34">
        <v>5.2990000000000004</v>
      </c>
      <c r="I98" s="31">
        <v>228260</v>
      </c>
      <c r="J98" s="35" t="s">
        <v>207</v>
      </c>
      <c r="K98" s="36">
        <v>2019</v>
      </c>
    </row>
    <row r="99" spans="1:11" ht="15" customHeight="1" x14ac:dyDescent="0.3">
      <c r="A99" s="37">
        <v>94</v>
      </c>
      <c r="B99" s="38" t="s">
        <v>227</v>
      </c>
      <c r="C99" s="38"/>
      <c r="D99" s="38" t="s">
        <v>242</v>
      </c>
      <c r="E99" s="38" t="s">
        <v>243</v>
      </c>
      <c r="F99" s="38" t="s">
        <v>94</v>
      </c>
      <c r="G99" s="39">
        <v>1504.2</v>
      </c>
      <c r="H99" s="40">
        <v>3.0529999999999999</v>
      </c>
      <c r="I99" s="37">
        <v>162000</v>
      </c>
      <c r="J99" s="41" t="s">
        <v>207</v>
      </c>
      <c r="K99" s="42">
        <v>2019</v>
      </c>
    </row>
    <row r="100" spans="1:11" ht="15" customHeight="1" x14ac:dyDescent="0.3">
      <c r="A100" s="31">
        <v>95</v>
      </c>
      <c r="B100" s="32" t="s">
        <v>227</v>
      </c>
      <c r="C100" s="32"/>
      <c r="D100" s="32" t="s">
        <v>244</v>
      </c>
      <c r="E100" s="32" t="s">
        <v>245</v>
      </c>
      <c r="F100" s="32" t="s">
        <v>86</v>
      </c>
      <c r="G100" s="33">
        <v>435</v>
      </c>
      <c r="H100" s="34">
        <v>1.1379999999999999</v>
      </c>
      <c r="I100" s="31">
        <v>118260</v>
      </c>
      <c r="J100" s="35" t="s">
        <v>207</v>
      </c>
      <c r="K100" s="36">
        <v>2019</v>
      </c>
    </row>
    <row r="101" spans="1:11" ht="15" customHeight="1" x14ac:dyDescent="0.3">
      <c r="A101" s="37">
        <v>96</v>
      </c>
      <c r="B101" s="38" t="s">
        <v>227</v>
      </c>
      <c r="C101" s="38"/>
      <c r="D101" s="38" t="s">
        <v>246</v>
      </c>
      <c r="E101" s="38" t="s">
        <v>131</v>
      </c>
      <c r="F101" s="38" t="s">
        <v>77</v>
      </c>
      <c r="G101" s="39">
        <v>354</v>
      </c>
      <c r="H101" s="40">
        <v>1.589</v>
      </c>
      <c r="I101" s="37">
        <v>134000</v>
      </c>
      <c r="J101" s="41" t="s">
        <v>207</v>
      </c>
      <c r="K101" s="42">
        <v>2019</v>
      </c>
    </row>
    <row r="102" spans="1:11" ht="15" customHeight="1" x14ac:dyDescent="0.3">
      <c r="A102" s="31">
        <v>97</v>
      </c>
      <c r="B102" s="32" t="s">
        <v>227</v>
      </c>
      <c r="C102" s="32"/>
      <c r="D102" s="32" t="s">
        <v>247</v>
      </c>
      <c r="E102" s="32" t="s">
        <v>248</v>
      </c>
      <c r="F102" s="32" t="s">
        <v>86</v>
      </c>
      <c r="G102" s="33">
        <v>84</v>
      </c>
      <c r="H102" s="34">
        <v>1.306</v>
      </c>
      <c r="I102" s="31">
        <v>118260</v>
      </c>
      <c r="J102" s="35" t="s">
        <v>207</v>
      </c>
      <c r="K102" s="36">
        <v>2019</v>
      </c>
    </row>
    <row r="103" spans="1:11" ht="15" customHeight="1" x14ac:dyDescent="0.3">
      <c r="A103" s="37">
        <v>98</v>
      </c>
      <c r="B103" s="38" t="s">
        <v>227</v>
      </c>
      <c r="C103" s="38"/>
      <c r="D103" s="38" t="s">
        <v>249</v>
      </c>
      <c r="E103" s="38" t="s">
        <v>250</v>
      </c>
      <c r="F103" s="38" t="s">
        <v>86</v>
      </c>
      <c r="G103" s="39">
        <v>150</v>
      </c>
      <c r="H103" s="40">
        <v>0.91200000000000003</v>
      </c>
      <c r="I103" s="37">
        <v>118260</v>
      </c>
      <c r="J103" s="41" t="s">
        <v>207</v>
      </c>
      <c r="K103" s="42">
        <v>2019</v>
      </c>
    </row>
    <row r="104" spans="1:11" ht="15" customHeight="1" x14ac:dyDescent="0.3">
      <c r="A104" s="31">
        <v>99</v>
      </c>
      <c r="B104" s="32" t="s">
        <v>227</v>
      </c>
      <c r="C104" s="32"/>
      <c r="D104" s="32" t="s">
        <v>251</v>
      </c>
      <c r="E104" s="32" t="s">
        <v>252</v>
      </c>
      <c r="F104" s="32" t="s">
        <v>94</v>
      </c>
      <c r="G104" s="33">
        <v>700</v>
      </c>
      <c r="H104" s="34">
        <v>8.7200000000000006</v>
      </c>
      <c r="I104" s="31">
        <v>331260</v>
      </c>
      <c r="J104" s="35" t="s">
        <v>207</v>
      </c>
      <c r="K104" s="36">
        <v>2019</v>
      </c>
    </row>
    <row r="105" spans="1:11" ht="15" customHeight="1" x14ac:dyDescent="0.3">
      <c r="A105" s="37">
        <v>100</v>
      </c>
      <c r="B105" s="38" t="s">
        <v>227</v>
      </c>
      <c r="C105" s="38"/>
      <c r="D105" s="38" t="s">
        <v>253</v>
      </c>
      <c r="E105" s="38" t="s">
        <v>254</v>
      </c>
      <c r="F105" s="38" t="s">
        <v>86</v>
      </c>
      <c r="G105" s="39">
        <v>260</v>
      </c>
      <c r="H105" s="40">
        <v>0.4</v>
      </c>
      <c r="I105" s="37">
        <v>118260</v>
      </c>
      <c r="J105" s="41" t="s">
        <v>207</v>
      </c>
      <c r="K105" s="42">
        <v>2019</v>
      </c>
    </row>
    <row r="106" spans="1:11" ht="15" customHeight="1" x14ac:dyDescent="0.3">
      <c r="A106" s="31">
        <v>101</v>
      </c>
      <c r="B106" s="32" t="s">
        <v>255</v>
      </c>
      <c r="C106" s="32"/>
      <c r="D106" s="32" t="s">
        <v>256</v>
      </c>
      <c r="E106" s="32" t="s">
        <v>99</v>
      </c>
      <c r="F106" s="32" t="s">
        <v>77</v>
      </c>
      <c r="G106" s="33">
        <v>960</v>
      </c>
      <c r="H106" s="34">
        <v>3.202</v>
      </c>
      <c r="I106" s="31">
        <v>172260</v>
      </c>
      <c r="J106" s="35" t="s">
        <v>207</v>
      </c>
      <c r="K106" s="36">
        <v>2019</v>
      </c>
    </row>
    <row r="107" spans="1:11" ht="15" customHeight="1" x14ac:dyDescent="0.3">
      <c r="A107" s="37">
        <v>102</v>
      </c>
      <c r="B107" s="38" t="s">
        <v>255</v>
      </c>
      <c r="C107" s="38"/>
      <c r="D107" s="38" t="s">
        <v>257</v>
      </c>
      <c r="E107" s="38" t="s">
        <v>258</v>
      </c>
      <c r="F107" s="38" t="s">
        <v>86</v>
      </c>
      <c r="G107" s="39">
        <v>1043</v>
      </c>
      <c r="H107" s="40">
        <v>1.8819999999999999</v>
      </c>
      <c r="I107" s="37">
        <v>144260</v>
      </c>
      <c r="J107" s="41" t="s">
        <v>207</v>
      </c>
      <c r="K107" s="42">
        <v>2019</v>
      </c>
    </row>
    <row r="108" spans="1:11" ht="15" customHeight="1" x14ac:dyDescent="0.3">
      <c r="A108" s="31">
        <v>103</v>
      </c>
      <c r="B108" s="32" t="s">
        <v>255</v>
      </c>
      <c r="C108" s="32"/>
      <c r="D108" s="32" t="s">
        <v>259</v>
      </c>
      <c r="E108" s="32" t="s">
        <v>260</v>
      </c>
      <c r="F108" s="32" t="s">
        <v>86</v>
      </c>
      <c r="G108" s="33">
        <v>702</v>
      </c>
      <c r="H108" s="34">
        <v>1.1839999999999999</v>
      </c>
      <c r="I108" s="31">
        <v>108000</v>
      </c>
      <c r="J108" s="35" t="s">
        <v>207</v>
      </c>
      <c r="K108" s="36">
        <v>2019</v>
      </c>
    </row>
    <row r="109" spans="1:11" ht="15" customHeight="1" x14ac:dyDescent="0.3">
      <c r="A109" s="37">
        <v>104</v>
      </c>
      <c r="B109" s="38" t="s">
        <v>255</v>
      </c>
      <c r="C109" s="38"/>
      <c r="D109" s="38" t="s">
        <v>261</v>
      </c>
      <c r="E109" s="38" t="s">
        <v>262</v>
      </c>
      <c r="F109" s="38" t="s">
        <v>86</v>
      </c>
      <c r="G109" s="39">
        <v>700</v>
      </c>
      <c r="H109" s="40">
        <v>1.7</v>
      </c>
      <c r="I109" s="37">
        <v>134000</v>
      </c>
      <c r="J109" s="41" t="s">
        <v>207</v>
      </c>
      <c r="K109" s="42">
        <v>2019</v>
      </c>
    </row>
    <row r="110" spans="1:11" ht="15" customHeight="1" x14ac:dyDescent="0.3">
      <c r="A110" s="31">
        <v>105</v>
      </c>
      <c r="B110" s="32" t="s">
        <v>255</v>
      </c>
      <c r="C110" s="32"/>
      <c r="D110" s="32" t="s">
        <v>158</v>
      </c>
      <c r="E110" s="32" t="s">
        <v>263</v>
      </c>
      <c r="F110" s="32" t="s">
        <v>86</v>
      </c>
      <c r="G110" s="33">
        <v>250</v>
      </c>
      <c r="H110" s="34">
        <v>4.6109999999999998</v>
      </c>
      <c r="I110" s="31">
        <v>228260</v>
      </c>
      <c r="J110" s="35" t="s">
        <v>207</v>
      </c>
      <c r="K110" s="36">
        <v>2019</v>
      </c>
    </row>
    <row r="111" spans="1:11" ht="15" customHeight="1" x14ac:dyDescent="0.3">
      <c r="A111" s="37">
        <v>106</v>
      </c>
      <c r="B111" s="38" t="s">
        <v>255</v>
      </c>
      <c r="C111" s="38"/>
      <c r="D111" s="38" t="s">
        <v>264</v>
      </c>
      <c r="E111" s="38" t="s">
        <v>265</v>
      </c>
      <c r="F111" s="38" t="s">
        <v>94</v>
      </c>
      <c r="G111" s="39">
        <v>4710</v>
      </c>
      <c r="H111" s="40">
        <v>4.17</v>
      </c>
      <c r="I111" s="37">
        <v>228260</v>
      </c>
      <c r="J111" s="41" t="s">
        <v>207</v>
      </c>
      <c r="K111" s="42">
        <v>2019</v>
      </c>
    </row>
    <row r="112" spans="1:11" ht="15" customHeight="1" x14ac:dyDescent="0.3">
      <c r="A112" s="31">
        <v>107</v>
      </c>
      <c r="B112" s="32" t="s">
        <v>255</v>
      </c>
      <c r="C112" s="32"/>
      <c r="D112" s="32" t="s">
        <v>266</v>
      </c>
      <c r="E112" s="32" t="s">
        <v>267</v>
      </c>
      <c r="F112" s="32" t="s">
        <v>86</v>
      </c>
      <c r="G112" s="33">
        <v>690</v>
      </c>
      <c r="H112" s="34">
        <v>1.7090000000000001</v>
      </c>
      <c r="I112" s="31">
        <v>134000</v>
      </c>
      <c r="J112" s="35" t="s">
        <v>207</v>
      </c>
      <c r="K112" s="36">
        <v>2019</v>
      </c>
    </row>
    <row r="113" spans="1:11" ht="15" customHeight="1" x14ac:dyDescent="0.3">
      <c r="A113" s="37">
        <v>108</v>
      </c>
      <c r="B113" s="38" t="s">
        <v>255</v>
      </c>
      <c r="C113" s="38"/>
      <c r="D113" s="38" t="s">
        <v>268</v>
      </c>
      <c r="E113" s="38" t="s">
        <v>269</v>
      </c>
      <c r="F113" s="38" t="s">
        <v>270</v>
      </c>
      <c r="G113" s="39">
        <v>914</v>
      </c>
      <c r="H113" s="40">
        <v>2.4369999999999998</v>
      </c>
      <c r="I113" s="37">
        <v>144260</v>
      </c>
      <c r="J113" s="41" t="s">
        <v>207</v>
      </c>
      <c r="K113" s="42">
        <v>2019</v>
      </c>
    </row>
    <row r="114" spans="1:11" ht="15" customHeight="1" x14ac:dyDescent="0.3">
      <c r="A114" s="31">
        <v>109</v>
      </c>
      <c r="B114" s="32" t="s">
        <v>255</v>
      </c>
      <c r="C114" s="32"/>
      <c r="D114" s="32" t="s">
        <v>271</v>
      </c>
      <c r="E114" s="32" t="s">
        <v>99</v>
      </c>
      <c r="F114" s="32" t="s">
        <v>77</v>
      </c>
      <c r="G114" s="33">
        <v>1585</v>
      </c>
      <c r="H114" s="34">
        <v>2.7040000000000002</v>
      </c>
      <c r="I114" s="31">
        <v>172260</v>
      </c>
      <c r="J114" s="35" t="s">
        <v>207</v>
      </c>
      <c r="K114" s="36">
        <v>2019</v>
      </c>
    </row>
    <row r="115" spans="1:11" ht="15" customHeight="1" x14ac:dyDescent="0.3">
      <c r="A115" s="37">
        <v>110</v>
      </c>
      <c r="B115" s="38" t="s">
        <v>272</v>
      </c>
      <c r="C115" s="38" t="s">
        <v>273</v>
      </c>
      <c r="D115" s="38" t="s">
        <v>274</v>
      </c>
      <c r="E115" s="38" t="s">
        <v>275</v>
      </c>
      <c r="F115" s="38" t="s">
        <v>276</v>
      </c>
      <c r="G115" s="39">
        <v>90</v>
      </c>
      <c r="H115" s="40">
        <v>0.53</v>
      </c>
      <c r="I115" s="37">
        <v>108000</v>
      </c>
      <c r="J115" s="41" t="s">
        <v>78</v>
      </c>
      <c r="K115" s="42">
        <v>2020</v>
      </c>
    </row>
    <row r="116" spans="1:11" ht="15" customHeight="1" x14ac:dyDescent="0.3">
      <c r="A116" s="31">
        <v>111</v>
      </c>
      <c r="B116" s="32" t="s">
        <v>272</v>
      </c>
      <c r="C116" s="32" t="s">
        <v>277</v>
      </c>
      <c r="D116" s="32" t="s">
        <v>274</v>
      </c>
      <c r="E116" s="32" t="s">
        <v>278</v>
      </c>
      <c r="F116" s="32" t="s">
        <v>279</v>
      </c>
      <c r="G116" s="33">
        <v>74</v>
      </c>
      <c r="H116" s="34">
        <v>0.6</v>
      </c>
      <c r="I116" s="31">
        <v>118260</v>
      </c>
      <c r="J116" s="35" t="s">
        <v>78</v>
      </c>
      <c r="K116" s="36">
        <v>2020</v>
      </c>
    </row>
    <row r="117" spans="1:11" ht="15" customHeight="1" x14ac:dyDescent="0.3">
      <c r="A117" s="37">
        <v>112</v>
      </c>
      <c r="B117" s="38" t="s">
        <v>272</v>
      </c>
      <c r="C117" s="38" t="s">
        <v>280</v>
      </c>
      <c r="D117" s="38" t="s">
        <v>274</v>
      </c>
      <c r="E117" s="38" t="s">
        <v>281</v>
      </c>
      <c r="F117" s="38" t="s">
        <v>279</v>
      </c>
      <c r="G117" s="39">
        <v>167</v>
      </c>
      <c r="H117" s="40">
        <v>0.84</v>
      </c>
      <c r="I117" s="37">
        <v>108000</v>
      </c>
      <c r="J117" s="41" t="s">
        <v>78</v>
      </c>
      <c r="K117" s="42">
        <v>2020</v>
      </c>
    </row>
    <row r="118" spans="1:11" ht="15" customHeight="1" x14ac:dyDescent="0.3">
      <c r="A118" s="31">
        <v>113</v>
      </c>
      <c r="B118" s="32" t="s">
        <v>272</v>
      </c>
      <c r="C118" s="32" t="s">
        <v>282</v>
      </c>
      <c r="D118" s="32" t="s">
        <v>274</v>
      </c>
      <c r="E118" s="32" t="s">
        <v>283</v>
      </c>
      <c r="F118" s="32" t="s">
        <v>284</v>
      </c>
      <c r="G118" s="33">
        <v>654</v>
      </c>
      <c r="H118" s="34">
        <v>3.29</v>
      </c>
      <c r="I118" s="31">
        <v>162000</v>
      </c>
      <c r="J118" s="35" t="s">
        <v>78</v>
      </c>
      <c r="K118" s="36">
        <v>2020</v>
      </c>
    </row>
    <row r="119" spans="1:11" ht="15" customHeight="1" x14ac:dyDescent="0.3">
      <c r="A119" s="37">
        <v>114</v>
      </c>
      <c r="B119" s="38" t="s">
        <v>272</v>
      </c>
      <c r="C119" s="38" t="s">
        <v>285</v>
      </c>
      <c r="D119" s="38" t="s">
        <v>42</v>
      </c>
      <c r="E119" s="38" t="s">
        <v>286</v>
      </c>
      <c r="F119" s="38" t="s">
        <v>287</v>
      </c>
      <c r="G119" s="39">
        <v>620</v>
      </c>
      <c r="H119" s="40">
        <v>2.4</v>
      </c>
      <c r="I119" s="37">
        <v>144260</v>
      </c>
      <c r="J119" s="41" t="s">
        <v>78</v>
      </c>
      <c r="K119" s="42">
        <v>2020</v>
      </c>
    </row>
    <row r="120" spans="1:11" ht="15" customHeight="1" x14ac:dyDescent="0.3">
      <c r="A120" s="31">
        <v>115</v>
      </c>
      <c r="B120" s="32" t="s">
        <v>272</v>
      </c>
      <c r="C120" s="32" t="s">
        <v>288</v>
      </c>
      <c r="D120" s="32" t="s">
        <v>44</v>
      </c>
      <c r="E120" s="32" t="s">
        <v>35</v>
      </c>
      <c r="F120" s="32" t="s">
        <v>289</v>
      </c>
      <c r="G120" s="33">
        <v>7660</v>
      </c>
      <c r="H120" s="34">
        <v>12.62</v>
      </c>
      <c r="I120" s="31">
        <v>358260</v>
      </c>
      <c r="J120" s="35" t="s">
        <v>78</v>
      </c>
      <c r="K120" s="36">
        <v>2020</v>
      </c>
    </row>
    <row r="121" spans="1:11" ht="15" customHeight="1" x14ac:dyDescent="0.3">
      <c r="A121" s="37">
        <v>116</v>
      </c>
      <c r="B121" s="38" t="s">
        <v>272</v>
      </c>
      <c r="C121" s="38" t="s">
        <v>290</v>
      </c>
      <c r="D121" s="38" t="s">
        <v>291</v>
      </c>
      <c r="E121" s="38" t="s">
        <v>292</v>
      </c>
      <c r="F121" s="38" t="s">
        <v>276</v>
      </c>
      <c r="G121" s="39">
        <v>600</v>
      </c>
      <c r="H121" s="40">
        <v>1.39</v>
      </c>
      <c r="I121" s="37">
        <v>118260</v>
      </c>
      <c r="J121" s="41" t="s">
        <v>78</v>
      </c>
      <c r="K121" s="42">
        <v>2020</v>
      </c>
    </row>
    <row r="122" spans="1:11" ht="15" customHeight="1" x14ac:dyDescent="0.3">
      <c r="A122" s="31">
        <v>117</v>
      </c>
      <c r="B122" s="32" t="s">
        <v>272</v>
      </c>
      <c r="C122" s="32" t="s">
        <v>293</v>
      </c>
      <c r="D122" s="32" t="s">
        <v>294</v>
      </c>
      <c r="E122" s="32" t="s">
        <v>295</v>
      </c>
      <c r="F122" s="32" t="s">
        <v>296</v>
      </c>
      <c r="G122" s="33">
        <v>158</v>
      </c>
      <c r="H122" s="34">
        <v>1.2</v>
      </c>
      <c r="I122" s="31">
        <v>118260</v>
      </c>
      <c r="J122" s="35" t="s">
        <v>78</v>
      </c>
      <c r="K122" s="36">
        <v>2020</v>
      </c>
    </row>
    <row r="123" spans="1:11" ht="15" customHeight="1" x14ac:dyDescent="0.3">
      <c r="A123" s="37">
        <v>118</v>
      </c>
      <c r="B123" s="38" t="s">
        <v>272</v>
      </c>
      <c r="C123" s="38" t="s">
        <v>297</v>
      </c>
      <c r="D123" s="38" t="s">
        <v>298</v>
      </c>
      <c r="E123" s="38" t="s">
        <v>299</v>
      </c>
      <c r="F123" s="38" t="s">
        <v>276</v>
      </c>
      <c r="G123" s="39">
        <v>572</v>
      </c>
      <c r="H123" s="40">
        <v>1.1599999999999999</v>
      </c>
      <c r="I123" s="37">
        <v>118260</v>
      </c>
      <c r="J123" s="41" t="s">
        <v>78</v>
      </c>
      <c r="K123" s="42">
        <v>2020</v>
      </c>
    </row>
    <row r="124" spans="1:11" ht="15" customHeight="1" x14ac:dyDescent="0.3">
      <c r="A124" s="31">
        <v>119</v>
      </c>
      <c r="B124" s="32" t="s">
        <v>272</v>
      </c>
      <c r="C124" s="32" t="s">
        <v>300</v>
      </c>
      <c r="D124" s="32" t="s">
        <v>301</v>
      </c>
      <c r="E124" s="32" t="s">
        <v>302</v>
      </c>
      <c r="F124" s="32" t="s">
        <v>303</v>
      </c>
      <c r="G124" s="33">
        <v>2010</v>
      </c>
      <c r="H124" s="34">
        <v>3.78</v>
      </c>
      <c r="I124" s="31">
        <v>190000</v>
      </c>
      <c r="J124" s="35" t="s">
        <v>78</v>
      </c>
      <c r="K124" s="36">
        <v>2020</v>
      </c>
    </row>
    <row r="125" spans="1:11" ht="15" customHeight="1" x14ac:dyDescent="0.3">
      <c r="A125" s="37">
        <v>120</v>
      </c>
      <c r="B125" s="38" t="s">
        <v>272</v>
      </c>
      <c r="C125" s="38" t="s">
        <v>304</v>
      </c>
      <c r="D125" s="38" t="s">
        <v>305</v>
      </c>
      <c r="E125" s="38" t="s">
        <v>49</v>
      </c>
      <c r="F125" s="38" t="s">
        <v>306</v>
      </c>
      <c r="G125" s="39">
        <v>850</v>
      </c>
      <c r="H125" s="40">
        <v>3.55</v>
      </c>
      <c r="I125" s="37">
        <v>190000</v>
      </c>
      <c r="J125" s="41" t="s">
        <v>78</v>
      </c>
      <c r="K125" s="42">
        <v>2020</v>
      </c>
    </row>
    <row r="126" spans="1:11" ht="15" customHeight="1" x14ac:dyDescent="0.3">
      <c r="A126" s="31">
        <v>121</v>
      </c>
      <c r="B126" s="32" t="s">
        <v>272</v>
      </c>
      <c r="C126" s="32" t="s">
        <v>307</v>
      </c>
      <c r="D126" s="32" t="s">
        <v>89</v>
      </c>
      <c r="E126" s="32" t="s">
        <v>43</v>
      </c>
      <c r="F126" s="32" t="s">
        <v>308</v>
      </c>
      <c r="G126" s="33">
        <v>9148</v>
      </c>
      <c r="H126" s="34">
        <v>15.1</v>
      </c>
      <c r="I126" s="31">
        <v>358260</v>
      </c>
      <c r="J126" s="35" t="s">
        <v>78</v>
      </c>
      <c r="K126" s="36">
        <v>2020</v>
      </c>
    </row>
    <row r="127" spans="1:11" ht="15" customHeight="1" x14ac:dyDescent="0.3">
      <c r="A127" s="37">
        <v>122</v>
      </c>
      <c r="B127" s="38" t="s">
        <v>272</v>
      </c>
      <c r="C127" s="38" t="s">
        <v>309</v>
      </c>
      <c r="D127" s="38" t="s">
        <v>310</v>
      </c>
      <c r="E127" s="38" t="s">
        <v>311</v>
      </c>
      <c r="F127" s="38" t="s">
        <v>312</v>
      </c>
      <c r="G127" s="39">
        <v>290</v>
      </c>
      <c r="H127" s="40">
        <v>0.82</v>
      </c>
      <c r="I127" s="37">
        <v>118260</v>
      </c>
      <c r="J127" s="41" t="s">
        <v>78</v>
      </c>
      <c r="K127" s="42">
        <v>2020</v>
      </c>
    </row>
    <row r="128" spans="1:11" ht="15" customHeight="1" x14ac:dyDescent="0.3">
      <c r="A128" s="31">
        <v>123</v>
      </c>
      <c r="B128" s="32" t="s">
        <v>272</v>
      </c>
      <c r="C128" s="32" t="s">
        <v>273</v>
      </c>
      <c r="D128" s="32" t="s">
        <v>274</v>
      </c>
      <c r="E128" s="32" t="s">
        <v>275</v>
      </c>
      <c r="F128" s="32" t="s">
        <v>276</v>
      </c>
      <c r="G128" s="33">
        <v>90</v>
      </c>
      <c r="H128" s="34">
        <v>0.53200000000000003</v>
      </c>
      <c r="I128" s="31">
        <v>108000</v>
      </c>
      <c r="J128" s="35" t="s">
        <v>78</v>
      </c>
      <c r="K128" s="36">
        <v>2020</v>
      </c>
    </row>
    <row r="129" spans="1:11" ht="15" customHeight="1" x14ac:dyDescent="0.3">
      <c r="A129" s="37">
        <v>124</v>
      </c>
      <c r="B129" s="38" t="s">
        <v>313</v>
      </c>
      <c r="C129" s="38" t="s">
        <v>314</v>
      </c>
      <c r="D129" s="38" t="s">
        <v>315</v>
      </c>
      <c r="E129" s="38" t="s">
        <v>49</v>
      </c>
      <c r="F129" s="38" t="s">
        <v>316</v>
      </c>
      <c r="G129" s="39">
        <v>946</v>
      </c>
      <c r="H129" s="40">
        <v>3.0339999999999998</v>
      </c>
      <c r="I129" s="37">
        <v>162000</v>
      </c>
      <c r="J129" s="41" t="s">
        <v>78</v>
      </c>
      <c r="K129" s="42">
        <v>2020</v>
      </c>
    </row>
    <row r="130" spans="1:11" ht="15" customHeight="1" x14ac:dyDescent="0.3">
      <c r="A130" s="31">
        <v>125</v>
      </c>
      <c r="B130" s="32" t="s">
        <v>313</v>
      </c>
      <c r="C130" s="32" t="s">
        <v>317</v>
      </c>
      <c r="D130" s="32" t="s">
        <v>318</v>
      </c>
      <c r="E130" s="32" t="s">
        <v>319</v>
      </c>
      <c r="F130" s="32" t="s">
        <v>320</v>
      </c>
      <c r="G130" s="33">
        <v>1893</v>
      </c>
      <c r="H130" s="34">
        <v>1.6839999999999999</v>
      </c>
      <c r="I130" s="31">
        <v>144260</v>
      </c>
      <c r="J130" s="35" t="s">
        <v>78</v>
      </c>
      <c r="K130" s="36">
        <v>2020</v>
      </c>
    </row>
    <row r="131" spans="1:11" ht="15" customHeight="1" x14ac:dyDescent="0.3">
      <c r="A131" s="37">
        <v>126</v>
      </c>
      <c r="B131" s="38" t="s">
        <v>313</v>
      </c>
      <c r="C131" s="38" t="s">
        <v>321</v>
      </c>
      <c r="D131" s="38" t="s">
        <v>322</v>
      </c>
      <c r="E131" s="38" t="s">
        <v>57</v>
      </c>
      <c r="F131" s="38" t="s">
        <v>323</v>
      </c>
      <c r="G131" s="39">
        <v>110</v>
      </c>
      <c r="H131" s="40">
        <v>0.89400000000000002</v>
      </c>
      <c r="I131" s="37">
        <v>108000</v>
      </c>
      <c r="J131" s="41" t="s">
        <v>78</v>
      </c>
      <c r="K131" s="42">
        <v>2020</v>
      </c>
    </row>
    <row r="132" spans="1:11" ht="15" customHeight="1" x14ac:dyDescent="0.3">
      <c r="A132" s="31">
        <v>127</v>
      </c>
      <c r="B132" s="32" t="s">
        <v>313</v>
      </c>
      <c r="C132" s="32" t="s">
        <v>324</v>
      </c>
      <c r="D132" s="32" t="s">
        <v>325</v>
      </c>
      <c r="E132" s="32" t="s">
        <v>59</v>
      </c>
      <c r="F132" s="32" t="s">
        <v>276</v>
      </c>
      <c r="G132" s="33">
        <v>1061</v>
      </c>
      <c r="H132" s="34">
        <v>1.44</v>
      </c>
      <c r="I132" s="31">
        <v>108000</v>
      </c>
      <c r="J132" s="35" t="s">
        <v>78</v>
      </c>
      <c r="K132" s="36">
        <v>2020</v>
      </c>
    </row>
    <row r="133" spans="1:11" ht="15" customHeight="1" x14ac:dyDescent="0.3">
      <c r="A133" s="37">
        <v>128</v>
      </c>
      <c r="B133" s="38" t="s">
        <v>313</v>
      </c>
      <c r="C133" s="38" t="s">
        <v>326</v>
      </c>
      <c r="D133" s="38" t="s">
        <v>327</v>
      </c>
      <c r="E133" s="38" t="s">
        <v>328</v>
      </c>
      <c r="F133" s="38" t="s">
        <v>329</v>
      </c>
      <c r="G133" s="39">
        <v>610</v>
      </c>
      <c r="H133" s="40">
        <v>5.19</v>
      </c>
      <c r="I133" s="37">
        <v>228260</v>
      </c>
      <c r="J133" s="41" t="s">
        <v>78</v>
      </c>
      <c r="K133" s="42">
        <v>2020</v>
      </c>
    </row>
    <row r="134" spans="1:11" ht="15" customHeight="1" x14ac:dyDescent="0.3">
      <c r="A134" s="31">
        <v>129</v>
      </c>
      <c r="B134" s="32" t="s">
        <v>313</v>
      </c>
      <c r="C134" s="32" t="s">
        <v>330</v>
      </c>
      <c r="D134" s="32" t="s">
        <v>331</v>
      </c>
      <c r="E134" s="32" t="s">
        <v>332</v>
      </c>
      <c r="F134" s="32" t="s">
        <v>306</v>
      </c>
      <c r="G134" s="33">
        <v>35</v>
      </c>
      <c r="H134" s="34">
        <v>0.59799999999999998</v>
      </c>
      <c r="I134" s="31">
        <v>108000</v>
      </c>
      <c r="J134" s="35" t="s">
        <v>78</v>
      </c>
      <c r="K134" s="36">
        <v>2020</v>
      </c>
    </row>
    <row r="135" spans="1:11" ht="15" customHeight="1" x14ac:dyDescent="0.3">
      <c r="A135" s="37">
        <v>130</v>
      </c>
      <c r="B135" s="38" t="s">
        <v>313</v>
      </c>
      <c r="C135" s="38" t="s">
        <v>333</v>
      </c>
      <c r="D135" s="38" t="s">
        <v>334</v>
      </c>
      <c r="E135" s="38" t="s">
        <v>295</v>
      </c>
      <c r="F135" s="38" t="s">
        <v>335</v>
      </c>
      <c r="G135" s="39">
        <v>2355</v>
      </c>
      <c r="H135" s="40">
        <v>9.5690000000000008</v>
      </c>
      <c r="I135" s="37">
        <v>358260</v>
      </c>
      <c r="J135" s="41" t="s">
        <v>78</v>
      </c>
      <c r="K135" s="42">
        <v>2020</v>
      </c>
    </row>
    <row r="136" spans="1:11" ht="15" customHeight="1" x14ac:dyDescent="0.3">
      <c r="A136" s="31">
        <v>131</v>
      </c>
      <c r="B136" s="32" t="s">
        <v>336</v>
      </c>
      <c r="C136" s="32" t="s">
        <v>337</v>
      </c>
      <c r="D136" s="32" t="s">
        <v>338</v>
      </c>
      <c r="E136" s="32" t="s">
        <v>339</v>
      </c>
      <c r="F136" s="32" t="s">
        <v>340</v>
      </c>
      <c r="G136" s="33">
        <v>88</v>
      </c>
      <c r="H136" s="34">
        <v>1</v>
      </c>
      <c r="I136" s="31">
        <v>108000</v>
      </c>
      <c r="J136" s="35" t="s">
        <v>78</v>
      </c>
      <c r="K136" s="36">
        <v>2020</v>
      </c>
    </row>
    <row r="137" spans="1:11" ht="15" customHeight="1" x14ac:dyDescent="0.3">
      <c r="A137" s="37">
        <v>132</v>
      </c>
      <c r="B137" s="38" t="s">
        <v>336</v>
      </c>
      <c r="C137" s="38" t="s">
        <v>341</v>
      </c>
      <c r="D137" s="38" t="s">
        <v>342</v>
      </c>
      <c r="E137" s="38" t="s">
        <v>41</v>
      </c>
      <c r="F137" s="38" t="s">
        <v>312</v>
      </c>
      <c r="G137" s="39">
        <v>178</v>
      </c>
      <c r="H137" s="40">
        <v>0.31</v>
      </c>
      <c r="I137" s="37">
        <v>118260</v>
      </c>
      <c r="J137" s="41" t="s">
        <v>78</v>
      </c>
      <c r="K137" s="42">
        <v>2020</v>
      </c>
    </row>
    <row r="138" spans="1:11" ht="15" customHeight="1" x14ac:dyDescent="0.3">
      <c r="A138" s="31">
        <v>133</v>
      </c>
      <c r="B138" s="32" t="s">
        <v>336</v>
      </c>
      <c r="C138" s="32" t="s">
        <v>343</v>
      </c>
      <c r="D138" s="32" t="s">
        <v>344</v>
      </c>
      <c r="E138" s="32" t="s">
        <v>345</v>
      </c>
      <c r="F138" s="32" t="s">
        <v>346</v>
      </c>
      <c r="G138" s="33">
        <v>550</v>
      </c>
      <c r="H138" s="34">
        <v>1.01</v>
      </c>
      <c r="I138" s="31">
        <v>108000</v>
      </c>
      <c r="J138" s="35" t="s">
        <v>78</v>
      </c>
      <c r="K138" s="36">
        <v>2020</v>
      </c>
    </row>
    <row r="139" spans="1:11" ht="15" customHeight="1" x14ac:dyDescent="0.3">
      <c r="A139" s="37">
        <v>134</v>
      </c>
      <c r="B139" s="38" t="s">
        <v>336</v>
      </c>
      <c r="C139" s="38" t="s">
        <v>347</v>
      </c>
      <c r="D139" s="38" t="s">
        <v>44</v>
      </c>
      <c r="E139" s="38" t="s">
        <v>348</v>
      </c>
      <c r="F139" s="38" t="s">
        <v>316</v>
      </c>
      <c r="G139" s="39">
        <v>4580</v>
      </c>
      <c r="H139" s="40">
        <v>9</v>
      </c>
      <c r="I139" s="37">
        <v>331260</v>
      </c>
      <c r="J139" s="41" t="s">
        <v>78</v>
      </c>
      <c r="K139" s="42">
        <v>2020</v>
      </c>
    </row>
    <row r="140" spans="1:11" ht="15" customHeight="1" x14ac:dyDescent="0.3">
      <c r="A140" s="31">
        <v>135</v>
      </c>
      <c r="B140" s="32" t="s">
        <v>336</v>
      </c>
      <c r="C140" s="32" t="s">
        <v>349</v>
      </c>
      <c r="D140" s="32" t="s">
        <v>350</v>
      </c>
      <c r="E140" s="32" t="s">
        <v>351</v>
      </c>
      <c r="F140" s="32" t="s">
        <v>316</v>
      </c>
      <c r="G140" s="33">
        <v>257</v>
      </c>
      <c r="H140" s="34">
        <v>2</v>
      </c>
      <c r="I140" s="31">
        <v>144260</v>
      </c>
      <c r="J140" s="35" t="s">
        <v>78</v>
      </c>
      <c r="K140" s="36">
        <v>2020</v>
      </c>
    </row>
    <row r="141" spans="1:11" ht="15" customHeight="1" x14ac:dyDescent="0.3">
      <c r="A141" s="37">
        <v>136</v>
      </c>
      <c r="B141" s="38" t="s">
        <v>336</v>
      </c>
      <c r="C141" s="38" t="s">
        <v>352</v>
      </c>
      <c r="D141" s="38" t="s">
        <v>353</v>
      </c>
      <c r="E141" s="38" t="s">
        <v>354</v>
      </c>
      <c r="F141" s="38" t="s">
        <v>287</v>
      </c>
      <c r="G141" s="39">
        <v>1528</v>
      </c>
      <c r="H141" s="40">
        <v>2</v>
      </c>
      <c r="I141" s="37">
        <v>144260</v>
      </c>
      <c r="J141" s="41" t="s">
        <v>78</v>
      </c>
      <c r="K141" s="42">
        <v>2020</v>
      </c>
    </row>
    <row r="142" spans="1:11" ht="15" customHeight="1" x14ac:dyDescent="0.3">
      <c r="A142" s="31">
        <v>137</v>
      </c>
      <c r="B142" s="32" t="s">
        <v>336</v>
      </c>
      <c r="C142" s="32" t="s">
        <v>355</v>
      </c>
      <c r="D142" s="32" t="s">
        <v>356</v>
      </c>
      <c r="E142" s="32" t="s">
        <v>35</v>
      </c>
      <c r="F142" s="32" t="s">
        <v>306</v>
      </c>
      <c r="G142" s="33">
        <v>360</v>
      </c>
      <c r="H142" s="34">
        <v>1.27</v>
      </c>
      <c r="I142" s="31">
        <v>118260</v>
      </c>
      <c r="J142" s="35" t="s">
        <v>78</v>
      </c>
      <c r="K142" s="36">
        <v>2020</v>
      </c>
    </row>
    <row r="143" spans="1:11" ht="15" customHeight="1" x14ac:dyDescent="0.3">
      <c r="A143" s="37">
        <v>138</v>
      </c>
      <c r="B143" s="38" t="s">
        <v>336</v>
      </c>
      <c r="C143" s="38" t="s">
        <v>357</v>
      </c>
      <c r="D143" s="38" t="s">
        <v>358</v>
      </c>
      <c r="E143" s="38" t="s">
        <v>359</v>
      </c>
      <c r="F143" s="38" t="s">
        <v>316</v>
      </c>
      <c r="G143" s="39">
        <v>531.5</v>
      </c>
      <c r="H143" s="40">
        <v>3.2450000000000001</v>
      </c>
      <c r="I143" s="37">
        <v>172260</v>
      </c>
      <c r="J143" s="41" t="s">
        <v>78</v>
      </c>
      <c r="K143" s="42">
        <v>2020</v>
      </c>
    </row>
    <row r="144" spans="1:11" ht="15" customHeight="1" x14ac:dyDescent="0.3">
      <c r="A144" s="31">
        <v>139</v>
      </c>
      <c r="B144" s="32" t="s">
        <v>360</v>
      </c>
      <c r="C144" s="32" t="s">
        <v>361</v>
      </c>
      <c r="D144" s="32" t="s">
        <v>362</v>
      </c>
      <c r="E144" s="32" t="s">
        <v>363</v>
      </c>
      <c r="F144" s="32" t="s">
        <v>364</v>
      </c>
      <c r="G144" s="33">
        <v>2722</v>
      </c>
      <c r="H144" s="34">
        <v>1.7150000000000001</v>
      </c>
      <c r="I144" s="31">
        <v>162000</v>
      </c>
      <c r="J144" s="35" t="s">
        <v>78</v>
      </c>
      <c r="K144" s="36">
        <v>2020</v>
      </c>
    </row>
    <row r="145" spans="1:11" ht="15" customHeight="1" x14ac:dyDescent="0.3">
      <c r="A145" s="37">
        <v>140</v>
      </c>
      <c r="B145" s="38" t="s">
        <v>360</v>
      </c>
      <c r="C145" s="38" t="s">
        <v>365</v>
      </c>
      <c r="D145" s="38" t="s">
        <v>366</v>
      </c>
      <c r="E145" s="38" t="s">
        <v>55</v>
      </c>
      <c r="F145" s="38" t="s">
        <v>367</v>
      </c>
      <c r="G145" s="39">
        <v>6875</v>
      </c>
      <c r="H145" s="40">
        <v>7.02</v>
      </c>
      <c r="I145" s="37">
        <v>274000</v>
      </c>
      <c r="J145" s="41" t="s">
        <v>78</v>
      </c>
      <c r="K145" s="42">
        <v>2020</v>
      </c>
    </row>
    <row r="146" spans="1:11" ht="15" customHeight="1" x14ac:dyDescent="0.3">
      <c r="A146" s="31">
        <v>141</v>
      </c>
      <c r="B146" s="32" t="s">
        <v>360</v>
      </c>
      <c r="C146" s="32" t="s">
        <v>368</v>
      </c>
      <c r="D146" s="32" t="s">
        <v>369</v>
      </c>
      <c r="E146" s="32" t="s">
        <v>37</v>
      </c>
      <c r="F146" s="32" t="s">
        <v>346</v>
      </c>
      <c r="G146" s="33">
        <v>660</v>
      </c>
      <c r="H146" s="34">
        <v>2.88</v>
      </c>
      <c r="I146" s="31">
        <v>172260</v>
      </c>
      <c r="J146" s="35" t="s">
        <v>78</v>
      </c>
      <c r="K146" s="36">
        <v>2020</v>
      </c>
    </row>
    <row r="147" spans="1:11" ht="15" customHeight="1" x14ac:dyDescent="0.3">
      <c r="A147" s="37">
        <v>142</v>
      </c>
      <c r="B147" s="38" t="s">
        <v>360</v>
      </c>
      <c r="C147" s="38" t="s">
        <v>370</v>
      </c>
      <c r="D147" s="38" t="s">
        <v>371</v>
      </c>
      <c r="E147" s="38" t="s">
        <v>372</v>
      </c>
      <c r="F147" s="38" t="s">
        <v>373</v>
      </c>
      <c r="G147" s="39">
        <v>1050</v>
      </c>
      <c r="H147" s="40">
        <v>1.5609999999999999</v>
      </c>
      <c r="I147" s="37">
        <v>144260</v>
      </c>
      <c r="J147" s="41" t="s">
        <v>78</v>
      </c>
      <c r="K147" s="42">
        <v>2020</v>
      </c>
    </row>
    <row r="148" spans="1:11" ht="15" customHeight="1" x14ac:dyDescent="0.3">
      <c r="A148" s="31">
        <v>143</v>
      </c>
      <c r="B148" s="32" t="s">
        <v>360</v>
      </c>
      <c r="C148" s="32" t="s">
        <v>374</v>
      </c>
      <c r="D148" s="32" t="s">
        <v>60</v>
      </c>
      <c r="E148" s="32" t="s">
        <v>35</v>
      </c>
      <c r="F148" s="32" t="s">
        <v>375</v>
      </c>
      <c r="G148" s="33">
        <v>350</v>
      </c>
      <c r="H148" s="34">
        <v>0.374</v>
      </c>
      <c r="I148" s="31">
        <v>118260</v>
      </c>
      <c r="J148" s="35" t="s">
        <v>78</v>
      </c>
      <c r="K148" s="36">
        <v>2020</v>
      </c>
    </row>
    <row r="149" spans="1:11" ht="15" customHeight="1" x14ac:dyDescent="0.3">
      <c r="A149" s="37">
        <v>144</v>
      </c>
      <c r="B149" s="38" t="s">
        <v>360</v>
      </c>
      <c r="C149" s="38" t="s">
        <v>376</v>
      </c>
      <c r="D149" s="38" t="s">
        <v>377</v>
      </c>
      <c r="E149" s="38" t="s">
        <v>378</v>
      </c>
      <c r="F149" s="38" t="s">
        <v>379</v>
      </c>
      <c r="G149" s="39">
        <v>469.8</v>
      </c>
      <c r="H149" s="40">
        <v>1.85</v>
      </c>
      <c r="I149" s="37">
        <v>144260</v>
      </c>
      <c r="J149" s="41" t="s">
        <v>78</v>
      </c>
      <c r="K149" s="42">
        <v>2020</v>
      </c>
    </row>
    <row r="150" spans="1:11" ht="15" customHeight="1" x14ac:dyDescent="0.3">
      <c r="A150" s="31">
        <v>145</v>
      </c>
      <c r="B150" s="32" t="s">
        <v>360</v>
      </c>
      <c r="C150" s="32" t="s">
        <v>380</v>
      </c>
      <c r="D150" s="32" t="s">
        <v>381</v>
      </c>
      <c r="E150" s="32" t="s">
        <v>382</v>
      </c>
      <c r="F150" s="32" t="s">
        <v>312</v>
      </c>
      <c r="G150" s="33">
        <v>241</v>
      </c>
      <c r="H150" s="34">
        <v>1.226</v>
      </c>
      <c r="I150" s="31">
        <v>118260</v>
      </c>
      <c r="J150" s="35" t="s">
        <v>78</v>
      </c>
      <c r="K150" s="36">
        <v>2020</v>
      </c>
    </row>
    <row r="151" spans="1:11" ht="15" customHeight="1" x14ac:dyDescent="0.3">
      <c r="A151" s="37">
        <v>146</v>
      </c>
      <c r="B151" s="38" t="s">
        <v>360</v>
      </c>
      <c r="C151" s="38" t="s">
        <v>383</v>
      </c>
      <c r="D151" s="38" t="s">
        <v>384</v>
      </c>
      <c r="E151" s="38" t="s">
        <v>385</v>
      </c>
      <c r="F151" s="38" t="s">
        <v>386</v>
      </c>
      <c r="G151" s="39">
        <v>1356.12</v>
      </c>
      <c r="H151" s="40">
        <v>3.581</v>
      </c>
      <c r="I151" s="37">
        <v>200260</v>
      </c>
      <c r="J151" s="41" t="s">
        <v>78</v>
      </c>
      <c r="K151" s="42">
        <v>2020</v>
      </c>
    </row>
    <row r="152" spans="1:11" ht="15" customHeight="1" x14ac:dyDescent="0.3">
      <c r="A152" s="31">
        <v>147</v>
      </c>
      <c r="B152" s="32" t="s">
        <v>360</v>
      </c>
      <c r="C152" s="32" t="s">
        <v>387</v>
      </c>
      <c r="D152" s="32" t="s">
        <v>89</v>
      </c>
      <c r="E152" s="32" t="s">
        <v>43</v>
      </c>
      <c r="F152" s="32" t="s">
        <v>276</v>
      </c>
      <c r="G152" s="33">
        <v>40</v>
      </c>
      <c r="H152" s="34">
        <v>7.1999999999999995E-2</v>
      </c>
      <c r="I152" s="31">
        <v>118260</v>
      </c>
      <c r="J152" s="35" t="s">
        <v>78</v>
      </c>
      <c r="K152" s="36">
        <v>2020</v>
      </c>
    </row>
    <row r="153" spans="1:11" ht="15" customHeight="1" x14ac:dyDescent="0.3">
      <c r="A153" s="37">
        <v>148</v>
      </c>
      <c r="B153" s="38" t="s">
        <v>360</v>
      </c>
      <c r="C153" s="38" t="s">
        <v>388</v>
      </c>
      <c r="D153" s="38" t="s">
        <v>389</v>
      </c>
      <c r="E153" s="38" t="s">
        <v>390</v>
      </c>
      <c r="F153" s="38" t="s">
        <v>391</v>
      </c>
      <c r="G153" s="39">
        <v>683</v>
      </c>
      <c r="H153" s="40">
        <v>1.716</v>
      </c>
      <c r="I153" s="37">
        <v>144260</v>
      </c>
      <c r="J153" s="41" t="s">
        <v>78</v>
      </c>
      <c r="K153" s="42">
        <v>2020</v>
      </c>
    </row>
    <row r="154" spans="1:11" ht="15" customHeight="1" x14ac:dyDescent="0.3">
      <c r="A154" s="31">
        <v>149</v>
      </c>
      <c r="B154" s="32" t="s">
        <v>360</v>
      </c>
      <c r="C154" s="32" t="s">
        <v>392</v>
      </c>
      <c r="D154" s="32" t="s">
        <v>393</v>
      </c>
      <c r="E154" s="32" t="s">
        <v>394</v>
      </c>
      <c r="F154" s="32" t="s">
        <v>395</v>
      </c>
      <c r="G154" s="33">
        <v>1264</v>
      </c>
      <c r="H154" s="34">
        <v>4.0880000000000001</v>
      </c>
      <c r="I154" s="31">
        <v>200260</v>
      </c>
      <c r="J154" s="35" t="s">
        <v>78</v>
      </c>
      <c r="K154" s="36">
        <v>2020</v>
      </c>
    </row>
    <row r="155" spans="1:11" ht="15" customHeight="1" x14ac:dyDescent="0.3">
      <c r="A155" s="37">
        <v>150</v>
      </c>
      <c r="B155" s="38" t="s">
        <v>360</v>
      </c>
      <c r="C155" s="38" t="s">
        <v>396</v>
      </c>
      <c r="D155" s="38" t="s">
        <v>397</v>
      </c>
      <c r="E155" s="38" t="s">
        <v>398</v>
      </c>
      <c r="F155" s="38" t="s">
        <v>399</v>
      </c>
      <c r="G155" s="39">
        <v>1879.74</v>
      </c>
      <c r="H155" s="40">
        <v>7.4340000000000002</v>
      </c>
      <c r="I155" s="37">
        <v>284260</v>
      </c>
      <c r="J155" s="41" t="s">
        <v>78</v>
      </c>
      <c r="K155" s="42">
        <v>2020</v>
      </c>
    </row>
    <row r="156" spans="1:11" ht="15" customHeight="1" x14ac:dyDescent="0.3">
      <c r="A156" s="31">
        <v>151</v>
      </c>
      <c r="B156" s="32" t="s">
        <v>360</v>
      </c>
      <c r="C156" s="32" t="s">
        <v>400</v>
      </c>
      <c r="D156" s="32" t="s">
        <v>401</v>
      </c>
      <c r="E156" s="32" t="s">
        <v>55</v>
      </c>
      <c r="F156" s="32" t="s">
        <v>402</v>
      </c>
      <c r="G156" s="33">
        <v>3458.9</v>
      </c>
      <c r="H156" s="34">
        <v>5.984</v>
      </c>
      <c r="I156" s="31">
        <v>246000</v>
      </c>
      <c r="J156" s="35" t="s">
        <v>78</v>
      </c>
      <c r="K156" s="36">
        <v>2020</v>
      </c>
    </row>
    <row r="157" spans="1:11" ht="15" customHeight="1" x14ac:dyDescent="0.3">
      <c r="A157" s="37">
        <v>152</v>
      </c>
      <c r="B157" s="38" t="s">
        <v>360</v>
      </c>
      <c r="C157" s="38" t="s">
        <v>403</v>
      </c>
      <c r="D157" s="38" t="s">
        <v>404</v>
      </c>
      <c r="E157" s="38" t="s">
        <v>405</v>
      </c>
      <c r="F157" s="38" t="s">
        <v>406</v>
      </c>
      <c r="G157" s="39">
        <v>686</v>
      </c>
      <c r="H157" s="40">
        <v>2.0979999999999999</v>
      </c>
      <c r="I157" s="37">
        <v>144260</v>
      </c>
      <c r="J157" s="41" t="s">
        <v>78</v>
      </c>
      <c r="K157" s="42">
        <v>2020</v>
      </c>
    </row>
    <row r="158" spans="1:11" ht="15" customHeight="1" x14ac:dyDescent="0.3">
      <c r="A158" s="31">
        <v>153</v>
      </c>
      <c r="B158" s="32" t="s">
        <v>407</v>
      </c>
      <c r="C158" s="32" t="s">
        <v>408</v>
      </c>
      <c r="D158" s="32" t="s">
        <v>366</v>
      </c>
      <c r="E158" s="32" t="s">
        <v>215</v>
      </c>
      <c r="F158" s="32" t="s">
        <v>316</v>
      </c>
      <c r="G158" s="33">
        <v>1020</v>
      </c>
      <c r="H158" s="34">
        <v>3.0419999999999998</v>
      </c>
      <c r="I158" s="31">
        <v>162000</v>
      </c>
      <c r="J158" s="35" t="s">
        <v>78</v>
      </c>
      <c r="K158" s="36">
        <v>2020</v>
      </c>
    </row>
    <row r="159" spans="1:11" ht="15" customHeight="1" x14ac:dyDescent="0.3">
      <c r="A159" s="37">
        <v>154</v>
      </c>
      <c r="B159" s="38" t="s">
        <v>407</v>
      </c>
      <c r="C159" s="38" t="s">
        <v>409</v>
      </c>
      <c r="D159" s="38" t="s">
        <v>54</v>
      </c>
      <c r="E159" s="38" t="s">
        <v>410</v>
      </c>
      <c r="F159" s="38" t="s">
        <v>411</v>
      </c>
      <c r="G159" s="39">
        <v>3132</v>
      </c>
      <c r="H159" s="40">
        <v>2.7440000000000002</v>
      </c>
      <c r="I159" s="37">
        <v>172260</v>
      </c>
      <c r="J159" s="41" t="s">
        <v>78</v>
      </c>
      <c r="K159" s="42">
        <v>2020</v>
      </c>
    </row>
    <row r="160" spans="1:11" ht="15" customHeight="1" x14ac:dyDescent="0.3">
      <c r="A160" s="31">
        <v>155</v>
      </c>
      <c r="B160" s="32" t="s">
        <v>407</v>
      </c>
      <c r="C160" s="32" t="s">
        <v>412</v>
      </c>
      <c r="D160" s="32" t="s">
        <v>413</v>
      </c>
      <c r="E160" s="32" t="s">
        <v>410</v>
      </c>
      <c r="F160" s="32" t="s">
        <v>373</v>
      </c>
      <c r="G160" s="33">
        <v>1855</v>
      </c>
      <c r="H160" s="34">
        <v>4.1760000000000002</v>
      </c>
      <c r="I160" s="31">
        <v>200260</v>
      </c>
      <c r="J160" s="35" t="s">
        <v>78</v>
      </c>
      <c r="K160" s="36">
        <v>2020</v>
      </c>
    </row>
    <row r="161" spans="1:11" ht="15" customHeight="1" x14ac:dyDescent="0.3">
      <c r="A161" s="37">
        <v>156</v>
      </c>
      <c r="B161" s="38" t="s">
        <v>407</v>
      </c>
      <c r="C161" s="38" t="s">
        <v>414</v>
      </c>
      <c r="D161" s="38" t="s">
        <v>415</v>
      </c>
      <c r="E161" s="38" t="s">
        <v>416</v>
      </c>
      <c r="F161" s="38" t="s">
        <v>306</v>
      </c>
      <c r="G161" s="39">
        <v>1440</v>
      </c>
      <c r="H161" s="40">
        <v>1.895</v>
      </c>
      <c r="I161" s="37">
        <v>134000</v>
      </c>
      <c r="J161" s="41" t="s">
        <v>78</v>
      </c>
      <c r="K161" s="42">
        <v>2020</v>
      </c>
    </row>
    <row r="162" spans="1:11" ht="15" customHeight="1" x14ac:dyDescent="0.3">
      <c r="A162" s="31">
        <v>157</v>
      </c>
      <c r="B162" s="32" t="s">
        <v>407</v>
      </c>
      <c r="C162" s="32" t="s">
        <v>417</v>
      </c>
      <c r="D162" s="32" t="s">
        <v>418</v>
      </c>
      <c r="E162" s="32" t="s">
        <v>419</v>
      </c>
      <c r="F162" s="32" t="s">
        <v>316</v>
      </c>
      <c r="G162" s="33">
        <v>2699</v>
      </c>
      <c r="H162" s="34">
        <v>1.587</v>
      </c>
      <c r="I162" s="31">
        <v>172260</v>
      </c>
      <c r="J162" s="35" t="s">
        <v>78</v>
      </c>
      <c r="K162" s="36">
        <v>2020</v>
      </c>
    </row>
    <row r="163" spans="1:11" ht="15" customHeight="1" x14ac:dyDescent="0.3">
      <c r="A163" s="37">
        <v>158</v>
      </c>
      <c r="B163" s="38" t="s">
        <v>407</v>
      </c>
      <c r="C163" s="38" t="s">
        <v>420</v>
      </c>
      <c r="D163" s="38" t="s">
        <v>421</v>
      </c>
      <c r="E163" s="38" t="s">
        <v>422</v>
      </c>
      <c r="F163" s="38" t="s">
        <v>316</v>
      </c>
      <c r="G163" s="39">
        <v>728</v>
      </c>
      <c r="H163" s="40">
        <v>2.0720000000000001</v>
      </c>
      <c r="I163" s="37">
        <v>144260</v>
      </c>
      <c r="J163" s="41" t="s">
        <v>78</v>
      </c>
      <c r="K163" s="42">
        <v>2020</v>
      </c>
    </row>
    <row r="164" spans="1:11" ht="15" customHeight="1" x14ac:dyDescent="0.3">
      <c r="A164" s="31">
        <v>159</v>
      </c>
      <c r="B164" s="32" t="s">
        <v>407</v>
      </c>
      <c r="C164" s="32" t="s">
        <v>423</v>
      </c>
      <c r="D164" s="32" t="s">
        <v>424</v>
      </c>
      <c r="E164" s="32" t="s">
        <v>372</v>
      </c>
      <c r="F164" s="32" t="s">
        <v>316</v>
      </c>
      <c r="G164" s="33">
        <v>1089</v>
      </c>
      <c r="H164" s="34">
        <v>2.4409999999999998</v>
      </c>
      <c r="I164" s="31">
        <v>134000</v>
      </c>
      <c r="J164" s="35" t="s">
        <v>78</v>
      </c>
      <c r="K164" s="36">
        <v>2020</v>
      </c>
    </row>
    <row r="165" spans="1:11" ht="15" customHeight="1" x14ac:dyDescent="0.3">
      <c r="A165" s="37">
        <v>160</v>
      </c>
      <c r="B165" s="38" t="s">
        <v>407</v>
      </c>
      <c r="C165" s="38" t="s">
        <v>425</v>
      </c>
      <c r="D165" s="38" t="s">
        <v>426</v>
      </c>
      <c r="E165" s="38" t="s">
        <v>427</v>
      </c>
      <c r="F165" s="38" t="s">
        <v>276</v>
      </c>
      <c r="G165" s="39">
        <v>101.4</v>
      </c>
      <c r="H165" s="40">
        <v>0.8</v>
      </c>
      <c r="I165" s="37">
        <v>108000</v>
      </c>
      <c r="J165" s="41" t="s">
        <v>78</v>
      </c>
      <c r="K165" s="42">
        <v>2020</v>
      </c>
    </row>
    <row r="166" spans="1:11" ht="15" customHeight="1" x14ac:dyDescent="0.3">
      <c r="A166" s="31">
        <v>161</v>
      </c>
      <c r="B166" s="32" t="s">
        <v>407</v>
      </c>
      <c r="C166" s="32" t="s">
        <v>428</v>
      </c>
      <c r="D166" s="32" t="s">
        <v>429</v>
      </c>
      <c r="E166" s="32" t="s">
        <v>76</v>
      </c>
      <c r="F166" s="32" t="s">
        <v>276</v>
      </c>
      <c r="G166" s="33">
        <v>35.5</v>
      </c>
      <c r="H166" s="34">
        <v>0.245</v>
      </c>
      <c r="I166" s="31">
        <v>118260</v>
      </c>
      <c r="J166" s="35" t="s">
        <v>78</v>
      </c>
      <c r="K166" s="36">
        <v>2020</v>
      </c>
    </row>
    <row r="167" spans="1:11" ht="15" customHeight="1" x14ac:dyDescent="0.3">
      <c r="A167" s="37">
        <v>162</v>
      </c>
      <c r="B167" s="38" t="s">
        <v>407</v>
      </c>
      <c r="C167" s="38" t="s">
        <v>430</v>
      </c>
      <c r="D167" s="38" t="s">
        <v>431</v>
      </c>
      <c r="E167" s="38" t="s">
        <v>49</v>
      </c>
      <c r="F167" s="38" t="s">
        <v>406</v>
      </c>
      <c r="G167" s="39">
        <v>1840</v>
      </c>
      <c r="H167" s="40">
        <v>1.389</v>
      </c>
      <c r="I167" s="37">
        <v>134000</v>
      </c>
      <c r="J167" s="41" t="s">
        <v>78</v>
      </c>
      <c r="K167" s="42">
        <v>2020</v>
      </c>
    </row>
    <row r="168" spans="1:11" ht="15" customHeight="1" x14ac:dyDescent="0.3">
      <c r="A168" s="31">
        <v>163</v>
      </c>
      <c r="B168" s="32" t="s">
        <v>407</v>
      </c>
      <c r="C168" s="32" t="s">
        <v>432</v>
      </c>
      <c r="D168" s="32" t="s">
        <v>433</v>
      </c>
      <c r="E168" s="32" t="s">
        <v>434</v>
      </c>
      <c r="F168" s="32" t="s">
        <v>435</v>
      </c>
      <c r="G168" s="33">
        <v>947</v>
      </c>
      <c r="H168" s="34">
        <v>2.5840000000000001</v>
      </c>
      <c r="I168" s="31">
        <v>162000</v>
      </c>
      <c r="J168" s="35" t="s">
        <v>78</v>
      </c>
      <c r="K168" s="36">
        <v>2020</v>
      </c>
    </row>
    <row r="169" spans="1:11" ht="15" customHeight="1" x14ac:dyDescent="0.3">
      <c r="A169" s="37">
        <v>164</v>
      </c>
      <c r="B169" s="38" t="s">
        <v>336</v>
      </c>
      <c r="C169" s="38" t="s">
        <v>436</v>
      </c>
      <c r="D169" s="38" t="s">
        <v>369</v>
      </c>
      <c r="E169" s="38" t="s">
        <v>37</v>
      </c>
      <c r="F169" s="38" t="s">
        <v>279</v>
      </c>
      <c r="G169" s="39">
        <v>300</v>
      </c>
      <c r="H169" s="40">
        <v>0.57599999999999996</v>
      </c>
      <c r="I169" s="37">
        <v>118260</v>
      </c>
      <c r="J169" s="41" t="s">
        <v>126</v>
      </c>
      <c r="K169" s="42">
        <v>2020</v>
      </c>
    </row>
    <row r="170" spans="1:11" ht="15" customHeight="1" x14ac:dyDescent="0.3">
      <c r="A170" s="31">
        <v>165</v>
      </c>
      <c r="B170" s="32" t="s">
        <v>336</v>
      </c>
      <c r="C170" s="32" t="s">
        <v>437</v>
      </c>
      <c r="D170" s="32" t="s">
        <v>438</v>
      </c>
      <c r="E170" s="32" t="s">
        <v>439</v>
      </c>
      <c r="F170" s="32" t="s">
        <v>276</v>
      </c>
      <c r="G170" s="33">
        <v>434</v>
      </c>
      <c r="H170" s="34">
        <v>1.415</v>
      </c>
      <c r="I170" s="31">
        <v>118260</v>
      </c>
      <c r="J170" s="35" t="s">
        <v>126</v>
      </c>
      <c r="K170" s="36">
        <v>2020</v>
      </c>
    </row>
    <row r="171" spans="1:11" ht="15" customHeight="1" x14ac:dyDescent="0.3">
      <c r="A171" s="37">
        <v>166</v>
      </c>
      <c r="B171" s="38" t="s">
        <v>336</v>
      </c>
      <c r="C171" s="38" t="s">
        <v>440</v>
      </c>
      <c r="D171" s="38" t="s">
        <v>60</v>
      </c>
      <c r="E171" s="38" t="s">
        <v>35</v>
      </c>
      <c r="F171" s="38" t="s">
        <v>276</v>
      </c>
      <c r="G171" s="39">
        <v>188</v>
      </c>
      <c r="H171" s="40">
        <v>1.2270000000000001</v>
      </c>
      <c r="I171" s="37">
        <v>118260</v>
      </c>
      <c r="J171" s="41" t="s">
        <v>126</v>
      </c>
      <c r="K171" s="42">
        <v>2020</v>
      </c>
    </row>
    <row r="172" spans="1:11" ht="15" customHeight="1" x14ac:dyDescent="0.3">
      <c r="A172" s="31">
        <v>167</v>
      </c>
      <c r="B172" s="32" t="s">
        <v>336</v>
      </c>
      <c r="C172" s="32" t="s">
        <v>441</v>
      </c>
      <c r="D172" s="32" t="s">
        <v>442</v>
      </c>
      <c r="E172" s="32" t="s">
        <v>443</v>
      </c>
      <c r="F172" s="32" t="s">
        <v>287</v>
      </c>
      <c r="G172" s="33">
        <v>3070.48</v>
      </c>
      <c r="H172" s="34">
        <v>7</v>
      </c>
      <c r="I172" s="31">
        <v>274000</v>
      </c>
      <c r="J172" s="35" t="s">
        <v>126</v>
      </c>
      <c r="K172" s="36">
        <v>2020</v>
      </c>
    </row>
    <row r="173" spans="1:11" ht="15" customHeight="1" x14ac:dyDescent="0.3">
      <c r="A173" s="37">
        <v>168</v>
      </c>
      <c r="B173" s="38" t="s">
        <v>336</v>
      </c>
      <c r="C173" s="38" t="s">
        <v>444</v>
      </c>
      <c r="D173" s="38" t="s">
        <v>445</v>
      </c>
      <c r="E173" s="38" t="s">
        <v>115</v>
      </c>
      <c r="F173" s="38" t="s">
        <v>276</v>
      </c>
      <c r="G173" s="39">
        <v>500</v>
      </c>
      <c r="H173" s="40">
        <v>1.2</v>
      </c>
      <c r="I173" s="37">
        <v>118260</v>
      </c>
      <c r="J173" s="41" t="s">
        <v>126</v>
      </c>
      <c r="K173" s="42">
        <v>2020</v>
      </c>
    </row>
    <row r="174" spans="1:11" ht="15" customHeight="1" x14ac:dyDescent="0.3">
      <c r="A174" s="31">
        <v>169</v>
      </c>
      <c r="B174" s="32" t="s">
        <v>336</v>
      </c>
      <c r="C174" s="32" t="s">
        <v>446</v>
      </c>
      <c r="D174" s="32" t="s">
        <v>447</v>
      </c>
      <c r="E174" s="32" t="s">
        <v>448</v>
      </c>
      <c r="F174" s="32" t="s">
        <v>329</v>
      </c>
      <c r="G174" s="33">
        <v>287</v>
      </c>
      <c r="H174" s="34">
        <v>2</v>
      </c>
      <c r="I174" s="31">
        <v>134000</v>
      </c>
      <c r="J174" s="35" t="s">
        <v>126</v>
      </c>
      <c r="K174" s="36">
        <v>2020</v>
      </c>
    </row>
    <row r="175" spans="1:11" ht="15" customHeight="1" x14ac:dyDescent="0.3">
      <c r="A175" s="37">
        <v>170</v>
      </c>
      <c r="B175" s="38" t="s">
        <v>336</v>
      </c>
      <c r="C175" s="38" t="s">
        <v>449</v>
      </c>
      <c r="D175" s="38" t="s">
        <v>450</v>
      </c>
      <c r="E175" s="38" t="s">
        <v>451</v>
      </c>
      <c r="F175" s="38" t="s">
        <v>276</v>
      </c>
      <c r="G175" s="39">
        <v>405</v>
      </c>
      <c r="H175" s="40">
        <v>0.73899999999999999</v>
      </c>
      <c r="I175" s="37">
        <v>118260</v>
      </c>
      <c r="J175" s="41" t="s">
        <v>126</v>
      </c>
      <c r="K175" s="42">
        <v>2020</v>
      </c>
    </row>
    <row r="176" spans="1:11" ht="15" customHeight="1" x14ac:dyDescent="0.3">
      <c r="A176" s="31">
        <v>171</v>
      </c>
      <c r="B176" s="32" t="s">
        <v>336</v>
      </c>
      <c r="C176" s="32" t="s">
        <v>452</v>
      </c>
      <c r="D176" s="32" t="s">
        <v>453</v>
      </c>
      <c r="E176" s="32" t="s">
        <v>454</v>
      </c>
      <c r="F176" s="32" t="s">
        <v>276</v>
      </c>
      <c r="G176" s="33">
        <v>1027</v>
      </c>
      <c r="H176" s="34">
        <v>1.296</v>
      </c>
      <c r="I176" s="31">
        <v>118260</v>
      </c>
      <c r="J176" s="35" t="s">
        <v>126</v>
      </c>
      <c r="K176" s="36">
        <v>2020</v>
      </c>
    </row>
    <row r="177" spans="1:11" ht="15" customHeight="1" x14ac:dyDescent="0.3">
      <c r="A177" s="37">
        <v>172</v>
      </c>
      <c r="B177" s="38" t="s">
        <v>336</v>
      </c>
      <c r="C177" s="38" t="s">
        <v>455</v>
      </c>
      <c r="D177" s="38" t="s">
        <v>456</v>
      </c>
      <c r="E177" s="38" t="s">
        <v>457</v>
      </c>
      <c r="F177" s="38" t="s">
        <v>276</v>
      </c>
      <c r="G177" s="39">
        <v>115</v>
      </c>
      <c r="H177" s="40">
        <v>0.57599999999999996</v>
      </c>
      <c r="I177" s="37">
        <v>108000</v>
      </c>
      <c r="J177" s="41" t="s">
        <v>126</v>
      </c>
      <c r="K177" s="42">
        <v>2020</v>
      </c>
    </row>
    <row r="178" spans="1:11" ht="15" customHeight="1" x14ac:dyDescent="0.3">
      <c r="A178" s="31">
        <v>173</v>
      </c>
      <c r="B178" s="32" t="s">
        <v>336</v>
      </c>
      <c r="C178" s="32" t="s">
        <v>458</v>
      </c>
      <c r="D178" s="32" t="s">
        <v>459</v>
      </c>
      <c r="E178" s="32" t="s">
        <v>37</v>
      </c>
      <c r="F178" s="32" t="s">
        <v>276</v>
      </c>
      <c r="G178" s="33">
        <v>840</v>
      </c>
      <c r="H178" s="34">
        <v>1.373</v>
      </c>
      <c r="I178" s="31">
        <v>118260</v>
      </c>
      <c r="J178" s="35" t="s">
        <v>126</v>
      </c>
      <c r="K178" s="36">
        <v>2020</v>
      </c>
    </row>
    <row r="179" spans="1:11" ht="15" customHeight="1" x14ac:dyDescent="0.3">
      <c r="A179" s="37">
        <v>174</v>
      </c>
      <c r="B179" s="38" t="s">
        <v>336</v>
      </c>
      <c r="C179" s="38" t="s">
        <v>460</v>
      </c>
      <c r="D179" s="38" t="s">
        <v>461</v>
      </c>
      <c r="E179" s="38" t="s">
        <v>43</v>
      </c>
      <c r="F179" s="38" t="s">
        <v>406</v>
      </c>
      <c r="G179" s="39">
        <v>500</v>
      </c>
      <c r="H179" s="40">
        <v>1.165</v>
      </c>
      <c r="I179" s="37">
        <v>118260</v>
      </c>
      <c r="J179" s="41" t="s">
        <v>126</v>
      </c>
      <c r="K179" s="42">
        <v>2020</v>
      </c>
    </row>
    <row r="180" spans="1:11" ht="15" customHeight="1" x14ac:dyDescent="0.3">
      <c r="A180" s="31">
        <v>175</v>
      </c>
      <c r="B180" s="32" t="s">
        <v>360</v>
      </c>
      <c r="C180" s="32" t="s">
        <v>462</v>
      </c>
      <c r="D180" s="32" t="s">
        <v>463</v>
      </c>
      <c r="E180" s="32" t="s">
        <v>464</v>
      </c>
      <c r="F180" s="32" t="s">
        <v>276</v>
      </c>
      <c r="G180" s="33">
        <v>70</v>
      </c>
      <c r="H180" s="34">
        <v>2</v>
      </c>
      <c r="I180" s="31">
        <v>144260</v>
      </c>
      <c r="J180" s="35" t="s">
        <v>126</v>
      </c>
      <c r="K180" s="36">
        <v>2020</v>
      </c>
    </row>
    <row r="181" spans="1:11" ht="15" customHeight="1" x14ac:dyDescent="0.3">
      <c r="A181" s="37">
        <v>176</v>
      </c>
      <c r="B181" s="38" t="s">
        <v>360</v>
      </c>
      <c r="C181" s="38" t="s">
        <v>465</v>
      </c>
      <c r="D181" s="38" t="s">
        <v>424</v>
      </c>
      <c r="E181" s="38" t="s">
        <v>215</v>
      </c>
      <c r="F181" s="38" t="s">
        <v>316</v>
      </c>
      <c r="G181" s="39">
        <v>1067</v>
      </c>
      <c r="H181" s="40">
        <v>3</v>
      </c>
      <c r="I181" s="37">
        <v>162000</v>
      </c>
      <c r="J181" s="41" t="s">
        <v>126</v>
      </c>
      <c r="K181" s="42">
        <v>2020</v>
      </c>
    </row>
    <row r="182" spans="1:11" ht="15" customHeight="1" x14ac:dyDescent="0.3">
      <c r="A182" s="31">
        <v>177</v>
      </c>
      <c r="B182" s="32" t="s">
        <v>360</v>
      </c>
      <c r="C182" s="32" t="s">
        <v>466</v>
      </c>
      <c r="D182" s="32" t="s">
        <v>467</v>
      </c>
      <c r="E182" s="32" t="s">
        <v>35</v>
      </c>
      <c r="F182" s="32" t="s">
        <v>406</v>
      </c>
      <c r="G182" s="33">
        <v>452</v>
      </c>
      <c r="H182" s="34">
        <v>0.48899999999999999</v>
      </c>
      <c r="I182" s="31">
        <v>118260</v>
      </c>
      <c r="J182" s="35" t="s">
        <v>126</v>
      </c>
      <c r="K182" s="36">
        <v>2020</v>
      </c>
    </row>
    <row r="183" spans="1:11" ht="15" customHeight="1" x14ac:dyDescent="0.3">
      <c r="A183" s="37">
        <v>178</v>
      </c>
      <c r="B183" s="38" t="s">
        <v>360</v>
      </c>
      <c r="C183" s="38" t="s">
        <v>468</v>
      </c>
      <c r="D183" s="38" t="s">
        <v>401</v>
      </c>
      <c r="E183" s="38" t="s">
        <v>55</v>
      </c>
      <c r="F183" s="38" t="s">
        <v>287</v>
      </c>
      <c r="G183" s="39">
        <v>2234</v>
      </c>
      <c r="H183" s="40">
        <v>4</v>
      </c>
      <c r="I183" s="37">
        <v>190000</v>
      </c>
      <c r="J183" s="41" t="s">
        <v>126</v>
      </c>
      <c r="K183" s="42">
        <v>2020</v>
      </c>
    </row>
    <row r="184" spans="1:11" ht="15" customHeight="1" x14ac:dyDescent="0.3">
      <c r="A184" s="31">
        <v>179</v>
      </c>
      <c r="B184" s="32" t="s">
        <v>360</v>
      </c>
      <c r="C184" s="32" t="s">
        <v>469</v>
      </c>
      <c r="D184" s="32" t="s">
        <v>470</v>
      </c>
      <c r="E184" s="32" t="s">
        <v>471</v>
      </c>
      <c r="F184" s="32" t="s">
        <v>373</v>
      </c>
      <c r="G184" s="33">
        <v>4680</v>
      </c>
      <c r="H184" s="34">
        <v>10</v>
      </c>
      <c r="I184" s="31">
        <v>358260</v>
      </c>
      <c r="J184" s="35" t="s">
        <v>126</v>
      </c>
      <c r="K184" s="36">
        <v>2020</v>
      </c>
    </row>
    <row r="185" spans="1:11" ht="15" customHeight="1" x14ac:dyDescent="0.3">
      <c r="A185" s="37">
        <v>180</v>
      </c>
      <c r="B185" s="38" t="s">
        <v>360</v>
      </c>
      <c r="C185" s="38" t="s">
        <v>472</v>
      </c>
      <c r="D185" s="38" t="s">
        <v>473</v>
      </c>
      <c r="E185" s="38" t="s">
        <v>474</v>
      </c>
      <c r="F185" s="38" t="s">
        <v>287</v>
      </c>
      <c r="G185" s="39">
        <v>1316</v>
      </c>
      <c r="H185" s="40">
        <v>5</v>
      </c>
      <c r="I185" s="37">
        <v>218000</v>
      </c>
      <c r="J185" s="41" t="s">
        <v>126</v>
      </c>
      <c r="K185" s="42">
        <v>2020</v>
      </c>
    </row>
    <row r="186" spans="1:11" ht="15" customHeight="1" x14ac:dyDescent="0.3">
      <c r="A186" s="31">
        <v>181</v>
      </c>
      <c r="B186" s="32" t="s">
        <v>360</v>
      </c>
      <c r="C186" s="32" t="s">
        <v>475</v>
      </c>
      <c r="D186" s="32" t="s">
        <v>476</v>
      </c>
      <c r="E186" s="32" t="s">
        <v>477</v>
      </c>
      <c r="F186" s="32" t="s">
        <v>373</v>
      </c>
      <c r="G186" s="33">
        <v>930</v>
      </c>
      <c r="H186" s="34">
        <v>2</v>
      </c>
      <c r="I186" s="31">
        <v>144260</v>
      </c>
      <c r="J186" s="35" t="s">
        <v>126</v>
      </c>
      <c r="K186" s="36">
        <v>2020</v>
      </c>
    </row>
    <row r="187" spans="1:11" ht="15" customHeight="1" x14ac:dyDescent="0.3">
      <c r="A187" s="37">
        <v>182</v>
      </c>
      <c r="B187" s="38" t="s">
        <v>360</v>
      </c>
      <c r="C187" s="38" t="s">
        <v>478</v>
      </c>
      <c r="D187" s="38" t="s">
        <v>479</v>
      </c>
      <c r="E187" s="38" t="s">
        <v>480</v>
      </c>
      <c r="F187" s="38" t="s">
        <v>316</v>
      </c>
      <c r="G187" s="39">
        <v>300</v>
      </c>
      <c r="H187" s="40">
        <v>1.8</v>
      </c>
      <c r="I187" s="37">
        <v>118260</v>
      </c>
      <c r="J187" s="41" t="s">
        <v>126</v>
      </c>
      <c r="K187" s="42">
        <v>2020</v>
      </c>
    </row>
    <row r="188" spans="1:11" ht="15" customHeight="1" x14ac:dyDescent="0.3">
      <c r="A188" s="31">
        <v>183</v>
      </c>
      <c r="B188" s="32" t="s">
        <v>360</v>
      </c>
      <c r="C188" s="32" t="s">
        <v>481</v>
      </c>
      <c r="D188" s="32" t="s">
        <v>479</v>
      </c>
      <c r="E188" s="32" t="s">
        <v>482</v>
      </c>
      <c r="F188" s="32" t="s">
        <v>435</v>
      </c>
      <c r="G188" s="33">
        <v>713</v>
      </c>
      <c r="H188" s="34">
        <v>4</v>
      </c>
      <c r="I188" s="31">
        <v>200260</v>
      </c>
      <c r="J188" s="35" t="s">
        <v>126</v>
      </c>
      <c r="K188" s="36">
        <v>2020</v>
      </c>
    </row>
    <row r="189" spans="1:11" ht="15" customHeight="1" x14ac:dyDescent="0.3">
      <c r="A189" s="37">
        <v>184</v>
      </c>
      <c r="B189" s="38" t="s">
        <v>360</v>
      </c>
      <c r="C189" s="38" t="s">
        <v>483</v>
      </c>
      <c r="D189" s="38" t="s">
        <v>484</v>
      </c>
      <c r="E189" s="38" t="s">
        <v>485</v>
      </c>
      <c r="F189" s="38" t="s">
        <v>486</v>
      </c>
      <c r="G189" s="39">
        <v>152</v>
      </c>
      <c r="H189" s="40">
        <v>1.03</v>
      </c>
      <c r="I189" s="37">
        <v>108000</v>
      </c>
      <c r="J189" s="41" t="s">
        <v>126</v>
      </c>
      <c r="K189" s="42">
        <v>2020</v>
      </c>
    </row>
    <row r="190" spans="1:11" ht="15" customHeight="1" x14ac:dyDescent="0.3">
      <c r="A190" s="31">
        <v>185</v>
      </c>
      <c r="B190" s="32" t="s">
        <v>360</v>
      </c>
      <c r="C190" s="32" t="s">
        <v>487</v>
      </c>
      <c r="D190" s="32" t="s">
        <v>488</v>
      </c>
      <c r="E190" s="32" t="s">
        <v>489</v>
      </c>
      <c r="F190" s="32" t="s">
        <v>490</v>
      </c>
      <c r="G190" s="33">
        <v>3177.5</v>
      </c>
      <c r="H190" s="34">
        <v>12.802</v>
      </c>
      <c r="I190" s="31">
        <v>348000</v>
      </c>
      <c r="J190" s="35" t="s">
        <v>126</v>
      </c>
      <c r="K190" s="36">
        <v>2020</v>
      </c>
    </row>
    <row r="191" spans="1:11" ht="15" customHeight="1" x14ac:dyDescent="0.3">
      <c r="A191" s="37">
        <v>186</v>
      </c>
      <c r="B191" s="38" t="s">
        <v>407</v>
      </c>
      <c r="C191" s="38" t="s">
        <v>491</v>
      </c>
      <c r="D191" s="38" t="s">
        <v>492</v>
      </c>
      <c r="E191" s="38" t="s">
        <v>57</v>
      </c>
      <c r="F191" s="38" t="s">
        <v>493</v>
      </c>
      <c r="G191" s="39">
        <v>529</v>
      </c>
      <c r="H191" s="40">
        <v>4.1470000000000002</v>
      </c>
      <c r="I191" s="37">
        <v>190000</v>
      </c>
      <c r="J191" s="41" t="s">
        <v>126</v>
      </c>
      <c r="K191" s="42">
        <v>2020</v>
      </c>
    </row>
    <row r="192" spans="1:11" ht="15" customHeight="1" x14ac:dyDescent="0.3">
      <c r="A192" s="31">
        <v>187</v>
      </c>
      <c r="B192" s="32" t="s">
        <v>407</v>
      </c>
      <c r="C192" s="32" t="s">
        <v>494</v>
      </c>
      <c r="D192" s="32" t="s">
        <v>495</v>
      </c>
      <c r="E192" s="32" t="s">
        <v>496</v>
      </c>
      <c r="F192" s="32" t="s">
        <v>335</v>
      </c>
      <c r="G192" s="33">
        <v>2550</v>
      </c>
      <c r="H192" s="34">
        <v>3.5230000000000001</v>
      </c>
      <c r="I192" s="31">
        <v>200260</v>
      </c>
      <c r="J192" s="35" t="s">
        <v>126</v>
      </c>
      <c r="K192" s="36">
        <v>2020</v>
      </c>
    </row>
    <row r="193" spans="1:11" ht="15" customHeight="1" x14ac:dyDescent="0.3">
      <c r="A193" s="37">
        <v>188</v>
      </c>
      <c r="B193" s="38" t="s">
        <v>407</v>
      </c>
      <c r="C193" s="38" t="s">
        <v>497</v>
      </c>
      <c r="D193" s="38" t="s">
        <v>498</v>
      </c>
      <c r="E193" s="38" t="s">
        <v>499</v>
      </c>
      <c r="F193" s="38" t="s">
        <v>276</v>
      </c>
      <c r="G193" s="39">
        <v>85</v>
      </c>
      <c r="H193" s="40">
        <v>0.80600000000000005</v>
      </c>
      <c r="I193" s="37">
        <v>118260</v>
      </c>
      <c r="J193" s="41" t="s">
        <v>126</v>
      </c>
      <c r="K193" s="42">
        <v>2020</v>
      </c>
    </row>
    <row r="194" spans="1:11" ht="15" customHeight="1" x14ac:dyDescent="0.3">
      <c r="A194" s="31">
        <v>189</v>
      </c>
      <c r="B194" s="32" t="s">
        <v>407</v>
      </c>
      <c r="C194" s="32" t="s">
        <v>500</v>
      </c>
      <c r="D194" s="32" t="s">
        <v>501</v>
      </c>
      <c r="E194" s="32" t="s">
        <v>502</v>
      </c>
      <c r="F194" s="32" t="s">
        <v>503</v>
      </c>
      <c r="G194" s="33">
        <v>380</v>
      </c>
      <c r="H194" s="34">
        <v>1.7989999999999999</v>
      </c>
      <c r="I194" s="31">
        <v>144260</v>
      </c>
      <c r="J194" s="35" t="s">
        <v>126</v>
      </c>
      <c r="K194" s="36">
        <v>2020</v>
      </c>
    </row>
    <row r="195" spans="1:11" ht="15" customHeight="1" x14ac:dyDescent="0.3">
      <c r="A195" s="37">
        <v>190</v>
      </c>
      <c r="B195" s="38" t="s">
        <v>407</v>
      </c>
      <c r="C195" s="38" t="s">
        <v>504</v>
      </c>
      <c r="D195" s="38" t="s">
        <v>505</v>
      </c>
      <c r="E195" s="38" t="s">
        <v>43</v>
      </c>
      <c r="F195" s="38" t="s">
        <v>312</v>
      </c>
      <c r="G195" s="39">
        <v>496</v>
      </c>
      <c r="H195" s="40">
        <v>0.88900000000000001</v>
      </c>
      <c r="I195" s="37">
        <v>118260</v>
      </c>
      <c r="J195" s="41" t="s">
        <v>126</v>
      </c>
      <c r="K195" s="42">
        <v>2020</v>
      </c>
    </row>
    <row r="196" spans="1:11" ht="15" customHeight="1" x14ac:dyDescent="0.3">
      <c r="A196" s="31">
        <v>191</v>
      </c>
      <c r="B196" s="32" t="s">
        <v>407</v>
      </c>
      <c r="C196" s="32" t="s">
        <v>506</v>
      </c>
      <c r="D196" s="32" t="s">
        <v>507</v>
      </c>
      <c r="E196" s="32" t="s">
        <v>49</v>
      </c>
      <c r="F196" s="32" t="s">
        <v>276</v>
      </c>
      <c r="G196" s="33">
        <v>1168</v>
      </c>
      <c r="H196" s="34">
        <v>0.64900000000000002</v>
      </c>
      <c r="I196" s="31">
        <v>118260</v>
      </c>
      <c r="J196" s="35" t="s">
        <v>126</v>
      </c>
      <c r="K196" s="36">
        <v>2020</v>
      </c>
    </row>
    <row r="197" spans="1:11" ht="15" customHeight="1" x14ac:dyDescent="0.3">
      <c r="A197" s="37">
        <v>192</v>
      </c>
      <c r="B197" s="38" t="s">
        <v>407</v>
      </c>
      <c r="C197" s="38" t="s">
        <v>508</v>
      </c>
      <c r="D197" s="38" t="s">
        <v>509</v>
      </c>
      <c r="E197" s="38" t="s">
        <v>510</v>
      </c>
      <c r="F197" s="38" t="s">
        <v>316</v>
      </c>
      <c r="G197" s="39">
        <v>472.18</v>
      </c>
      <c r="H197" s="40">
        <v>1.73</v>
      </c>
      <c r="I197" s="37">
        <v>144260</v>
      </c>
      <c r="J197" s="41" t="s">
        <v>126</v>
      </c>
      <c r="K197" s="42">
        <v>2020</v>
      </c>
    </row>
    <row r="198" spans="1:11" ht="15" customHeight="1" x14ac:dyDescent="0.3">
      <c r="A198" s="31">
        <v>193</v>
      </c>
      <c r="B198" s="32" t="s">
        <v>407</v>
      </c>
      <c r="C198" s="32" t="s">
        <v>511</v>
      </c>
      <c r="D198" s="32" t="s">
        <v>512</v>
      </c>
      <c r="E198" s="32" t="s">
        <v>37</v>
      </c>
      <c r="F198" s="32" t="s">
        <v>312</v>
      </c>
      <c r="G198" s="33">
        <v>4100</v>
      </c>
      <c r="H198" s="34">
        <v>8</v>
      </c>
      <c r="I198" s="31">
        <v>304260</v>
      </c>
      <c r="J198" s="35" t="s">
        <v>126</v>
      </c>
      <c r="K198" s="36">
        <v>2020</v>
      </c>
    </row>
    <row r="199" spans="1:11" ht="15" customHeight="1" x14ac:dyDescent="0.3">
      <c r="A199" s="37">
        <v>194</v>
      </c>
      <c r="B199" s="38" t="s">
        <v>336</v>
      </c>
      <c r="C199" s="38" t="s">
        <v>513</v>
      </c>
      <c r="D199" s="38" t="s">
        <v>514</v>
      </c>
      <c r="E199" s="38" t="s">
        <v>515</v>
      </c>
      <c r="F199" s="38" t="s">
        <v>312</v>
      </c>
      <c r="G199" s="39">
        <v>220</v>
      </c>
      <c r="H199" s="40">
        <v>1.0529999999999999</v>
      </c>
      <c r="I199" s="37">
        <v>118260</v>
      </c>
      <c r="J199" s="41" t="s">
        <v>207</v>
      </c>
      <c r="K199" s="42">
        <v>2020</v>
      </c>
    </row>
    <row r="200" spans="1:11" ht="15" customHeight="1" x14ac:dyDescent="0.3">
      <c r="A200" s="31">
        <v>195</v>
      </c>
      <c r="B200" s="32" t="s">
        <v>336</v>
      </c>
      <c r="C200" s="32" t="s">
        <v>516</v>
      </c>
      <c r="D200" s="32" t="s">
        <v>371</v>
      </c>
      <c r="E200" s="32" t="s">
        <v>76</v>
      </c>
      <c r="F200" s="32" t="s">
        <v>517</v>
      </c>
      <c r="G200" s="33">
        <v>2124</v>
      </c>
      <c r="H200" s="34">
        <v>2.7610000000000001</v>
      </c>
      <c r="I200" s="31">
        <v>172260</v>
      </c>
      <c r="J200" s="35" t="s">
        <v>207</v>
      </c>
      <c r="K200" s="36">
        <v>2020</v>
      </c>
    </row>
    <row r="201" spans="1:11" ht="15" customHeight="1" x14ac:dyDescent="0.3">
      <c r="A201" s="37">
        <v>196</v>
      </c>
      <c r="B201" s="38" t="s">
        <v>336</v>
      </c>
      <c r="C201" s="38" t="s">
        <v>518</v>
      </c>
      <c r="D201" s="38" t="s">
        <v>325</v>
      </c>
      <c r="E201" s="38" t="s">
        <v>59</v>
      </c>
      <c r="F201" s="38" t="s">
        <v>519</v>
      </c>
      <c r="G201" s="39">
        <v>438.5</v>
      </c>
      <c r="H201" s="40">
        <v>3.8690000000000002</v>
      </c>
      <c r="I201" s="37">
        <v>200260</v>
      </c>
      <c r="J201" s="41" t="s">
        <v>207</v>
      </c>
      <c r="K201" s="42">
        <v>2020</v>
      </c>
    </row>
    <row r="202" spans="1:11" ht="15" customHeight="1" x14ac:dyDescent="0.3">
      <c r="A202" s="31">
        <v>197</v>
      </c>
      <c r="B202" s="32" t="s">
        <v>336</v>
      </c>
      <c r="C202" s="32" t="s">
        <v>518</v>
      </c>
      <c r="D202" s="32" t="s">
        <v>520</v>
      </c>
      <c r="E202" s="32" t="s">
        <v>59</v>
      </c>
      <c r="F202" s="32" t="s">
        <v>276</v>
      </c>
      <c r="G202" s="33">
        <v>762</v>
      </c>
      <c r="H202" s="34">
        <v>3.1360000000000001</v>
      </c>
      <c r="I202" s="31">
        <v>172260</v>
      </c>
      <c r="J202" s="35" t="s">
        <v>207</v>
      </c>
      <c r="K202" s="36">
        <v>2020</v>
      </c>
    </row>
    <row r="203" spans="1:11" ht="15" customHeight="1" x14ac:dyDescent="0.3">
      <c r="A203" s="37">
        <v>198</v>
      </c>
      <c r="B203" s="38" t="s">
        <v>336</v>
      </c>
      <c r="C203" s="38" t="s">
        <v>521</v>
      </c>
      <c r="D203" s="38" t="s">
        <v>522</v>
      </c>
      <c r="E203" s="38" t="s">
        <v>523</v>
      </c>
      <c r="F203" s="38" t="s">
        <v>316</v>
      </c>
      <c r="G203" s="39">
        <v>1000</v>
      </c>
      <c r="H203" s="40">
        <v>2</v>
      </c>
      <c r="I203" s="37">
        <v>134000</v>
      </c>
      <c r="J203" s="41" t="s">
        <v>207</v>
      </c>
      <c r="K203" s="42">
        <v>2020</v>
      </c>
    </row>
    <row r="204" spans="1:11" ht="15" customHeight="1" x14ac:dyDescent="0.3">
      <c r="A204" s="31">
        <v>199</v>
      </c>
      <c r="B204" s="32" t="s">
        <v>336</v>
      </c>
      <c r="C204" s="32" t="s">
        <v>524</v>
      </c>
      <c r="D204" s="32" t="s">
        <v>522</v>
      </c>
      <c r="E204" s="32" t="s">
        <v>523</v>
      </c>
      <c r="F204" s="32" t="s">
        <v>312</v>
      </c>
      <c r="G204" s="33">
        <v>260</v>
      </c>
      <c r="H204" s="34">
        <v>0.56999999999999995</v>
      </c>
      <c r="I204" s="31">
        <v>108000</v>
      </c>
      <c r="J204" s="35" t="s">
        <v>207</v>
      </c>
      <c r="K204" s="36">
        <v>2020</v>
      </c>
    </row>
    <row r="205" spans="1:11" ht="15" customHeight="1" x14ac:dyDescent="0.3">
      <c r="A205" s="37">
        <v>200</v>
      </c>
      <c r="B205" s="38" t="s">
        <v>336</v>
      </c>
      <c r="C205" s="38" t="s">
        <v>525</v>
      </c>
      <c r="D205" s="38" t="s">
        <v>526</v>
      </c>
      <c r="E205" s="38" t="s">
        <v>49</v>
      </c>
      <c r="F205" s="38" t="s">
        <v>276</v>
      </c>
      <c r="G205" s="39">
        <v>775</v>
      </c>
      <c r="H205" s="40">
        <v>0.56200000000000006</v>
      </c>
      <c r="I205" s="37">
        <v>108000</v>
      </c>
      <c r="J205" s="41" t="s">
        <v>207</v>
      </c>
      <c r="K205" s="42">
        <v>2020</v>
      </c>
    </row>
    <row r="206" spans="1:11" ht="15" customHeight="1" x14ac:dyDescent="0.3">
      <c r="A206" s="31">
        <v>201</v>
      </c>
      <c r="B206" s="32" t="s">
        <v>336</v>
      </c>
      <c r="C206" s="32" t="s">
        <v>527</v>
      </c>
      <c r="D206" s="32" t="s">
        <v>528</v>
      </c>
      <c r="E206" s="32" t="s">
        <v>529</v>
      </c>
      <c r="F206" s="32" t="s">
        <v>276</v>
      </c>
      <c r="G206" s="33">
        <v>792</v>
      </c>
      <c r="H206" s="34">
        <v>1.4590000000000001</v>
      </c>
      <c r="I206" s="31">
        <v>118260</v>
      </c>
      <c r="J206" s="35" t="s">
        <v>207</v>
      </c>
      <c r="K206" s="36">
        <v>2020</v>
      </c>
    </row>
    <row r="207" spans="1:11" ht="15" customHeight="1" x14ac:dyDescent="0.3">
      <c r="A207" s="37">
        <v>202</v>
      </c>
      <c r="B207" s="38" t="s">
        <v>336</v>
      </c>
      <c r="C207" s="38" t="s">
        <v>530</v>
      </c>
      <c r="D207" s="38" t="s">
        <v>531</v>
      </c>
      <c r="E207" s="38" t="s">
        <v>532</v>
      </c>
      <c r="F207" s="38" t="s">
        <v>533</v>
      </c>
      <c r="G207" s="39">
        <v>6650</v>
      </c>
      <c r="H207" s="40">
        <v>6.4130000000000003</v>
      </c>
      <c r="I207" s="37">
        <v>284260</v>
      </c>
      <c r="J207" s="41" t="s">
        <v>207</v>
      </c>
      <c r="K207" s="42">
        <v>2020</v>
      </c>
    </row>
    <row r="208" spans="1:11" ht="15" customHeight="1" x14ac:dyDescent="0.3">
      <c r="A208" s="31">
        <v>203</v>
      </c>
      <c r="B208" s="32" t="s">
        <v>336</v>
      </c>
      <c r="C208" s="32" t="s">
        <v>534</v>
      </c>
      <c r="D208" s="32" t="s">
        <v>535</v>
      </c>
      <c r="E208" s="32" t="s">
        <v>536</v>
      </c>
      <c r="F208" s="32" t="s">
        <v>406</v>
      </c>
      <c r="G208" s="33">
        <v>1490.8</v>
      </c>
      <c r="H208" s="34">
        <v>1.5580000000000001</v>
      </c>
      <c r="I208" s="31">
        <v>134000</v>
      </c>
      <c r="J208" s="35" t="s">
        <v>207</v>
      </c>
      <c r="K208" s="36">
        <v>2020</v>
      </c>
    </row>
    <row r="209" spans="1:11" ht="15" customHeight="1" x14ac:dyDescent="0.3">
      <c r="A209" s="37">
        <v>204</v>
      </c>
      <c r="B209" s="38" t="s">
        <v>360</v>
      </c>
      <c r="C209" s="38" t="s">
        <v>537</v>
      </c>
      <c r="D209" s="38" t="s">
        <v>538</v>
      </c>
      <c r="E209" s="38" t="s">
        <v>37</v>
      </c>
      <c r="F209" s="38" t="s">
        <v>386</v>
      </c>
      <c r="G209" s="39">
        <v>3820</v>
      </c>
      <c r="H209" s="40">
        <v>1.56</v>
      </c>
      <c r="I209" s="37">
        <v>200260</v>
      </c>
      <c r="J209" s="41" t="s">
        <v>207</v>
      </c>
      <c r="K209" s="42">
        <v>2020</v>
      </c>
    </row>
    <row r="210" spans="1:11" ht="15" customHeight="1" x14ac:dyDescent="0.3">
      <c r="A210" s="31">
        <v>205</v>
      </c>
      <c r="B210" s="32" t="s">
        <v>360</v>
      </c>
      <c r="C210" s="32" t="s">
        <v>539</v>
      </c>
      <c r="D210" s="32" t="s">
        <v>540</v>
      </c>
      <c r="E210" s="32" t="s">
        <v>541</v>
      </c>
      <c r="F210" s="32" t="s">
        <v>435</v>
      </c>
      <c r="G210" s="33">
        <v>1404</v>
      </c>
      <c r="H210" s="34">
        <v>4</v>
      </c>
      <c r="I210" s="31">
        <v>219260</v>
      </c>
      <c r="J210" s="35" t="s">
        <v>207</v>
      </c>
      <c r="K210" s="36">
        <v>2020</v>
      </c>
    </row>
    <row r="211" spans="1:11" ht="15" customHeight="1" x14ac:dyDescent="0.3">
      <c r="A211" s="37">
        <v>206</v>
      </c>
      <c r="B211" s="38" t="s">
        <v>360</v>
      </c>
      <c r="C211" s="38" t="s">
        <v>542</v>
      </c>
      <c r="D211" s="38" t="s">
        <v>543</v>
      </c>
      <c r="E211" s="38" t="s">
        <v>544</v>
      </c>
      <c r="F211" s="38" t="s">
        <v>276</v>
      </c>
      <c r="G211" s="39">
        <v>450</v>
      </c>
      <c r="H211" s="40">
        <v>2</v>
      </c>
      <c r="I211" s="37">
        <v>144260</v>
      </c>
      <c r="J211" s="41" t="s">
        <v>207</v>
      </c>
      <c r="K211" s="42">
        <v>2020</v>
      </c>
    </row>
    <row r="212" spans="1:11" ht="15" customHeight="1" x14ac:dyDescent="0.3">
      <c r="A212" s="31">
        <v>207</v>
      </c>
      <c r="B212" s="32" t="s">
        <v>360</v>
      </c>
      <c r="C212" s="32" t="s">
        <v>545</v>
      </c>
      <c r="D212" s="32" t="s">
        <v>369</v>
      </c>
      <c r="E212" s="32" t="s">
        <v>37</v>
      </c>
      <c r="F212" s="32" t="s">
        <v>276</v>
      </c>
      <c r="G212" s="33">
        <v>200</v>
      </c>
      <c r="H212" s="34">
        <v>0.86399999999999999</v>
      </c>
      <c r="I212" s="31">
        <v>118260</v>
      </c>
      <c r="J212" s="35" t="s">
        <v>207</v>
      </c>
      <c r="K212" s="36">
        <v>2020</v>
      </c>
    </row>
    <row r="213" spans="1:11" ht="15" customHeight="1" x14ac:dyDescent="0.3">
      <c r="A213" s="37">
        <v>208</v>
      </c>
      <c r="B213" s="38" t="s">
        <v>360</v>
      </c>
      <c r="C213" s="38" t="s">
        <v>546</v>
      </c>
      <c r="D213" s="38" t="s">
        <v>547</v>
      </c>
      <c r="E213" s="38" t="s">
        <v>548</v>
      </c>
      <c r="F213" s="38" t="s">
        <v>373</v>
      </c>
      <c r="G213" s="39">
        <v>203</v>
      </c>
      <c r="H213" s="40">
        <v>0.81499999999999995</v>
      </c>
      <c r="I213" s="37">
        <v>108000</v>
      </c>
      <c r="J213" s="41" t="s">
        <v>207</v>
      </c>
      <c r="K213" s="42">
        <v>2020</v>
      </c>
    </row>
    <row r="214" spans="1:11" ht="15" customHeight="1" x14ac:dyDescent="0.3">
      <c r="A214" s="31">
        <v>209</v>
      </c>
      <c r="B214" s="32" t="s">
        <v>360</v>
      </c>
      <c r="C214" s="32" t="s">
        <v>549</v>
      </c>
      <c r="D214" s="32" t="s">
        <v>550</v>
      </c>
      <c r="E214" s="32" t="s">
        <v>551</v>
      </c>
      <c r="F214" s="32" t="s">
        <v>312</v>
      </c>
      <c r="G214" s="33">
        <v>190</v>
      </c>
      <c r="H214" s="34">
        <v>0.17199999999999999</v>
      </c>
      <c r="I214" s="31">
        <v>108000</v>
      </c>
      <c r="J214" s="35" t="s">
        <v>207</v>
      </c>
      <c r="K214" s="36">
        <v>2020</v>
      </c>
    </row>
    <row r="215" spans="1:11" ht="15" customHeight="1" x14ac:dyDescent="0.3">
      <c r="A215" s="37">
        <v>210</v>
      </c>
      <c r="B215" s="38" t="s">
        <v>360</v>
      </c>
      <c r="C215" s="38" t="s">
        <v>552</v>
      </c>
      <c r="D215" s="38" t="s">
        <v>371</v>
      </c>
      <c r="E215" s="38" t="s">
        <v>553</v>
      </c>
      <c r="F215" s="38" t="s">
        <v>316</v>
      </c>
      <c r="G215" s="39">
        <v>1408</v>
      </c>
      <c r="H215" s="40">
        <v>3</v>
      </c>
      <c r="I215" s="37">
        <v>162000</v>
      </c>
      <c r="J215" s="41" t="s">
        <v>207</v>
      </c>
      <c r="K215" s="42">
        <v>2020</v>
      </c>
    </row>
    <row r="216" spans="1:11" ht="15" customHeight="1" x14ac:dyDescent="0.3">
      <c r="A216" s="31">
        <v>211</v>
      </c>
      <c r="B216" s="32" t="s">
        <v>360</v>
      </c>
      <c r="C216" s="32" t="s">
        <v>554</v>
      </c>
      <c r="D216" s="32" t="s">
        <v>555</v>
      </c>
      <c r="E216" s="32" t="s">
        <v>556</v>
      </c>
      <c r="F216" s="32" t="s">
        <v>287</v>
      </c>
      <c r="G216" s="33">
        <v>771.5</v>
      </c>
      <c r="H216" s="34">
        <v>4</v>
      </c>
      <c r="I216" s="31">
        <v>200260</v>
      </c>
      <c r="J216" s="35" t="s">
        <v>207</v>
      </c>
      <c r="K216" s="36">
        <v>2020</v>
      </c>
    </row>
    <row r="217" spans="1:11" ht="15" customHeight="1" x14ac:dyDescent="0.3">
      <c r="A217" s="37">
        <v>212</v>
      </c>
      <c r="B217" s="38" t="s">
        <v>360</v>
      </c>
      <c r="C217" s="38" t="s">
        <v>557</v>
      </c>
      <c r="D217" s="38" t="s">
        <v>558</v>
      </c>
      <c r="E217" s="38" t="s">
        <v>559</v>
      </c>
      <c r="F217" s="38" t="s">
        <v>316</v>
      </c>
      <c r="G217" s="39">
        <v>1275</v>
      </c>
      <c r="H217" s="40">
        <v>3</v>
      </c>
      <c r="I217" s="37">
        <v>162000</v>
      </c>
      <c r="J217" s="41" t="s">
        <v>207</v>
      </c>
      <c r="K217" s="42">
        <v>2020</v>
      </c>
    </row>
    <row r="218" spans="1:11" ht="15" customHeight="1" x14ac:dyDescent="0.3">
      <c r="A218" s="31">
        <v>213</v>
      </c>
      <c r="B218" s="32" t="s">
        <v>360</v>
      </c>
      <c r="C218" s="32" t="s">
        <v>560</v>
      </c>
      <c r="D218" s="32" t="s">
        <v>561</v>
      </c>
      <c r="E218" s="32" t="s">
        <v>562</v>
      </c>
      <c r="F218" s="32" t="s">
        <v>312</v>
      </c>
      <c r="G218" s="33">
        <v>105</v>
      </c>
      <c r="H218" s="34">
        <v>1.04</v>
      </c>
      <c r="I218" s="31">
        <v>108000</v>
      </c>
      <c r="J218" s="35" t="s">
        <v>207</v>
      </c>
      <c r="K218" s="36">
        <v>2020</v>
      </c>
    </row>
    <row r="219" spans="1:11" ht="15" customHeight="1" x14ac:dyDescent="0.3">
      <c r="A219" s="37">
        <v>214</v>
      </c>
      <c r="B219" s="38" t="s">
        <v>360</v>
      </c>
      <c r="C219" s="38" t="s">
        <v>563</v>
      </c>
      <c r="D219" s="38" t="s">
        <v>564</v>
      </c>
      <c r="E219" s="38" t="s">
        <v>565</v>
      </c>
      <c r="F219" s="38" t="s">
        <v>287</v>
      </c>
      <c r="G219" s="39">
        <v>465.2</v>
      </c>
      <c r="H219" s="40">
        <v>5</v>
      </c>
      <c r="I219" s="37">
        <v>228260</v>
      </c>
      <c r="J219" s="41" t="s">
        <v>207</v>
      </c>
      <c r="K219" s="42">
        <v>2020</v>
      </c>
    </row>
    <row r="220" spans="1:11" ht="15" customHeight="1" x14ac:dyDescent="0.3">
      <c r="A220" s="31">
        <v>215</v>
      </c>
      <c r="B220" s="32" t="s">
        <v>360</v>
      </c>
      <c r="C220" s="32" t="s">
        <v>566</v>
      </c>
      <c r="D220" s="32" t="s">
        <v>567</v>
      </c>
      <c r="E220" s="32" t="s">
        <v>568</v>
      </c>
      <c r="F220" s="32" t="s">
        <v>569</v>
      </c>
      <c r="G220" s="33">
        <v>350</v>
      </c>
      <c r="H220" s="34">
        <v>2</v>
      </c>
      <c r="I220" s="31">
        <v>144260</v>
      </c>
      <c r="J220" s="35" t="s">
        <v>207</v>
      </c>
      <c r="K220" s="36">
        <v>2020</v>
      </c>
    </row>
    <row r="221" spans="1:11" ht="15" customHeight="1" x14ac:dyDescent="0.3">
      <c r="A221" s="37">
        <v>216</v>
      </c>
      <c r="B221" s="38" t="s">
        <v>360</v>
      </c>
      <c r="C221" s="38" t="s">
        <v>570</v>
      </c>
      <c r="D221" s="38" t="s">
        <v>571</v>
      </c>
      <c r="E221" s="38" t="s">
        <v>35</v>
      </c>
      <c r="F221" s="38" t="s">
        <v>316</v>
      </c>
      <c r="G221" s="39">
        <v>5550</v>
      </c>
      <c r="H221" s="40">
        <v>6</v>
      </c>
      <c r="I221" s="37">
        <v>256260</v>
      </c>
      <c r="J221" s="41" t="s">
        <v>207</v>
      </c>
      <c r="K221" s="42">
        <v>2020</v>
      </c>
    </row>
    <row r="222" spans="1:11" ht="15" customHeight="1" x14ac:dyDescent="0.3">
      <c r="A222" s="31">
        <v>217</v>
      </c>
      <c r="B222" s="32" t="s">
        <v>360</v>
      </c>
      <c r="C222" s="32" t="s">
        <v>572</v>
      </c>
      <c r="D222" s="32" t="s">
        <v>573</v>
      </c>
      <c r="E222" s="32" t="s">
        <v>574</v>
      </c>
      <c r="F222" s="32" t="s">
        <v>517</v>
      </c>
      <c r="G222" s="33">
        <v>5852</v>
      </c>
      <c r="H222" s="34">
        <v>10</v>
      </c>
      <c r="I222" s="31">
        <v>348000</v>
      </c>
      <c r="J222" s="35" t="s">
        <v>207</v>
      </c>
      <c r="K222" s="36">
        <v>2020</v>
      </c>
    </row>
    <row r="223" spans="1:11" ht="15" customHeight="1" x14ac:dyDescent="0.3">
      <c r="A223" s="37">
        <v>218</v>
      </c>
      <c r="B223" s="38" t="s">
        <v>360</v>
      </c>
      <c r="C223" s="38" t="s">
        <v>575</v>
      </c>
      <c r="D223" s="38" t="s">
        <v>576</v>
      </c>
      <c r="E223" s="38" t="s">
        <v>577</v>
      </c>
      <c r="F223" s="38" t="s">
        <v>316</v>
      </c>
      <c r="G223" s="39">
        <v>1288.3</v>
      </c>
      <c r="H223" s="40">
        <v>2</v>
      </c>
      <c r="I223" s="37">
        <v>144260</v>
      </c>
      <c r="J223" s="41" t="s">
        <v>207</v>
      </c>
      <c r="K223" s="42">
        <v>2020</v>
      </c>
    </row>
    <row r="224" spans="1:11" ht="15" customHeight="1" x14ac:dyDescent="0.3">
      <c r="A224" s="31">
        <v>219</v>
      </c>
      <c r="B224" s="32" t="s">
        <v>360</v>
      </c>
      <c r="C224" s="32" t="s">
        <v>578</v>
      </c>
      <c r="D224" s="32" t="s">
        <v>579</v>
      </c>
      <c r="E224" s="32" t="s">
        <v>580</v>
      </c>
      <c r="F224" s="32" t="s">
        <v>435</v>
      </c>
      <c r="G224" s="33">
        <v>453</v>
      </c>
      <c r="H224" s="34">
        <v>0.85</v>
      </c>
      <c r="I224" s="31">
        <v>137260</v>
      </c>
      <c r="J224" s="35" t="s">
        <v>207</v>
      </c>
      <c r="K224" s="36">
        <v>2020</v>
      </c>
    </row>
    <row r="225" spans="1:11" ht="15" customHeight="1" x14ac:dyDescent="0.3">
      <c r="A225" s="37">
        <v>220</v>
      </c>
      <c r="B225" s="38" t="s">
        <v>407</v>
      </c>
      <c r="C225" s="38" t="s">
        <v>581</v>
      </c>
      <c r="D225" s="38" t="s">
        <v>369</v>
      </c>
      <c r="E225" s="38" t="s">
        <v>37</v>
      </c>
      <c r="F225" s="38" t="s">
        <v>287</v>
      </c>
      <c r="G225" s="39">
        <v>1312</v>
      </c>
      <c r="H225" s="40">
        <v>2.8319999999999999</v>
      </c>
      <c r="I225" s="37">
        <v>172260</v>
      </c>
      <c r="J225" s="41" t="s">
        <v>207</v>
      </c>
      <c r="K225" s="42">
        <v>2020</v>
      </c>
    </row>
    <row r="226" spans="1:11" ht="15" customHeight="1" x14ac:dyDescent="0.3">
      <c r="A226" s="31">
        <v>221</v>
      </c>
      <c r="B226" s="32" t="s">
        <v>407</v>
      </c>
      <c r="C226" s="32" t="s">
        <v>582</v>
      </c>
      <c r="D226" s="32" t="s">
        <v>583</v>
      </c>
      <c r="E226" s="32" t="s">
        <v>584</v>
      </c>
      <c r="F226" s="32" t="s">
        <v>585</v>
      </c>
      <c r="G226" s="33">
        <v>335.2</v>
      </c>
      <c r="H226" s="34">
        <v>1.1519999999999999</v>
      </c>
      <c r="I226" s="31">
        <v>118260</v>
      </c>
      <c r="J226" s="35" t="s">
        <v>207</v>
      </c>
      <c r="K226" s="36">
        <v>2020</v>
      </c>
    </row>
    <row r="227" spans="1:11" ht="15" customHeight="1" x14ac:dyDescent="0.3">
      <c r="A227" s="37">
        <v>222</v>
      </c>
      <c r="B227" s="38" t="s">
        <v>407</v>
      </c>
      <c r="C227" s="38" t="s">
        <v>586</v>
      </c>
      <c r="D227" s="38" t="s">
        <v>587</v>
      </c>
      <c r="E227" s="38" t="s">
        <v>35</v>
      </c>
      <c r="F227" s="38" t="s">
        <v>402</v>
      </c>
      <c r="G227" s="39">
        <v>5742</v>
      </c>
      <c r="H227" s="40">
        <v>15.701000000000001</v>
      </c>
      <c r="I227" s="37">
        <v>358260</v>
      </c>
      <c r="J227" s="41" t="s">
        <v>207</v>
      </c>
      <c r="K227" s="42">
        <v>2020</v>
      </c>
    </row>
    <row r="228" spans="1:11" ht="15" customHeight="1" x14ac:dyDescent="0.3">
      <c r="A228" s="31">
        <v>223</v>
      </c>
      <c r="B228" s="32" t="s">
        <v>407</v>
      </c>
      <c r="C228" s="32" t="s">
        <v>588</v>
      </c>
      <c r="D228" s="32" t="s">
        <v>371</v>
      </c>
      <c r="E228" s="32" t="s">
        <v>589</v>
      </c>
      <c r="F228" s="32" t="s">
        <v>316</v>
      </c>
      <c r="G228" s="33">
        <v>200</v>
      </c>
      <c r="H228" s="34">
        <v>2.0390000000000001</v>
      </c>
      <c r="I228" s="31">
        <v>144260</v>
      </c>
      <c r="J228" s="35" t="s">
        <v>207</v>
      </c>
      <c r="K228" s="36">
        <v>2020</v>
      </c>
    </row>
    <row r="229" spans="1:11" ht="15" customHeight="1" x14ac:dyDescent="0.3">
      <c r="A229" s="37">
        <v>224</v>
      </c>
      <c r="B229" s="38" t="s">
        <v>407</v>
      </c>
      <c r="C229" s="38" t="s">
        <v>590</v>
      </c>
      <c r="D229" s="38" t="s">
        <v>591</v>
      </c>
      <c r="E229" s="38" t="s">
        <v>592</v>
      </c>
      <c r="F229" s="38" t="s">
        <v>435</v>
      </c>
      <c r="G229" s="39">
        <v>1670</v>
      </c>
      <c r="H229" s="40">
        <v>5.2519999999999998</v>
      </c>
      <c r="I229" s="37">
        <v>228260</v>
      </c>
      <c r="J229" s="41" t="s">
        <v>207</v>
      </c>
      <c r="K229" s="42">
        <v>2020</v>
      </c>
    </row>
    <row r="230" spans="1:11" ht="15" customHeight="1" x14ac:dyDescent="0.3">
      <c r="A230" s="31">
        <v>225</v>
      </c>
      <c r="B230" s="32" t="s">
        <v>407</v>
      </c>
      <c r="C230" s="32" t="s">
        <v>593</v>
      </c>
      <c r="D230" s="32" t="s">
        <v>591</v>
      </c>
      <c r="E230" s="32" t="s">
        <v>592</v>
      </c>
      <c r="F230" s="32" t="s">
        <v>316</v>
      </c>
      <c r="G230" s="33">
        <v>813</v>
      </c>
      <c r="H230" s="34">
        <v>2.6589999999999998</v>
      </c>
      <c r="I230" s="31">
        <v>172260</v>
      </c>
      <c r="J230" s="35" t="s">
        <v>207</v>
      </c>
      <c r="K230" s="36">
        <v>2020</v>
      </c>
    </row>
    <row r="231" spans="1:11" ht="15" customHeight="1" x14ac:dyDescent="0.3">
      <c r="A231" s="37">
        <v>226</v>
      </c>
      <c r="B231" s="38" t="s">
        <v>407</v>
      </c>
      <c r="C231" s="38" t="s">
        <v>594</v>
      </c>
      <c r="D231" s="38" t="s">
        <v>242</v>
      </c>
      <c r="E231" s="38" t="s">
        <v>243</v>
      </c>
      <c r="F231" s="38" t="s">
        <v>435</v>
      </c>
      <c r="G231" s="39">
        <v>1036.5999999999999</v>
      </c>
      <c r="H231" s="40">
        <v>2.827</v>
      </c>
      <c r="I231" s="37">
        <v>162000</v>
      </c>
      <c r="J231" s="41" t="s">
        <v>207</v>
      </c>
      <c r="K231" s="42">
        <v>2020</v>
      </c>
    </row>
    <row r="232" spans="1:11" ht="15" customHeight="1" x14ac:dyDescent="0.3">
      <c r="A232" s="31">
        <v>227</v>
      </c>
      <c r="B232" s="32" t="s">
        <v>407</v>
      </c>
      <c r="C232" s="32" t="s">
        <v>595</v>
      </c>
      <c r="D232" s="32" t="s">
        <v>505</v>
      </c>
      <c r="E232" s="32" t="s">
        <v>592</v>
      </c>
      <c r="F232" s="32" t="s">
        <v>312</v>
      </c>
      <c r="G232" s="33">
        <v>933</v>
      </c>
      <c r="H232" s="34">
        <v>1.1819999999999999</v>
      </c>
      <c r="I232" s="31">
        <v>118260</v>
      </c>
      <c r="J232" s="35" t="s">
        <v>207</v>
      </c>
      <c r="K232" s="36">
        <v>2020</v>
      </c>
    </row>
    <row r="233" spans="1:11" ht="15" customHeight="1" x14ac:dyDescent="0.3">
      <c r="A233" s="37">
        <v>228</v>
      </c>
      <c r="B233" s="38" t="s">
        <v>407</v>
      </c>
      <c r="C233" s="38" t="s">
        <v>596</v>
      </c>
      <c r="D233" s="38" t="s">
        <v>597</v>
      </c>
      <c r="E233" s="38" t="s">
        <v>49</v>
      </c>
      <c r="F233" s="38" t="s">
        <v>598</v>
      </c>
      <c r="G233" s="39">
        <v>3283</v>
      </c>
      <c r="H233" s="40">
        <v>7.1529999999999996</v>
      </c>
      <c r="I233" s="37">
        <v>274000</v>
      </c>
      <c r="J233" s="41" t="s">
        <v>207</v>
      </c>
      <c r="K233" s="42">
        <v>2020</v>
      </c>
    </row>
    <row r="234" spans="1:11" ht="15" customHeight="1" x14ac:dyDescent="0.3">
      <c r="A234" s="31">
        <v>229</v>
      </c>
      <c r="B234" s="32" t="s">
        <v>407</v>
      </c>
      <c r="C234" s="32" t="s">
        <v>599</v>
      </c>
      <c r="D234" s="32" t="s">
        <v>600</v>
      </c>
      <c r="E234" s="32" t="s">
        <v>601</v>
      </c>
      <c r="F234" s="32" t="s">
        <v>312</v>
      </c>
      <c r="G234" s="33">
        <v>338</v>
      </c>
      <c r="H234" s="34">
        <v>1.95</v>
      </c>
      <c r="I234" s="31">
        <v>144260</v>
      </c>
      <c r="J234" s="35" t="s">
        <v>207</v>
      </c>
      <c r="K234" s="36">
        <v>2020</v>
      </c>
    </row>
    <row r="235" spans="1:11" ht="15" customHeight="1" x14ac:dyDescent="0.3">
      <c r="A235" s="37">
        <v>230</v>
      </c>
      <c r="B235" s="38" t="s">
        <v>407</v>
      </c>
      <c r="C235" s="38" t="s">
        <v>602</v>
      </c>
      <c r="D235" s="38" t="s">
        <v>484</v>
      </c>
      <c r="E235" s="38" t="s">
        <v>603</v>
      </c>
      <c r="F235" s="38" t="s">
        <v>306</v>
      </c>
      <c r="G235" s="39">
        <v>1090</v>
      </c>
      <c r="H235" s="40">
        <v>1.68</v>
      </c>
      <c r="I235" s="37">
        <v>134000</v>
      </c>
      <c r="J235" s="41" t="s">
        <v>207</v>
      </c>
      <c r="K235" s="42">
        <v>2020</v>
      </c>
    </row>
    <row r="236" spans="1:11" ht="15" customHeight="1" x14ac:dyDescent="0.3">
      <c r="A236" s="31">
        <v>231</v>
      </c>
      <c r="B236" s="32" t="s">
        <v>407</v>
      </c>
      <c r="C236" s="32" t="s">
        <v>604</v>
      </c>
      <c r="D236" s="32" t="s">
        <v>605</v>
      </c>
      <c r="E236" s="32" t="s">
        <v>592</v>
      </c>
      <c r="F236" s="32" t="s">
        <v>533</v>
      </c>
      <c r="G236" s="33">
        <v>7360</v>
      </c>
      <c r="H236" s="34">
        <v>8.6229999999999993</v>
      </c>
      <c r="I236" s="31">
        <v>331260</v>
      </c>
      <c r="J236" s="35" t="s">
        <v>207</v>
      </c>
      <c r="K236" s="36">
        <v>2020</v>
      </c>
    </row>
    <row r="237" spans="1:11" ht="15" customHeight="1" x14ac:dyDescent="0.3">
      <c r="A237" s="37">
        <v>232</v>
      </c>
      <c r="B237" s="38" t="s">
        <v>407</v>
      </c>
      <c r="C237" s="38" t="s">
        <v>606</v>
      </c>
      <c r="D237" s="38" t="s">
        <v>274</v>
      </c>
      <c r="E237" s="38" t="s">
        <v>278</v>
      </c>
      <c r="F237" s="38" t="s">
        <v>276</v>
      </c>
      <c r="G237" s="39">
        <v>70</v>
      </c>
      <c r="H237" s="40">
        <v>0.69599999999999995</v>
      </c>
      <c r="I237" s="37">
        <v>118260</v>
      </c>
      <c r="J237" s="41" t="s">
        <v>207</v>
      </c>
      <c r="K237" s="42">
        <v>2020</v>
      </c>
    </row>
    <row r="238" spans="1:11" ht="15" customHeight="1" x14ac:dyDescent="0.3">
      <c r="A238" s="31">
        <v>233</v>
      </c>
      <c r="B238" s="32" t="s">
        <v>313</v>
      </c>
      <c r="C238" s="32" t="s">
        <v>607</v>
      </c>
      <c r="D238" s="32" t="s">
        <v>608</v>
      </c>
      <c r="E238" s="32" t="s">
        <v>226</v>
      </c>
      <c r="F238" s="32" t="s">
        <v>276</v>
      </c>
      <c r="G238" s="33">
        <v>490.6</v>
      </c>
      <c r="H238" s="34">
        <v>2</v>
      </c>
      <c r="I238" s="31">
        <v>134000</v>
      </c>
      <c r="J238" s="35" t="s">
        <v>207</v>
      </c>
      <c r="K238" s="36">
        <v>2020</v>
      </c>
    </row>
    <row r="239" spans="1:11" ht="15" customHeight="1" x14ac:dyDescent="0.3">
      <c r="A239" s="37">
        <v>234</v>
      </c>
      <c r="B239" s="38" t="s">
        <v>313</v>
      </c>
      <c r="C239" s="38" t="s">
        <v>609</v>
      </c>
      <c r="D239" s="38" t="s">
        <v>54</v>
      </c>
      <c r="E239" s="38" t="s">
        <v>35</v>
      </c>
      <c r="F239" s="38" t="s">
        <v>276</v>
      </c>
      <c r="G239" s="39">
        <v>16</v>
      </c>
      <c r="H239" s="40">
        <v>0.26400000000000001</v>
      </c>
      <c r="I239" s="37">
        <v>118260</v>
      </c>
      <c r="J239" s="41" t="s">
        <v>207</v>
      </c>
      <c r="K239" s="42">
        <v>2020</v>
      </c>
    </row>
    <row r="240" spans="1:11" ht="15" customHeight="1" x14ac:dyDescent="0.3">
      <c r="A240" s="31">
        <v>235</v>
      </c>
      <c r="B240" s="32" t="s">
        <v>313</v>
      </c>
      <c r="C240" s="32" t="s">
        <v>610</v>
      </c>
      <c r="D240" s="32" t="s">
        <v>611</v>
      </c>
      <c r="E240" s="32" t="s">
        <v>612</v>
      </c>
      <c r="F240" s="32" t="s">
        <v>276</v>
      </c>
      <c r="G240" s="33">
        <v>476</v>
      </c>
      <c r="H240" s="34">
        <v>1.19</v>
      </c>
      <c r="I240" s="31">
        <v>118260</v>
      </c>
      <c r="J240" s="35" t="s">
        <v>207</v>
      </c>
      <c r="K240" s="36">
        <v>2020</v>
      </c>
    </row>
    <row r="241" spans="1:11" ht="15" customHeight="1" x14ac:dyDescent="0.3">
      <c r="A241" s="37">
        <v>236</v>
      </c>
      <c r="B241" s="38" t="s">
        <v>313</v>
      </c>
      <c r="C241" s="38" t="s">
        <v>613</v>
      </c>
      <c r="D241" s="38" t="s">
        <v>614</v>
      </c>
      <c r="E241" s="38" t="s">
        <v>615</v>
      </c>
      <c r="F241" s="38" t="s">
        <v>306</v>
      </c>
      <c r="G241" s="39">
        <v>220</v>
      </c>
      <c r="H241" s="40">
        <v>1.391</v>
      </c>
      <c r="I241" s="37">
        <v>108000</v>
      </c>
      <c r="J241" s="41" t="s">
        <v>207</v>
      </c>
      <c r="K241" s="42">
        <v>2020</v>
      </c>
    </row>
    <row r="242" spans="1:11" ht="15" customHeight="1" x14ac:dyDescent="0.3">
      <c r="A242" s="31">
        <v>237</v>
      </c>
      <c r="B242" s="32" t="s">
        <v>313</v>
      </c>
      <c r="C242" s="32" t="s">
        <v>616</v>
      </c>
      <c r="D242" s="32" t="s">
        <v>591</v>
      </c>
      <c r="E242" s="32" t="s">
        <v>592</v>
      </c>
      <c r="F242" s="32" t="s">
        <v>287</v>
      </c>
      <c r="G242" s="33">
        <v>605</v>
      </c>
      <c r="H242" s="34">
        <v>9</v>
      </c>
      <c r="I242" s="31">
        <v>331260</v>
      </c>
      <c r="J242" s="35" t="s">
        <v>207</v>
      </c>
      <c r="K242" s="36">
        <v>2020</v>
      </c>
    </row>
    <row r="243" spans="1:11" ht="15" customHeight="1" x14ac:dyDescent="0.3">
      <c r="A243" s="37">
        <v>238</v>
      </c>
      <c r="B243" s="38" t="s">
        <v>313</v>
      </c>
      <c r="C243" s="38" t="s">
        <v>617</v>
      </c>
      <c r="D243" s="38" t="s">
        <v>591</v>
      </c>
      <c r="E243" s="38" t="s">
        <v>592</v>
      </c>
      <c r="F243" s="38" t="s">
        <v>276</v>
      </c>
      <c r="G243" s="39">
        <v>143.5</v>
      </c>
      <c r="H243" s="40">
        <v>0.23</v>
      </c>
      <c r="I243" s="37">
        <v>118260</v>
      </c>
      <c r="J243" s="41" t="s">
        <v>207</v>
      </c>
      <c r="K243" s="42">
        <v>2020</v>
      </c>
    </row>
    <row r="244" spans="1:11" ht="15" customHeight="1" x14ac:dyDescent="0.3">
      <c r="A244" s="31">
        <v>239</v>
      </c>
      <c r="B244" s="32" t="s">
        <v>313</v>
      </c>
      <c r="C244" s="32" t="s">
        <v>618</v>
      </c>
      <c r="D244" s="32" t="s">
        <v>619</v>
      </c>
      <c r="E244" s="32" t="s">
        <v>620</v>
      </c>
      <c r="F244" s="32" t="s">
        <v>276</v>
      </c>
      <c r="G244" s="33">
        <v>84</v>
      </c>
      <c r="H244" s="34">
        <v>1.32</v>
      </c>
      <c r="I244" s="31">
        <v>118260</v>
      </c>
      <c r="J244" s="35" t="s">
        <v>207</v>
      </c>
      <c r="K244" s="36">
        <v>2020</v>
      </c>
    </row>
    <row r="245" spans="1:11" ht="15" customHeight="1" x14ac:dyDescent="0.3">
      <c r="A245" s="37">
        <v>240</v>
      </c>
      <c r="B245" s="38" t="s">
        <v>313</v>
      </c>
      <c r="C245" s="38" t="s">
        <v>621</v>
      </c>
      <c r="D245" s="38" t="s">
        <v>622</v>
      </c>
      <c r="E245" s="38" t="s">
        <v>623</v>
      </c>
      <c r="F245" s="38" t="s">
        <v>624</v>
      </c>
      <c r="G245" s="39">
        <v>631</v>
      </c>
      <c r="H245" s="40">
        <v>1.5549999999999999</v>
      </c>
      <c r="I245" s="37">
        <v>134000</v>
      </c>
      <c r="J245" s="41" t="s">
        <v>207</v>
      </c>
      <c r="K245" s="42">
        <v>2020</v>
      </c>
    </row>
    <row r="246" spans="1:11" ht="15" customHeight="1" x14ac:dyDescent="0.3">
      <c r="A246" s="31">
        <v>241</v>
      </c>
      <c r="B246" s="32" t="s">
        <v>313</v>
      </c>
      <c r="C246" s="32" t="s">
        <v>625</v>
      </c>
      <c r="D246" s="32" t="s">
        <v>626</v>
      </c>
      <c r="E246" s="32" t="s">
        <v>627</v>
      </c>
      <c r="F246" s="32" t="s">
        <v>316</v>
      </c>
      <c r="G246" s="33">
        <v>1170</v>
      </c>
      <c r="H246" s="34">
        <v>1.2669999999999999</v>
      </c>
      <c r="I246" s="31">
        <v>118260</v>
      </c>
      <c r="J246" s="35" t="s">
        <v>207</v>
      </c>
      <c r="K246" s="36">
        <v>2020</v>
      </c>
    </row>
    <row r="247" spans="1:11" ht="15" customHeight="1" x14ac:dyDescent="0.3">
      <c r="A247" s="37">
        <v>242</v>
      </c>
      <c r="B247" s="38" t="s">
        <v>313</v>
      </c>
      <c r="C247" s="38" t="s">
        <v>628</v>
      </c>
      <c r="D247" s="38" t="s">
        <v>629</v>
      </c>
      <c r="E247" s="38" t="s">
        <v>630</v>
      </c>
      <c r="F247" s="38" t="s">
        <v>276</v>
      </c>
      <c r="G247" s="39">
        <v>606</v>
      </c>
      <c r="H247" s="40">
        <v>0.69099999999999995</v>
      </c>
      <c r="I247" s="37">
        <v>118260</v>
      </c>
      <c r="J247" s="41" t="s">
        <v>207</v>
      </c>
      <c r="K247" s="42">
        <v>2020</v>
      </c>
    </row>
    <row r="248" spans="1:11" ht="15" customHeight="1" x14ac:dyDescent="0.3">
      <c r="A248" s="31">
        <v>243</v>
      </c>
      <c r="B248" s="32" t="s">
        <v>272</v>
      </c>
      <c r="C248" s="32" t="s">
        <v>631</v>
      </c>
      <c r="D248" s="32" t="s">
        <v>632</v>
      </c>
      <c r="E248" s="32" t="s">
        <v>633</v>
      </c>
      <c r="F248" s="32" t="s">
        <v>402</v>
      </c>
      <c r="G248" s="33">
        <v>1044</v>
      </c>
      <c r="H248" s="34">
        <v>9</v>
      </c>
      <c r="I248" s="31">
        <v>331260</v>
      </c>
      <c r="J248" s="35" t="s">
        <v>207</v>
      </c>
      <c r="K248" s="36">
        <v>2020</v>
      </c>
    </row>
    <row r="249" spans="1:11" ht="15" customHeight="1" x14ac:dyDescent="0.3">
      <c r="A249" s="37">
        <v>244</v>
      </c>
      <c r="B249" s="38" t="s">
        <v>272</v>
      </c>
      <c r="C249" s="38" t="s">
        <v>634</v>
      </c>
      <c r="D249" s="38" t="s">
        <v>635</v>
      </c>
      <c r="E249" s="38" t="s">
        <v>215</v>
      </c>
      <c r="F249" s="38" t="s">
        <v>402</v>
      </c>
      <c r="G249" s="39">
        <v>1796.22</v>
      </c>
      <c r="H249" s="40">
        <v>6</v>
      </c>
      <c r="I249" s="37">
        <v>246000</v>
      </c>
      <c r="J249" s="41" t="s">
        <v>207</v>
      </c>
      <c r="K249" s="42">
        <v>2020</v>
      </c>
    </row>
    <row r="250" spans="1:11" ht="15" customHeight="1" x14ac:dyDescent="0.3">
      <c r="A250" s="31">
        <v>245</v>
      </c>
      <c r="B250" s="32" t="s">
        <v>272</v>
      </c>
      <c r="C250" s="32" t="s">
        <v>636</v>
      </c>
      <c r="D250" s="32" t="s">
        <v>637</v>
      </c>
      <c r="E250" s="32" t="s">
        <v>638</v>
      </c>
      <c r="F250" s="32" t="s">
        <v>402</v>
      </c>
      <c r="G250" s="33">
        <v>2110.8000000000002</v>
      </c>
      <c r="H250" s="34">
        <v>5</v>
      </c>
      <c r="I250" s="31">
        <v>218000</v>
      </c>
      <c r="J250" s="35" t="s">
        <v>207</v>
      </c>
      <c r="K250" s="36">
        <v>2020</v>
      </c>
    </row>
    <row r="251" spans="1:11" ht="15" customHeight="1" x14ac:dyDescent="0.3">
      <c r="A251" s="37">
        <v>246</v>
      </c>
      <c r="B251" s="38" t="s">
        <v>272</v>
      </c>
      <c r="C251" s="38" t="s">
        <v>639</v>
      </c>
      <c r="D251" s="38" t="s">
        <v>640</v>
      </c>
      <c r="E251" s="38" t="s">
        <v>641</v>
      </c>
      <c r="F251" s="38" t="s">
        <v>642</v>
      </c>
      <c r="G251" s="39">
        <v>2974</v>
      </c>
      <c r="H251" s="40">
        <v>9</v>
      </c>
      <c r="I251" s="37">
        <v>331260</v>
      </c>
      <c r="J251" s="41" t="s">
        <v>207</v>
      </c>
      <c r="K251" s="42">
        <v>2020</v>
      </c>
    </row>
    <row r="252" spans="1:11" ht="15" customHeight="1" x14ac:dyDescent="0.3">
      <c r="A252" s="31">
        <v>247</v>
      </c>
      <c r="B252" s="32" t="s">
        <v>272</v>
      </c>
      <c r="C252" s="32" t="s">
        <v>643</v>
      </c>
      <c r="D252" s="32" t="s">
        <v>644</v>
      </c>
      <c r="E252" s="32" t="s">
        <v>645</v>
      </c>
      <c r="F252" s="32" t="s">
        <v>386</v>
      </c>
      <c r="G252" s="33">
        <v>1040</v>
      </c>
      <c r="H252" s="34">
        <v>8.9250000000000007</v>
      </c>
      <c r="I252" s="31">
        <v>331260</v>
      </c>
      <c r="J252" s="35" t="s">
        <v>207</v>
      </c>
      <c r="K252" s="36">
        <v>2020</v>
      </c>
    </row>
    <row r="253" spans="1:11" ht="15" customHeight="1" x14ac:dyDescent="0.3">
      <c r="A253" s="37">
        <v>248</v>
      </c>
      <c r="B253" s="38" t="s">
        <v>272</v>
      </c>
      <c r="C253" s="38" t="s">
        <v>646</v>
      </c>
      <c r="D253" s="38" t="s">
        <v>647</v>
      </c>
      <c r="E253" s="38" t="s">
        <v>648</v>
      </c>
      <c r="F253" s="38" t="s">
        <v>276</v>
      </c>
      <c r="G253" s="39">
        <v>174</v>
      </c>
      <c r="H253" s="40">
        <v>1.056</v>
      </c>
      <c r="I253" s="37">
        <v>118260</v>
      </c>
      <c r="J253" s="41" t="s">
        <v>207</v>
      </c>
      <c r="K253" s="42">
        <v>2020</v>
      </c>
    </row>
    <row r="254" spans="1:11" ht="15" customHeight="1" x14ac:dyDescent="0.3">
      <c r="A254" s="31">
        <v>249</v>
      </c>
      <c r="B254" s="32" t="s">
        <v>272</v>
      </c>
      <c r="C254" s="32" t="s">
        <v>649</v>
      </c>
      <c r="D254" s="32" t="s">
        <v>650</v>
      </c>
      <c r="E254" s="32" t="s">
        <v>651</v>
      </c>
      <c r="F254" s="32" t="s">
        <v>312</v>
      </c>
      <c r="G254" s="33">
        <v>818</v>
      </c>
      <c r="H254" s="34">
        <v>2.2410000000000001</v>
      </c>
      <c r="I254" s="31">
        <v>134000</v>
      </c>
      <c r="J254" s="35" t="s">
        <v>207</v>
      </c>
      <c r="K254" s="36">
        <v>2020</v>
      </c>
    </row>
    <row r="255" spans="1:11" ht="15" customHeight="1" x14ac:dyDescent="0.3">
      <c r="A255" s="37">
        <v>250</v>
      </c>
      <c r="B255" s="38" t="s">
        <v>272</v>
      </c>
      <c r="C255" s="38" t="s">
        <v>652</v>
      </c>
      <c r="D255" s="38" t="s">
        <v>653</v>
      </c>
      <c r="E255" s="38" t="s">
        <v>654</v>
      </c>
      <c r="F255" s="38" t="s">
        <v>276</v>
      </c>
      <c r="G255" s="39">
        <v>195</v>
      </c>
      <c r="H255" s="40">
        <v>2</v>
      </c>
      <c r="I255" s="37">
        <v>144260</v>
      </c>
      <c r="J255" s="41" t="s">
        <v>207</v>
      </c>
      <c r="K255" s="42">
        <v>2020</v>
      </c>
    </row>
    <row r="256" spans="1:11" ht="15" customHeight="1" x14ac:dyDescent="0.3">
      <c r="A256" s="31">
        <v>251</v>
      </c>
      <c r="B256" s="32" t="s">
        <v>272</v>
      </c>
      <c r="C256" s="32" t="s">
        <v>655</v>
      </c>
      <c r="D256" s="32" t="s">
        <v>656</v>
      </c>
      <c r="E256" s="32" t="s">
        <v>657</v>
      </c>
      <c r="F256" s="32" t="s">
        <v>658</v>
      </c>
      <c r="G256" s="33">
        <v>981</v>
      </c>
      <c r="H256" s="34">
        <v>2.0019999999999998</v>
      </c>
      <c r="I256" s="31">
        <v>144260</v>
      </c>
      <c r="J256" s="35" t="s">
        <v>207</v>
      </c>
      <c r="K256" s="36">
        <v>2020</v>
      </c>
    </row>
    <row r="257" spans="1:11" ht="15" customHeight="1" x14ac:dyDescent="0.3">
      <c r="A257" s="37">
        <v>252</v>
      </c>
      <c r="B257" s="38" t="s">
        <v>272</v>
      </c>
      <c r="C257" s="38" t="s">
        <v>659</v>
      </c>
      <c r="D257" s="38" t="s">
        <v>274</v>
      </c>
      <c r="E257" s="38" t="s">
        <v>660</v>
      </c>
      <c r="F257" s="38" t="s">
        <v>276</v>
      </c>
      <c r="G257" s="39">
        <v>70</v>
      </c>
      <c r="H257" s="40">
        <v>0.745</v>
      </c>
      <c r="I257" s="37">
        <v>108000</v>
      </c>
      <c r="J257" s="41" t="s">
        <v>207</v>
      </c>
      <c r="K257" s="42">
        <v>2020</v>
      </c>
    </row>
    <row r="258" spans="1:11" ht="15" customHeight="1" x14ac:dyDescent="0.3">
      <c r="A258" s="31">
        <v>253</v>
      </c>
      <c r="B258" s="32" t="s">
        <v>272</v>
      </c>
      <c r="C258" s="32" t="s">
        <v>661</v>
      </c>
      <c r="D258" s="32" t="s">
        <v>274</v>
      </c>
      <c r="E258" s="32" t="s">
        <v>275</v>
      </c>
      <c r="F258" s="32" t="s">
        <v>276</v>
      </c>
      <c r="G258" s="33">
        <v>69</v>
      </c>
      <c r="H258" s="34">
        <v>0.69699999999999995</v>
      </c>
      <c r="I258" s="31">
        <v>108000</v>
      </c>
      <c r="J258" s="35" t="s">
        <v>207</v>
      </c>
      <c r="K258" s="36">
        <v>2020</v>
      </c>
    </row>
    <row r="259" spans="1:11" ht="15" customHeight="1" x14ac:dyDescent="0.3">
      <c r="A259" s="37">
        <v>254</v>
      </c>
      <c r="B259" s="38" t="s">
        <v>272</v>
      </c>
      <c r="C259" s="38" t="s">
        <v>662</v>
      </c>
      <c r="D259" s="38" t="s">
        <v>274</v>
      </c>
      <c r="E259" s="38" t="s">
        <v>226</v>
      </c>
      <c r="F259" s="38" t="s">
        <v>435</v>
      </c>
      <c r="G259" s="39">
        <v>1144</v>
      </c>
      <c r="H259" s="40">
        <v>8.0039999999999996</v>
      </c>
      <c r="I259" s="37">
        <v>294000</v>
      </c>
      <c r="J259" s="41" t="s">
        <v>207</v>
      </c>
      <c r="K259" s="42">
        <v>2020</v>
      </c>
    </row>
    <row r="260" spans="1:11" ht="15" customHeight="1" x14ac:dyDescent="0.3">
      <c r="A260" s="31">
        <v>255</v>
      </c>
      <c r="B260" s="32" t="s">
        <v>272</v>
      </c>
      <c r="C260" s="32" t="s">
        <v>663</v>
      </c>
      <c r="D260" s="32" t="s">
        <v>664</v>
      </c>
      <c r="E260" s="32" t="s">
        <v>37</v>
      </c>
      <c r="F260" s="32" t="s">
        <v>306</v>
      </c>
      <c r="G260" s="33">
        <v>300</v>
      </c>
      <c r="H260" s="34">
        <v>2</v>
      </c>
      <c r="I260" s="31">
        <v>144260</v>
      </c>
      <c r="J260" s="35" t="s">
        <v>207</v>
      </c>
      <c r="K260" s="36">
        <v>2020</v>
      </c>
    </row>
    <row r="261" spans="1:11" ht="15" customHeight="1" x14ac:dyDescent="0.3">
      <c r="A261" s="37">
        <v>256</v>
      </c>
      <c r="B261" s="38" t="s">
        <v>360</v>
      </c>
      <c r="C261" s="38" t="s">
        <v>665</v>
      </c>
      <c r="D261" s="38" t="s">
        <v>666</v>
      </c>
      <c r="E261" s="38" t="s">
        <v>667</v>
      </c>
      <c r="F261" s="38" t="s">
        <v>435</v>
      </c>
      <c r="G261" s="39">
        <v>3524</v>
      </c>
      <c r="H261" s="40">
        <v>9.48</v>
      </c>
      <c r="I261" s="37">
        <v>331260</v>
      </c>
      <c r="J261" s="41" t="s">
        <v>668</v>
      </c>
      <c r="K261" s="42">
        <v>2020</v>
      </c>
    </row>
    <row r="262" spans="1:11" ht="15" customHeight="1" x14ac:dyDescent="0.3">
      <c r="A262" s="31">
        <v>257</v>
      </c>
      <c r="B262" s="32" t="s">
        <v>360</v>
      </c>
      <c r="C262" s="32" t="s">
        <v>669</v>
      </c>
      <c r="D262" s="32" t="s">
        <v>60</v>
      </c>
      <c r="E262" s="32" t="s">
        <v>35</v>
      </c>
      <c r="F262" s="32" t="s">
        <v>375</v>
      </c>
      <c r="G262" s="33">
        <v>170</v>
      </c>
      <c r="H262" s="34">
        <v>0.24</v>
      </c>
      <c r="I262" s="31">
        <v>118260</v>
      </c>
      <c r="J262" s="35" t="s">
        <v>668</v>
      </c>
      <c r="K262" s="36">
        <v>2020</v>
      </c>
    </row>
    <row r="263" spans="1:11" ht="15" customHeight="1" x14ac:dyDescent="0.3">
      <c r="A263" s="37">
        <v>258</v>
      </c>
      <c r="B263" s="38" t="s">
        <v>360</v>
      </c>
      <c r="C263" s="38" t="s">
        <v>670</v>
      </c>
      <c r="D263" s="38" t="s">
        <v>671</v>
      </c>
      <c r="E263" s="38" t="s">
        <v>35</v>
      </c>
      <c r="F263" s="38" t="s">
        <v>373</v>
      </c>
      <c r="G263" s="39">
        <v>582</v>
      </c>
      <c r="H263" s="40">
        <v>2.1070000000000002</v>
      </c>
      <c r="I263" s="37">
        <v>144260</v>
      </c>
      <c r="J263" s="41" t="s">
        <v>668</v>
      </c>
      <c r="K263" s="42">
        <v>2020</v>
      </c>
    </row>
    <row r="264" spans="1:11" ht="15" customHeight="1" x14ac:dyDescent="0.3">
      <c r="A264" s="31">
        <v>259</v>
      </c>
      <c r="B264" s="32" t="s">
        <v>360</v>
      </c>
      <c r="C264" s="32" t="s">
        <v>672</v>
      </c>
      <c r="D264" s="32"/>
      <c r="E264" s="32" t="s">
        <v>673</v>
      </c>
      <c r="F264" s="32" t="s">
        <v>674</v>
      </c>
      <c r="G264" s="33">
        <v>1507</v>
      </c>
      <c r="H264" s="34">
        <v>4.91</v>
      </c>
      <c r="I264" s="31">
        <v>228260</v>
      </c>
      <c r="J264" s="35" t="s">
        <v>668</v>
      </c>
      <c r="K264" s="36">
        <v>2020</v>
      </c>
    </row>
    <row r="265" spans="1:11" ht="15" customHeight="1" x14ac:dyDescent="0.3">
      <c r="A265" s="37">
        <v>260</v>
      </c>
      <c r="B265" s="38" t="s">
        <v>360</v>
      </c>
      <c r="C265" s="38" t="s">
        <v>675</v>
      </c>
      <c r="D265" s="38" t="s">
        <v>676</v>
      </c>
      <c r="E265" s="38" t="s">
        <v>677</v>
      </c>
      <c r="F265" s="38" t="s">
        <v>276</v>
      </c>
      <c r="G265" s="39">
        <v>290</v>
      </c>
      <c r="H265" s="40">
        <v>1.218</v>
      </c>
      <c r="I265" s="37">
        <v>118260</v>
      </c>
      <c r="J265" s="41" t="s">
        <v>668</v>
      </c>
      <c r="K265" s="42">
        <v>2020</v>
      </c>
    </row>
    <row r="266" spans="1:11" ht="15" customHeight="1" x14ac:dyDescent="0.3">
      <c r="A266" s="31">
        <v>261</v>
      </c>
      <c r="B266" s="32" t="s">
        <v>360</v>
      </c>
      <c r="C266" s="32" t="s">
        <v>678</v>
      </c>
      <c r="D266" s="32" t="s">
        <v>679</v>
      </c>
      <c r="E266" s="32" t="s">
        <v>680</v>
      </c>
      <c r="F266" s="32" t="s">
        <v>406</v>
      </c>
      <c r="G266" s="33">
        <v>877</v>
      </c>
      <c r="H266" s="34">
        <v>1.109</v>
      </c>
      <c r="I266" s="31">
        <v>118260</v>
      </c>
      <c r="J266" s="35" t="s">
        <v>668</v>
      </c>
      <c r="K266" s="36">
        <v>2020</v>
      </c>
    </row>
    <row r="267" spans="1:11" ht="15" customHeight="1" x14ac:dyDescent="0.3">
      <c r="A267" s="37">
        <v>262</v>
      </c>
      <c r="B267" s="38" t="s">
        <v>360</v>
      </c>
      <c r="C267" s="38" t="s">
        <v>681</v>
      </c>
      <c r="D267" s="38" t="s">
        <v>682</v>
      </c>
      <c r="E267" s="38" t="s">
        <v>683</v>
      </c>
      <c r="F267" s="38" t="s">
        <v>674</v>
      </c>
      <c r="G267" s="39">
        <v>3366</v>
      </c>
      <c r="H267" s="40">
        <v>3.1680000000000001</v>
      </c>
      <c r="I267" s="37">
        <v>162000</v>
      </c>
      <c r="J267" s="41" t="s">
        <v>668</v>
      </c>
      <c r="K267" s="42">
        <v>2020</v>
      </c>
    </row>
    <row r="268" spans="1:11" ht="15" customHeight="1" x14ac:dyDescent="0.3">
      <c r="A268" s="31">
        <v>263</v>
      </c>
      <c r="B268" s="32" t="s">
        <v>360</v>
      </c>
      <c r="C268" s="32" t="s">
        <v>684</v>
      </c>
      <c r="D268" s="32" t="s">
        <v>685</v>
      </c>
      <c r="E268" s="32" t="s">
        <v>686</v>
      </c>
      <c r="F268" s="32" t="s">
        <v>517</v>
      </c>
      <c r="G268" s="33">
        <v>2659</v>
      </c>
      <c r="H268" s="34">
        <v>9.8930000000000007</v>
      </c>
      <c r="I268" s="31">
        <v>358260</v>
      </c>
      <c r="J268" s="35" t="s">
        <v>668</v>
      </c>
      <c r="K268" s="36">
        <v>2020</v>
      </c>
    </row>
    <row r="269" spans="1:11" ht="15" customHeight="1" x14ac:dyDescent="0.3">
      <c r="A269" s="37">
        <v>264</v>
      </c>
      <c r="B269" s="38" t="s">
        <v>360</v>
      </c>
      <c r="C269" s="38" t="s">
        <v>687</v>
      </c>
      <c r="D269" s="38" t="s">
        <v>95</v>
      </c>
      <c r="E269" s="38" t="s">
        <v>688</v>
      </c>
      <c r="F269" s="38" t="s">
        <v>689</v>
      </c>
      <c r="G269" s="39">
        <v>1321</v>
      </c>
      <c r="H269" s="40">
        <v>5.3579999999999997</v>
      </c>
      <c r="I269" s="37">
        <v>228260</v>
      </c>
      <c r="J269" s="41" t="s">
        <v>668</v>
      </c>
      <c r="K269" s="42">
        <v>2020</v>
      </c>
    </row>
    <row r="270" spans="1:11" ht="15" customHeight="1" x14ac:dyDescent="0.3">
      <c r="A270" s="31">
        <v>265</v>
      </c>
      <c r="B270" s="32" t="s">
        <v>360</v>
      </c>
      <c r="C270" s="32" t="s">
        <v>690</v>
      </c>
      <c r="D270" s="32" t="s">
        <v>691</v>
      </c>
      <c r="E270" s="32" t="s">
        <v>692</v>
      </c>
      <c r="F270" s="32" t="s">
        <v>693</v>
      </c>
      <c r="G270" s="33">
        <v>1890</v>
      </c>
      <c r="H270" s="34">
        <v>4</v>
      </c>
      <c r="I270" s="31">
        <v>200260</v>
      </c>
      <c r="J270" s="35" t="s">
        <v>668</v>
      </c>
      <c r="K270" s="36">
        <v>2020</v>
      </c>
    </row>
    <row r="271" spans="1:11" ht="15" customHeight="1" x14ac:dyDescent="0.3">
      <c r="A271" s="37">
        <v>266</v>
      </c>
      <c r="B271" s="38" t="s">
        <v>360</v>
      </c>
      <c r="C271" s="38" t="s">
        <v>694</v>
      </c>
      <c r="D271" s="38" t="s">
        <v>695</v>
      </c>
      <c r="E271" s="38" t="s">
        <v>51</v>
      </c>
      <c r="F271" s="38" t="s">
        <v>316</v>
      </c>
      <c r="G271" s="39">
        <v>605.45799999999997</v>
      </c>
      <c r="H271" s="40">
        <v>4</v>
      </c>
      <c r="I271" s="37">
        <v>200260</v>
      </c>
      <c r="J271" s="41" t="s">
        <v>668</v>
      </c>
      <c r="K271" s="42">
        <v>2020</v>
      </c>
    </row>
    <row r="272" spans="1:11" ht="15" customHeight="1" x14ac:dyDescent="0.3">
      <c r="A272" s="31">
        <v>267</v>
      </c>
      <c r="B272" s="32" t="s">
        <v>360</v>
      </c>
      <c r="C272" s="32" t="s">
        <v>696</v>
      </c>
      <c r="D272" s="32" t="s">
        <v>697</v>
      </c>
      <c r="E272" s="32" t="s">
        <v>57</v>
      </c>
      <c r="F272" s="32" t="s">
        <v>698</v>
      </c>
      <c r="G272" s="33">
        <v>524.35799999999995</v>
      </c>
      <c r="H272" s="34">
        <v>5.5819999999999999</v>
      </c>
      <c r="I272" s="31">
        <v>265000</v>
      </c>
      <c r="J272" s="35" t="s">
        <v>668</v>
      </c>
      <c r="K272" s="36">
        <v>2020</v>
      </c>
    </row>
    <row r="273" spans="1:11" ht="15" customHeight="1" x14ac:dyDescent="0.3">
      <c r="A273" s="37">
        <v>268</v>
      </c>
      <c r="B273" s="38" t="s">
        <v>360</v>
      </c>
      <c r="C273" s="38" t="s">
        <v>665</v>
      </c>
      <c r="D273" s="38" t="s">
        <v>666</v>
      </c>
      <c r="E273" s="38" t="s">
        <v>667</v>
      </c>
      <c r="F273" s="38" t="s">
        <v>435</v>
      </c>
      <c r="G273" s="39">
        <v>3524</v>
      </c>
      <c r="H273" s="40">
        <v>9.48</v>
      </c>
      <c r="I273" s="37">
        <v>331260</v>
      </c>
      <c r="J273" s="41" t="s">
        <v>668</v>
      </c>
      <c r="K273" s="42">
        <v>2020</v>
      </c>
    </row>
    <row r="274" spans="1:11" ht="15" customHeight="1" x14ac:dyDescent="0.3">
      <c r="A274" s="31">
        <v>269</v>
      </c>
      <c r="B274" s="32" t="s">
        <v>360</v>
      </c>
      <c r="C274" s="32" t="s">
        <v>669</v>
      </c>
      <c r="D274" s="32" t="s">
        <v>60</v>
      </c>
      <c r="E274" s="32" t="s">
        <v>35</v>
      </c>
      <c r="F274" s="32" t="s">
        <v>375</v>
      </c>
      <c r="G274" s="33">
        <v>170</v>
      </c>
      <c r="H274" s="34">
        <v>0.24</v>
      </c>
      <c r="I274" s="31">
        <v>118260</v>
      </c>
      <c r="J274" s="35" t="s">
        <v>668</v>
      </c>
      <c r="K274" s="36">
        <v>2020</v>
      </c>
    </row>
    <row r="275" spans="1:11" ht="15" customHeight="1" x14ac:dyDescent="0.3">
      <c r="A275" s="37">
        <v>270</v>
      </c>
      <c r="B275" s="38" t="s">
        <v>407</v>
      </c>
      <c r="C275" s="38" t="s">
        <v>699</v>
      </c>
      <c r="D275" s="38" t="s">
        <v>44</v>
      </c>
      <c r="E275" s="38" t="s">
        <v>35</v>
      </c>
      <c r="F275" s="38" t="s">
        <v>689</v>
      </c>
      <c r="G275" s="39">
        <v>6750</v>
      </c>
      <c r="H275" s="40">
        <v>10</v>
      </c>
      <c r="I275" s="37">
        <v>358260</v>
      </c>
      <c r="J275" s="41" t="s">
        <v>668</v>
      </c>
      <c r="K275" s="42">
        <v>2020</v>
      </c>
    </row>
    <row r="276" spans="1:11" ht="15" customHeight="1" x14ac:dyDescent="0.3">
      <c r="A276" s="31">
        <v>271</v>
      </c>
      <c r="B276" s="32" t="s">
        <v>407</v>
      </c>
      <c r="C276" s="32" t="s">
        <v>700</v>
      </c>
      <c r="D276" s="32" t="s">
        <v>701</v>
      </c>
      <c r="E276" s="32" t="s">
        <v>35</v>
      </c>
      <c r="F276" s="32" t="s">
        <v>702</v>
      </c>
      <c r="G276" s="33">
        <v>5482.2</v>
      </c>
      <c r="H276" s="34">
        <v>9</v>
      </c>
      <c r="I276" s="31">
        <v>331260</v>
      </c>
      <c r="J276" s="35" t="s">
        <v>668</v>
      </c>
      <c r="K276" s="36">
        <v>2020</v>
      </c>
    </row>
    <row r="277" spans="1:11" ht="15" customHeight="1" x14ac:dyDescent="0.3">
      <c r="A277" s="37">
        <v>272</v>
      </c>
      <c r="B277" s="38" t="s">
        <v>407</v>
      </c>
      <c r="C277" s="38" t="s">
        <v>703</v>
      </c>
      <c r="D277" s="38" t="s">
        <v>704</v>
      </c>
      <c r="E277" s="38" t="s">
        <v>35</v>
      </c>
      <c r="F277" s="38" t="s">
        <v>517</v>
      </c>
      <c r="G277" s="39">
        <v>6597</v>
      </c>
      <c r="H277" s="40">
        <v>6</v>
      </c>
      <c r="I277" s="37">
        <v>256260</v>
      </c>
      <c r="J277" s="41" t="s">
        <v>668</v>
      </c>
      <c r="K277" s="42">
        <v>2020</v>
      </c>
    </row>
    <row r="278" spans="1:11" ht="15" customHeight="1" x14ac:dyDescent="0.3">
      <c r="A278" s="31">
        <v>273</v>
      </c>
      <c r="B278" s="32" t="s">
        <v>407</v>
      </c>
      <c r="C278" s="32" t="s">
        <v>705</v>
      </c>
      <c r="D278" s="32" t="s">
        <v>42</v>
      </c>
      <c r="E278" s="32" t="s">
        <v>35</v>
      </c>
      <c r="F278" s="32" t="s">
        <v>276</v>
      </c>
      <c r="G278" s="33">
        <v>184</v>
      </c>
      <c r="H278" s="34">
        <v>0.73</v>
      </c>
      <c r="I278" s="31">
        <v>118260</v>
      </c>
      <c r="J278" s="35" t="s">
        <v>668</v>
      </c>
      <c r="K278" s="36">
        <v>2020</v>
      </c>
    </row>
    <row r="279" spans="1:11" ht="15" customHeight="1" x14ac:dyDescent="0.3">
      <c r="A279" s="37">
        <v>274</v>
      </c>
      <c r="B279" s="38" t="s">
        <v>407</v>
      </c>
      <c r="C279" s="38" t="s">
        <v>706</v>
      </c>
      <c r="D279" s="38" t="s">
        <v>707</v>
      </c>
      <c r="E279" s="38" t="s">
        <v>49</v>
      </c>
      <c r="F279" s="38" t="s">
        <v>316</v>
      </c>
      <c r="G279" s="39">
        <v>545</v>
      </c>
      <c r="H279" s="40">
        <v>2</v>
      </c>
      <c r="I279" s="37">
        <v>134000</v>
      </c>
      <c r="J279" s="41" t="s">
        <v>668</v>
      </c>
      <c r="K279" s="42">
        <v>2020</v>
      </c>
    </row>
    <row r="280" spans="1:11" ht="15" customHeight="1" x14ac:dyDescent="0.3">
      <c r="A280" s="31">
        <v>275</v>
      </c>
      <c r="B280" s="32" t="s">
        <v>407</v>
      </c>
      <c r="C280" s="32" t="s">
        <v>708</v>
      </c>
      <c r="D280" s="32" t="s">
        <v>709</v>
      </c>
      <c r="E280" s="32" t="s">
        <v>710</v>
      </c>
      <c r="F280" s="32" t="s">
        <v>402</v>
      </c>
      <c r="G280" s="33">
        <v>810</v>
      </c>
      <c r="H280" s="34">
        <v>10</v>
      </c>
      <c r="I280" s="31">
        <v>358260</v>
      </c>
      <c r="J280" s="35" t="s">
        <v>668</v>
      </c>
      <c r="K280" s="36">
        <v>2020</v>
      </c>
    </row>
    <row r="281" spans="1:11" ht="15" customHeight="1" x14ac:dyDescent="0.3">
      <c r="A281" s="37">
        <v>276</v>
      </c>
      <c r="B281" s="38" t="s">
        <v>407</v>
      </c>
      <c r="C281" s="38" t="s">
        <v>711</v>
      </c>
      <c r="D281" s="38" t="s">
        <v>526</v>
      </c>
      <c r="E281" s="38" t="s">
        <v>49</v>
      </c>
      <c r="F281" s="38" t="s">
        <v>316</v>
      </c>
      <c r="G281" s="39">
        <v>627</v>
      </c>
      <c r="H281" s="40">
        <v>1.3340000000000001</v>
      </c>
      <c r="I281" s="37">
        <v>108000</v>
      </c>
      <c r="J281" s="41" t="s">
        <v>668</v>
      </c>
      <c r="K281" s="42">
        <v>2020</v>
      </c>
    </row>
    <row r="282" spans="1:11" ht="15" customHeight="1" x14ac:dyDescent="0.3">
      <c r="A282" s="31">
        <v>277</v>
      </c>
      <c r="B282" s="32" t="s">
        <v>407</v>
      </c>
      <c r="C282" s="32" t="s">
        <v>712</v>
      </c>
      <c r="D282" s="32" t="s">
        <v>713</v>
      </c>
      <c r="E282" s="32" t="s">
        <v>47</v>
      </c>
      <c r="F282" s="32" t="s">
        <v>386</v>
      </c>
      <c r="G282" s="33">
        <v>750</v>
      </c>
      <c r="H282" s="34">
        <v>0.92700000000000005</v>
      </c>
      <c r="I282" s="31">
        <v>118260</v>
      </c>
      <c r="J282" s="35" t="s">
        <v>668</v>
      </c>
      <c r="K282" s="36">
        <v>2020</v>
      </c>
    </row>
    <row r="283" spans="1:11" ht="15" customHeight="1" x14ac:dyDescent="0.3">
      <c r="A283" s="37">
        <v>278</v>
      </c>
      <c r="B283" s="38" t="s">
        <v>407</v>
      </c>
      <c r="C283" s="38" t="s">
        <v>714</v>
      </c>
      <c r="D283" s="38" t="s">
        <v>715</v>
      </c>
      <c r="E283" s="38" t="s">
        <v>716</v>
      </c>
      <c r="F283" s="38" t="s">
        <v>717</v>
      </c>
      <c r="G283" s="39">
        <v>600</v>
      </c>
      <c r="H283" s="40">
        <v>4</v>
      </c>
      <c r="I283" s="37">
        <v>190000</v>
      </c>
      <c r="J283" s="41" t="s">
        <v>668</v>
      </c>
      <c r="K283" s="42">
        <v>2020</v>
      </c>
    </row>
    <row r="284" spans="1:11" ht="15" customHeight="1" x14ac:dyDescent="0.3">
      <c r="A284" s="31">
        <v>279</v>
      </c>
      <c r="B284" s="32" t="s">
        <v>407</v>
      </c>
      <c r="C284" s="32" t="s">
        <v>718</v>
      </c>
      <c r="D284" s="32" t="s">
        <v>719</v>
      </c>
      <c r="E284" s="32" t="s">
        <v>720</v>
      </c>
      <c r="F284" s="32" t="s">
        <v>312</v>
      </c>
      <c r="G284" s="33">
        <v>250</v>
      </c>
      <c r="H284" s="34">
        <v>1.05</v>
      </c>
      <c r="I284" s="31">
        <v>137260</v>
      </c>
      <c r="J284" s="35" t="s">
        <v>668</v>
      </c>
      <c r="K284" s="36">
        <v>2020</v>
      </c>
    </row>
    <row r="285" spans="1:11" ht="15" customHeight="1" x14ac:dyDescent="0.3">
      <c r="A285" s="37">
        <v>280</v>
      </c>
      <c r="B285" s="38" t="s">
        <v>313</v>
      </c>
      <c r="C285" s="38" t="s">
        <v>721</v>
      </c>
      <c r="D285" s="38" t="s">
        <v>366</v>
      </c>
      <c r="E285" s="38" t="s">
        <v>215</v>
      </c>
      <c r="F285" s="38" t="s">
        <v>276</v>
      </c>
      <c r="G285" s="39">
        <v>510</v>
      </c>
      <c r="H285" s="40">
        <v>1.3680000000000001</v>
      </c>
      <c r="I285" s="37">
        <v>108000</v>
      </c>
      <c r="J285" s="41" t="s">
        <v>668</v>
      </c>
      <c r="K285" s="42">
        <v>2020</v>
      </c>
    </row>
    <row r="286" spans="1:11" ht="15" customHeight="1" x14ac:dyDescent="0.3">
      <c r="A286" s="31">
        <v>281</v>
      </c>
      <c r="B286" s="32" t="s">
        <v>313</v>
      </c>
      <c r="C286" s="32" t="s">
        <v>722</v>
      </c>
      <c r="D286" s="32" t="s">
        <v>723</v>
      </c>
      <c r="E286" s="32" t="s">
        <v>35</v>
      </c>
      <c r="F286" s="32" t="s">
        <v>316</v>
      </c>
      <c r="G286" s="33">
        <v>1720</v>
      </c>
      <c r="H286" s="34">
        <v>0.72</v>
      </c>
      <c r="I286" s="31">
        <v>144260</v>
      </c>
      <c r="J286" s="35" t="s">
        <v>668</v>
      </c>
      <c r="K286" s="36">
        <v>2020</v>
      </c>
    </row>
    <row r="287" spans="1:11" ht="15" customHeight="1" x14ac:dyDescent="0.3">
      <c r="A287" s="37">
        <v>282</v>
      </c>
      <c r="B287" s="38" t="s">
        <v>313</v>
      </c>
      <c r="C287" s="38" t="s">
        <v>724</v>
      </c>
      <c r="D287" s="38" t="s">
        <v>725</v>
      </c>
      <c r="E287" s="38" t="s">
        <v>726</v>
      </c>
      <c r="F287" s="38" t="s">
        <v>312</v>
      </c>
      <c r="G287" s="39">
        <v>2530</v>
      </c>
      <c r="H287" s="40">
        <v>4</v>
      </c>
      <c r="I287" s="37">
        <v>190000</v>
      </c>
      <c r="J287" s="41" t="s">
        <v>668</v>
      </c>
      <c r="K287" s="42">
        <v>2020</v>
      </c>
    </row>
    <row r="288" spans="1:11" ht="15" customHeight="1" x14ac:dyDescent="0.3">
      <c r="A288" s="31">
        <v>283</v>
      </c>
      <c r="B288" s="32" t="s">
        <v>313</v>
      </c>
      <c r="C288" s="32" t="s">
        <v>727</v>
      </c>
      <c r="D288" s="32" t="s">
        <v>728</v>
      </c>
      <c r="E288" s="32" t="s">
        <v>729</v>
      </c>
      <c r="F288" s="32" t="s">
        <v>276</v>
      </c>
      <c r="G288" s="33">
        <v>282</v>
      </c>
      <c r="H288" s="34">
        <v>0.96</v>
      </c>
      <c r="I288" s="31">
        <v>118260</v>
      </c>
      <c r="J288" s="35" t="s">
        <v>668</v>
      </c>
      <c r="K288" s="36">
        <v>2020</v>
      </c>
    </row>
    <row r="289" spans="1:11" ht="15" customHeight="1" x14ac:dyDescent="0.3">
      <c r="A289" s="37">
        <v>284</v>
      </c>
      <c r="B289" s="38" t="s">
        <v>313</v>
      </c>
      <c r="C289" s="38" t="s">
        <v>730</v>
      </c>
      <c r="D289" s="38" t="s">
        <v>731</v>
      </c>
      <c r="E289" s="38" t="s">
        <v>732</v>
      </c>
      <c r="F289" s="38" t="s">
        <v>693</v>
      </c>
      <c r="G289" s="39">
        <v>2127</v>
      </c>
      <c r="H289" s="40">
        <v>5.4939999999999998</v>
      </c>
      <c r="I289" s="37">
        <v>228260</v>
      </c>
      <c r="J289" s="41" t="s">
        <v>668</v>
      </c>
      <c r="K289" s="42">
        <v>2020</v>
      </c>
    </row>
    <row r="290" spans="1:11" ht="15" customHeight="1" x14ac:dyDescent="0.3">
      <c r="A290" s="31">
        <v>285</v>
      </c>
      <c r="B290" s="32" t="s">
        <v>313</v>
      </c>
      <c r="C290" s="32" t="s">
        <v>733</v>
      </c>
      <c r="D290" s="32" t="s">
        <v>734</v>
      </c>
      <c r="E290" s="32" t="s">
        <v>735</v>
      </c>
      <c r="F290" s="32" t="s">
        <v>717</v>
      </c>
      <c r="G290" s="33">
        <v>625</v>
      </c>
      <c r="H290" s="34">
        <v>4</v>
      </c>
      <c r="I290" s="31">
        <v>200260</v>
      </c>
      <c r="J290" s="35" t="s">
        <v>668</v>
      </c>
      <c r="K290" s="36">
        <v>2020</v>
      </c>
    </row>
    <row r="291" spans="1:11" ht="15" customHeight="1" x14ac:dyDescent="0.3">
      <c r="A291" s="37">
        <v>286</v>
      </c>
      <c r="B291" s="38" t="s">
        <v>313</v>
      </c>
      <c r="C291" s="38" t="s">
        <v>736</v>
      </c>
      <c r="D291" s="38" t="s">
        <v>737</v>
      </c>
      <c r="E291" s="38" t="s">
        <v>738</v>
      </c>
      <c r="F291" s="38" t="s">
        <v>316</v>
      </c>
      <c r="G291" s="39">
        <v>1762</v>
      </c>
      <c r="H291" s="40">
        <v>5.2270000000000003</v>
      </c>
      <c r="I291" s="37">
        <v>228260</v>
      </c>
      <c r="J291" s="41" t="s">
        <v>668</v>
      </c>
      <c r="K291" s="42">
        <v>2020</v>
      </c>
    </row>
    <row r="292" spans="1:11" ht="15" customHeight="1" x14ac:dyDescent="0.3">
      <c r="A292" s="31">
        <v>287</v>
      </c>
      <c r="B292" s="32" t="s">
        <v>313</v>
      </c>
      <c r="C292" s="32" t="s">
        <v>739</v>
      </c>
      <c r="D292" s="32" t="s">
        <v>740</v>
      </c>
      <c r="E292" s="32" t="s">
        <v>37</v>
      </c>
      <c r="F292" s="32" t="s">
        <v>741</v>
      </c>
      <c r="G292" s="33">
        <v>32</v>
      </c>
      <c r="H292" s="34">
        <v>3.2000000000000001E-2</v>
      </c>
      <c r="I292" s="31">
        <v>118260</v>
      </c>
      <c r="J292" s="35" t="s">
        <v>668</v>
      </c>
      <c r="K292" s="36">
        <v>2020</v>
      </c>
    </row>
    <row r="293" spans="1:11" ht="15" customHeight="1" x14ac:dyDescent="0.3">
      <c r="A293" s="37">
        <v>288</v>
      </c>
      <c r="B293" s="38" t="s">
        <v>313</v>
      </c>
      <c r="C293" s="38" t="s">
        <v>742</v>
      </c>
      <c r="D293" s="38" t="s">
        <v>573</v>
      </c>
      <c r="E293" s="38" t="s">
        <v>574</v>
      </c>
      <c r="F293" s="38" t="s">
        <v>517</v>
      </c>
      <c r="G293" s="39">
        <v>8889</v>
      </c>
      <c r="H293" s="40">
        <v>5.88</v>
      </c>
      <c r="I293" s="37">
        <v>321000</v>
      </c>
      <c r="J293" s="41" t="s">
        <v>668</v>
      </c>
      <c r="K293" s="42">
        <v>2020</v>
      </c>
    </row>
    <row r="294" spans="1:11" ht="15" customHeight="1" x14ac:dyDescent="0.3">
      <c r="A294" s="31">
        <v>289</v>
      </c>
      <c r="B294" s="32" t="s">
        <v>313</v>
      </c>
      <c r="C294" s="32" t="s">
        <v>743</v>
      </c>
      <c r="D294" s="32" t="s">
        <v>744</v>
      </c>
      <c r="E294" s="32" t="s">
        <v>745</v>
      </c>
      <c r="F294" s="32" t="s">
        <v>316</v>
      </c>
      <c r="G294" s="33">
        <v>497.11</v>
      </c>
      <c r="H294" s="34">
        <v>3</v>
      </c>
      <c r="I294" s="31">
        <v>172260</v>
      </c>
      <c r="J294" s="35" t="s">
        <v>668</v>
      </c>
      <c r="K294" s="36">
        <v>2020</v>
      </c>
    </row>
    <row r="295" spans="1:11" ht="15" customHeight="1" x14ac:dyDescent="0.3">
      <c r="A295" s="37">
        <v>290</v>
      </c>
      <c r="B295" s="38" t="s">
        <v>313</v>
      </c>
      <c r="C295" s="38" t="s">
        <v>746</v>
      </c>
      <c r="D295" s="38" t="s">
        <v>747</v>
      </c>
      <c r="E295" s="38" t="s">
        <v>748</v>
      </c>
      <c r="F295" s="38" t="s">
        <v>674</v>
      </c>
      <c r="G295" s="39">
        <v>644</v>
      </c>
      <c r="H295" s="40">
        <v>8</v>
      </c>
      <c r="I295" s="37">
        <v>304260</v>
      </c>
      <c r="J295" s="41" t="s">
        <v>668</v>
      </c>
      <c r="K295" s="42">
        <v>2020</v>
      </c>
    </row>
    <row r="296" spans="1:11" ht="15" customHeight="1" x14ac:dyDescent="0.3">
      <c r="A296" s="31">
        <v>291</v>
      </c>
      <c r="B296" s="32" t="s">
        <v>313</v>
      </c>
      <c r="C296" s="32" t="s">
        <v>749</v>
      </c>
      <c r="D296" s="32" t="s">
        <v>691</v>
      </c>
      <c r="E296" s="32" t="s">
        <v>750</v>
      </c>
      <c r="F296" s="32" t="s">
        <v>717</v>
      </c>
      <c r="G296" s="33">
        <v>1495.37</v>
      </c>
      <c r="H296" s="34">
        <v>7.26</v>
      </c>
      <c r="I296" s="31">
        <v>274000</v>
      </c>
      <c r="J296" s="35" t="s">
        <v>668</v>
      </c>
      <c r="K296" s="36">
        <v>2020</v>
      </c>
    </row>
    <row r="297" spans="1:11" ht="15" customHeight="1" x14ac:dyDescent="0.3">
      <c r="A297" s="37">
        <v>292</v>
      </c>
      <c r="B297" s="38" t="s">
        <v>313</v>
      </c>
      <c r="C297" s="38" t="s">
        <v>751</v>
      </c>
      <c r="D297" s="38" t="s">
        <v>752</v>
      </c>
      <c r="E297" s="38" t="s">
        <v>753</v>
      </c>
      <c r="F297" s="38" t="s">
        <v>754</v>
      </c>
      <c r="G297" s="39">
        <v>850</v>
      </c>
      <c r="H297" s="40">
        <v>8</v>
      </c>
      <c r="I297" s="37">
        <v>304260</v>
      </c>
      <c r="J297" s="41" t="s">
        <v>668</v>
      </c>
      <c r="K297" s="42">
        <v>2020</v>
      </c>
    </row>
    <row r="298" spans="1:11" ht="15" customHeight="1" x14ac:dyDescent="0.3">
      <c r="A298" s="31">
        <v>293</v>
      </c>
      <c r="B298" s="32" t="s">
        <v>272</v>
      </c>
      <c r="C298" s="32" t="s">
        <v>755</v>
      </c>
      <c r="D298" s="32" t="s">
        <v>538</v>
      </c>
      <c r="E298" s="32" t="s">
        <v>37</v>
      </c>
      <c r="F298" s="32" t="s">
        <v>276</v>
      </c>
      <c r="G298" s="33">
        <v>140</v>
      </c>
      <c r="H298" s="34">
        <v>1.0329999999999999</v>
      </c>
      <c r="I298" s="31">
        <v>118260</v>
      </c>
      <c r="J298" s="35" t="s">
        <v>668</v>
      </c>
      <c r="K298" s="36">
        <v>2020</v>
      </c>
    </row>
    <row r="299" spans="1:11" ht="15" customHeight="1" x14ac:dyDescent="0.3">
      <c r="A299" s="37">
        <v>294</v>
      </c>
      <c r="B299" s="38" t="s">
        <v>272</v>
      </c>
      <c r="C299" s="38" t="s">
        <v>756</v>
      </c>
      <c r="D299" s="38" t="s">
        <v>757</v>
      </c>
      <c r="E299" s="38" t="s">
        <v>758</v>
      </c>
      <c r="F299" s="38" t="s">
        <v>741</v>
      </c>
      <c r="G299" s="39">
        <v>246.5</v>
      </c>
      <c r="H299" s="40">
        <v>1.444</v>
      </c>
      <c r="I299" s="37">
        <v>118260</v>
      </c>
      <c r="J299" s="41" t="s">
        <v>668</v>
      </c>
      <c r="K299" s="42">
        <v>2020</v>
      </c>
    </row>
    <row r="300" spans="1:11" ht="15" customHeight="1" x14ac:dyDescent="0.3">
      <c r="A300" s="31">
        <v>295</v>
      </c>
      <c r="B300" s="32" t="s">
        <v>272</v>
      </c>
      <c r="C300" s="32" t="s">
        <v>759</v>
      </c>
      <c r="D300" s="32" t="s">
        <v>760</v>
      </c>
      <c r="E300" s="32" t="s">
        <v>761</v>
      </c>
      <c r="F300" s="32" t="s">
        <v>312</v>
      </c>
      <c r="G300" s="33">
        <v>178</v>
      </c>
      <c r="H300" s="34">
        <v>1.171</v>
      </c>
      <c r="I300" s="31">
        <v>118260</v>
      </c>
      <c r="J300" s="35" t="s">
        <v>668</v>
      </c>
      <c r="K300" s="36">
        <v>2020</v>
      </c>
    </row>
    <row r="301" spans="1:11" ht="15" customHeight="1" x14ac:dyDescent="0.3">
      <c r="A301" s="37">
        <v>296</v>
      </c>
      <c r="B301" s="38" t="s">
        <v>272</v>
      </c>
      <c r="C301" s="38" t="s">
        <v>762</v>
      </c>
      <c r="D301" s="38" t="s">
        <v>763</v>
      </c>
      <c r="E301" s="38" t="s">
        <v>764</v>
      </c>
      <c r="F301" s="38" t="s">
        <v>316</v>
      </c>
      <c r="G301" s="39">
        <v>861</v>
      </c>
      <c r="H301" s="40">
        <v>2</v>
      </c>
      <c r="I301" s="37">
        <v>134000</v>
      </c>
      <c r="J301" s="41" t="s">
        <v>668</v>
      </c>
      <c r="K301" s="42">
        <v>2020</v>
      </c>
    </row>
    <row r="302" spans="1:11" ht="15" customHeight="1" x14ac:dyDescent="0.3">
      <c r="A302" s="31">
        <v>297</v>
      </c>
      <c r="B302" s="32" t="s">
        <v>272</v>
      </c>
      <c r="C302" s="32" t="s">
        <v>765</v>
      </c>
      <c r="D302" s="32" t="s">
        <v>766</v>
      </c>
      <c r="E302" s="32" t="s">
        <v>767</v>
      </c>
      <c r="F302" s="32" t="s">
        <v>316</v>
      </c>
      <c r="G302" s="33">
        <v>910</v>
      </c>
      <c r="H302" s="34">
        <v>3</v>
      </c>
      <c r="I302" s="31">
        <v>162000</v>
      </c>
      <c r="J302" s="35" t="s">
        <v>668</v>
      </c>
      <c r="K302" s="36">
        <v>2020</v>
      </c>
    </row>
    <row r="303" spans="1:11" ht="15" customHeight="1" x14ac:dyDescent="0.3">
      <c r="A303" s="37">
        <v>298</v>
      </c>
      <c r="B303" s="38" t="s">
        <v>272</v>
      </c>
      <c r="C303" s="38" t="s">
        <v>768</v>
      </c>
      <c r="D303" s="38" t="s">
        <v>769</v>
      </c>
      <c r="E303" s="38" t="s">
        <v>770</v>
      </c>
      <c r="F303" s="38" t="s">
        <v>435</v>
      </c>
      <c r="G303" s="39">
        <v>926.25</v>
      </c>
      <c r="H303" s="40">
        <v>3</v>
      </c>
      <c r="I303" s="37">
        <v>162000</v>
      </c>
      <c r="J303" s="41" t="s">
        <v>668</v>
      </c>
      <c r="K303" s="42">
        <v>2020</v>
      </c>
    </row>
    <row r="304" spans="1:11" ht="15" customHeight="1" x14ac:dyDescent="0.3">
      <c r="A304" s="31">
        <v>299</v>
      </c>
      <c r="B304" s="32" t="s">
        <v>272</v>
      </c>
      <c r="C304" s="32" t="s">
        <v>771</v>
      </c>
      <c r="D304" s="32" t="s">
        <v>772</v>
      </c>
      <c r="E304" s="32" t="s">
        <v>773</v>
      </c>
      <c r="F304" s="32" t="s">
        <v>276</v>
      </c>
      <c r="G304" s="33">
        <v>116</v>
      </c>
      <c r="H304" s="34">
        <v>0.64100000000000001</v>
      </c>
      <c r="I304" s="31">
        <v>118260</v>
      </c>
      <c r="J304" s="35" t="s">
        <v>668</v>
      </c>
      <c r="K304" s="36">
        <v>2020</v>
      </c>
    </row>
    <row r="305" spans="1:11" ht="15" customHeight="1" x14ac:dyDescent="0.3">
      <c r="A305" s="37">
        <v>300</v>
      </c>
      <c r="B305" s="38" t="s">
        <v>272</v>
      </c>
      <c r="C305" s="38" t="s">
        <v>774</v>
      </c>
      <c r="D305" s="38" t="s">
        <v>775</v>
      </c>
      <c r="E305" s="38" t="s">
        <v>776</v>
      </c>
      <c r="F305" s="38" t="s">
        <v>406</v>
      </c>
      <c r="G305" s="39">
        <v>1220</v>
      </c>
      <c r="H305" s="40">
        <v>3</v>
      </c>
      <c r="I305" s="37">
        <v>172260</v>
      </c>
      <c r="J305" s="41" t="s">
        <v>668</v>
      </c>
      <c r="K305" s="42">
        <v>2020</v>
      </c>
    </row>
    <row r="306" spans="1:11" ht="15" customHeight="1" x14ac:dyDescent="0.3">
      <c r="A306" s="31">
        <v>301</v>
      </c>
      <c r="B306" s="32" t="s">
        <v>272</v>
      </c>
      <c r="C306" s="32" t="s">
        <v>777</v>
      </c>
      <c r="D306" s="32" t="s">
        <v>778</v>
      </c>
      <c r="E306" s="32" t="s">
        <v>37</v>
      </c>
      <c r="F306" s="32" t="s">
        <v>312</v>
      </c>
      <c r="G306" s="33">
        <v>500</v>
      </c>
      <c r="H306" s="34">
        <v>1.33</v>
      </c>
      <c r="I306" s="31">
        <v>118260</v>
      </c>
      <c r="J306" s="35" t="s">
        <v>668</v>
      </c>
      <c r="K306" s="36">
        <v>2020</v>
      </c>
    </row>
    <row r="307" spans="1:11" ht="15" customHeight="1" x14ac:dyDescent="0.3">
      <c r="A307" s="37">
        <v>302</v>
      </c>
      <c r="B307" s="38" t="s">
        <v>272</v>
      </c>
      <c r="C307" s="38" t="s">
        <v>779</v>
      </c>
      <c r="D307" s="38" t="s">
        <v>780</v>
      </c>
      <c r="E307" s="38" t="s">
        <v>781</v>
      </c>
      <c r="F307" s="38" t="s">
        <v>316</v>
      </c>
      <c r="G307" s="39">
        <v>831</v>
      </c>
      <c r="H307" s="40">
        <v>3</v>
      </c>
      <c r="I307" s="37">
        <v>172260</v>
      </c>
      <c r="J307" s="41" t="s">
        <v>668</v>
      </c>
      <c r="K307" s="42">
        <v>2020</v>
      </c>
    </row>
    <row r="308" spans="1:11" ht="15" customHeight="1" x14ac:dyDescent="0.3">
      <c r="A308" s="31">
        <v>303</v>
      </c>
      <c r="B308" s="32" t="s">
        <v>272</v>
      </c>
      <c r="C308" s="32" t="s">
        <v>782</v>
      </c>
      <c r="D308" s="32" t="s">
        <v>783</v>
      </c>
      <c r="E308" s="32" t="s">
        <v>35</v>
      </c>
      <c r="F308" s="32" t="s">
        <v>276</v>
      </c>
      <c r="G308" s="33">
        <v>118</v>
      </c>
      <c r="H308" s="34">
        <v>0.27800000000000002</v>
      </c>
      <c r="I308" s="31">
        <v>118260</v>
      </c>
      <c r="J308" s="35" t="s">
        <v>668</v>
      </c>
      <c r="K308" s="36">
        <v>2020</v>
      </c>
    </row>
    <row r="309" spans="1:11" ht="15" customHeight="1" x14ac:dyDescent="0.3">
      <c r="A309" s="37">
        <v>304</v>
      </c>
      <c r="B309" s="38" t="s">
        <v>272</v>
      </c>
      <c r="C309" s="38" t="s">
        <v>784</v>
      </c>
      <c r="D309" s="38" t="s">
        <v>393</v>
      </c>
      <c r="E309" s="38" t="s">
        <v>785</v>
      </c>
      <c r="F309" s="38" t="s">
        <v>312</v>
      </c>
      <c r="G309" s="39">
        <v>1189</v>
      </c>
      <c r="H309" s="40">
        <v>5.1710000000000003</v>
      </c>
      <c r="I309" s="37">
        <v>200260</v>
      </c>
      <c r="J309" s="41" t="s">
        <v>668</v>
      </c>
      <c r="K309" s="42">
        <v>2020</v>
      </c>
    </row>
    <row r="310" spans="1:11" ht="15" customHeight="1" x14ac:dyDescent="0.3">
      <c r="A310" s="31">
        <v>305</v>
      </c>
      <c r="B310" s="32" t="s">
        <v>272</v>
      </c>
      <c r="C310" s="32" t="s">
        <v>786</v>
      </c>
      <c r="D310" s="32" t="s">
        <v>787</v>
      </c>
      <c r="E310" s="32" t="s">
        <v>788</v>
      </c>
      <c r="F310" s="32" t="s">
        <v>306</v>
      </c>
      <c r="G310" s="33">
        <v>109</v>
      </c>
      <c r="H310" s="34">
        <v>1.339</v>
      </c>
      <c r="I310" s="31">
        <v>118260</v>
      </c>
      <c r="J310" s="35" t="s">
        <v>668</v>
      </c>
      <c r="K310" s="36">
        <v>2020</v>
      </c>
    </row>
    <row r="311" spans="1:11" ht="15" customHeight="1" x14ac:dyDescent="0.3">
      <c r="A311" s="37">
        <v>306</v>
      </c>
      <c r="B311" s="38" t="s">
        <v>272</v>
      </c>
      <c r="C311" s="38" t="s">
        <v>789</v>
      </c>
      <c r="D311" s="38" t="s">
        <v>790</v>
      </c>
      <c r="E311" s="38" t="s">
        <v>791</v>
      </c>
      <c r="F311" s="38" t="s">
        <v>316</v>
      </c>
      <c r="G311" s="39">
        <v>1005</v>
      </c>
      <c r="H311" s="40">
        <v>2.64</v>
      </c>
      <c r="I311" s="37">
        <v>172260</v>
      </c>
      <c r="J311" s="41" t="s">
        <v>668</v>
      </c>
      <c r="K311" s="42">
        <v>2020</v>
      </c>
    </row>
    <row r="312" spans="1:11" ht="15" customHeight="1" x14ac:dyDescent="0.3">
      <c r="A312" s="31">
        <v>307</v>
      </c>
      <c r="B312" s="32" t="s">
        <v>272</v>
      </c>
      <c r="C312" s="32" t="s">
        <v>792</v>
      </c>
      <c r="D312" s="32" t="s">
        <v>793</v>
      </c>
      <c r="E312" s="32" t="s">
        <v>215</v>
      </c>
      <c r="F312" s="32" t="s">
        <v>658</v>
      </c>
      <c r="G312" s="33">
        <v>109.6</v>
      </c>
      <c r="H312" s="34">
        <v>0.35599999999999998</v>
      </c>
      <c r="I312" s="31">
        <v>108000</v>
      </c>
      <c r="J312" s="35" t="s">
        <v>668</v>
      </c>
      <c r="K312" s="36">
        <v>2020</v>
      </c>
    </row>
    <row r="313" spans="1:11" ht="15" customHeight="1" x14ac:dyDescent="0.3">
      <c r="A313" s="37">
        <v>308</v>
      </c>
      <c r="B313" s="38" t="s">
        <v>272</v>
      </c>
      <c r="C313" s="38" t="s">
        <v>794</v>
      </c>
      <c r="D313" s="38" t="s">
        <v>795</v>
      </c>
      <c r="E313" s="38" t="s">
        <v>796</v>
      </c>
      <c r="F313" s="38" t="s">
        <v>717</v>
      </c>
      <c r="G313" s="39">
        <v>914</v>
      </c>
      <c r="H313" s="40">
        <v>4</v>
      </c>
      <c r="I313" s="37">
        <v>200260</v>
      </c>
      <c r="J313" s="41" t="s">
        <v>668</v>
      </c>
      <c r="K313" s="42">
        <v>2020</v>
      </c>
    </row>
    <row r="314" spans="1:11" ht="15" customHeight="1" x14ac:dyDescent="0.3">
      <c r="A314" s="31">
        <v>309</v>
      </c>
      <c r="B314" s="32" t="s">
        <v>272</v>
      </c>
      <c r="C314" s="32" t="s">
        <v>797</v>
      </c>
      <c r="D314" s="32" t="s">
        <v>798</v>
      </c>
      <c r="E314" s="32" t="s">
        <v>37</v>
      </c>
      <c r="F314" s="32" t="s">
        <v>312</v>
      </c>
      <c r="G314" s="33">
        <v>1310</v>
      </c>
      <c r="H314" s="34">
        <v>0.51200000000000001</v>
      </c>
      <c r="I314" s="31">
        <v>118260</v>
      </c>
      <c r="J314" s="35" t="s">
        <v>668</v>
      </c>
      <c r="K314" s="36">
        <v>2020</v>
      </c>
    </row>
    <row r="315" spans="1:11" ht="15" customHeight="1" x14ac:dyDescent="0.3">
      <c r="A315" s="37">
        <v>310</v>
      </c>
      <c r="B315" s="38" t="s">
        <v>272</v>
      </c>
      <c r="C315" s="38" t="s">
        <v>799</v>
      </c>
      <c r="D315" s="38" t="s">
        <v>800</v>
      </c>
      <c r="E315" s="38" t="s">
        <v>43</v>
      </c>
      <c r="F315" s="38" t="s">
        <v>801</v>
      </c>
      <c r="G315" s="39">
        <v>7167</v>
      </c>
      <c r="H315" s="40">
        <v>2.6930000000000001</v>
      </c>
      <c r="I315" s="37">
        <v>284260</v>
      </c>
      <c r="J315" s="41" t="s">
        <v>668</v>
      </c>
      <c r="K315" s="42">
        <v>2020</v>
      </c>
    </row>
    <row r="316" spans="1:11" ht="15" customHeight="1" x14ac:dyDescent="0.3">
      <c r="A316" s="31">
        <v>311</v>
      </c>
      <c r="B316" s="32" t="s">
        <v>407</v>
      </c>
      <c r="C316" s="32" t="s">
        <v>802</v>
      </c>
      <c r="D316" s="32" t="s">
        <v>803</v>
      </c>
      <c r="E316" s="32" t="s">
        <v>804</v>
      </c>
      <c r="F316" s="32" t="s">
        <v>276</v>
      </c>
      <c r="G316" s="33">
        <v>527.20000000000005</v>
      </c>
      <c r="H316" s="34">
        <v>0.8</v>
      </c>
      <c r="I316" s="31">
        <v>127000</v>
      </c>
      <c r="J316" s="35" t="s">
        <v>805</v>
      </c>
      <c r="K316" s="36">
        <v>2020</v>
      </c>
    </row>
    <row r="317" spans="1:11" ht="15" customHeight="1" x14ac:dyDescent="0.3">
      <c r="A317" s="37">
        <v>312</v>
      </c>
      <c r="B317" s="38" t="s">
        <v>407</v>
      </c>
      <c r="C317" s="38" t="s">
        <v>806</v>
      </c>
      <c r="D317" s="38" t="s">
        <v>807</v>
      </c>
      <c r="E317" s="38" t="s">
        <v>638</v>
      </c>
      <c r="F317" s="38" t="s">
        <v>395</v>
      </c>
      <c r="G317" s="39">
        <v>3229.8359999999998</v>
      </c>
      <c r="H317" s="40">
        <v>8</v>
      </c>
      <c r="I317" s="37">
        <v>313000</v>
      </c>
      <c r="J317" s="41" t="s">
        <v>805</v>
      </c>
      <c r="K317" s="42">
        <v>2020</v>
      </c>
    </row>
    <row r="318" spans="1:11" ht="15" customHeight="1" x14ac:dyDescent="0.3">
      <c r="A318" s="31">
        <v>313</v>
      </c>
      <c r="B318" s="32" t="s">
        <v>407</v>
      </c>
      <c r="C318" s="32" t="s">
        <v>808</v>
      </c>
      <c r="D318" s="32" t="s">
        <v>325</v>
      </c>
      <c r="E318" s="32" t="s">
        <v>59</v>
      </c>
      <c r="F318" s="32" t="s">
        <v>809</v>
      </c>
      <c r="G318" s="33">
        <v>1906</v>
      </c>
      <c r="H318" s="34">
        <v>3</v>
      </c>
      <c r="I318" s="31">
        <v>181000</v>
      </c>
      <c r="J318" s="35" t="s">
        <v>805</v>
      </c>
      <c r="K318" s="36">
        <v>2020</v>
      </c>
    </row>
    <row r="319" spans="1:11" ht="15" customHeight="1" x14ac:dyDescent="0.3">
      <c r="A319" s="37">
        <v>314</v>
      </c>
      <c r="B319" s="38" t="s">
        <v>407</v>
      </c>
      <c r="C319" s="38" t="s">
        <v>810</v>
      </c>
      <c r="D319" s="38" t="s">
        <v>811</v>
      </c>
      <c r="E319" s="38" t="s">
        <v>812</v>
      </c>
      <c r="F319" s="38" t="s">
        <v>316</v>
      </c>
      <c r="G319" s="39">
        <v>1836</v>
      </c>
      <c r="H319" s="40">
        <v>3</v>
      </c>
      <c r="I319" s="37">
        <v>191260</v>
      </c>
      <c r="J319" s="41" t="s">
        <v>805</v>
      </c>
      <c r="K319" s="42">
        <v>2020</v>
      </c>
    </row>
    <row r="320" spans="1:11" ht="15" customHeight="1" x14ac:dyDescent="0.3">
      <c r="A320" s="31">
        <v>315</v>
      </c>
      <c r="B320" s="32" t="s">
        <v>407</v>
      </c>
      <c r="C320" s="32" t="s">
        <v>813</v>
      </c>
      <c r="D320" s="32" t="s">
        <v>814</v>
      </c>
      <c r="E320" s="32" t="s">
        <v>815</v>
      </c>
      <c r="F320" s="32" t="s">
        <v>312</v>
      </c>
      <c r="G320" s="33">
        <v>263</v>
      </c>
      <c r="H320" s="34">
        <v>1.466</v>
      </c>
      <c r="I320" s="31">
        <v>127000</v>
      </c>
      <c r="J320" s="35" t="s">
        <v>805</v>
      </c>
      <c r="K320" s="36">
        <v>2020</v>
      </c>
    </row>
    <row r="321" spans="1:11" ht="15" customHeight="1" x14ac:dyDescent="0.3">
      <c r="A321" s="37">
        <v>316</v>
      </c>
      <c r="B321" s="38" t="s">
        <v>407</v>
      </c>
      <c r="C321" s="38" t="s">
        <v>816</v>
      </c>
      <c r="D321" s="38" t="s">
        <v>817</v>
      </c>
      <c r="E321" s="38" t="s">
        <v>818</v>
      </c>
      <c r="F321" s="38" t="s">
        <v>335</v>
      </c>
      <c r="G321" s="39">
        <v>301.41000000000003</v>
      </c>
      <c r="H321" s="40">
        <v>2</v>
      </c>
      <c r="I321" s="37">
        <v>153000</v>
      </c>
      <c r="J321" s="41" t="s">
        <v>805</v>
      </c>
      <c r="K321" s="42">
        <v>2020</v>
      </c>
    </row>
    <row r="322" spans="1:11" ht="15" customHeight="1" x14ac:dyDescent="0.3">
      <c r="A322" s="31">
        <v>317</v>
      </c>
      <c r="B322" s="32" t="s">
        <v>407</v>
      </c>
      <c r="C322" s="32" t="s">
        <v>819</v>
      </c>
      <c r="D322" s="32" t="s">
        <v>820</v>
      </c>
      <c r="E322" s="32" t="s">
        <v>821</v>
      </c>
      <c r="F322" s="32" t="s">
        <v>822</v>
      </c>
      <c r="G322" s="33">
        <v>3017.5</v>
      </c>
      <c r="H322" s="34">
        <v>8</v>
      </c>
      <c r="I322" s="31">
        <v>323260</v>
      </c>
      <c r="J322" s="35" t="s">
        <v>805</v>
      </c>
      <c r="K322" s="36">
        <v>2020</v>
      </c>
    </row>
    <row r="323" spans="1:11" ht="15" customHeight="1" x14ac:dyDescent="0.3">
      <c r="A323" s="37">
        <v>318</v>
      </c>
      <c r="B323" s="38" t="s">
        <v>313</v>
      </c>
      <c r="C323" s="38" t="s">
        <v>823</v>
      </c>
      <c r="D323" s="38" t="s">
        <v>824</v>
      </c>
      <c r="E323" s="38" t="s">
        <v>35</v>
      </c>
      <c r="F323" s="38" t="s">
        <v>693</v>
      </c>
      <c r="G323" s="39">
        <v>2837</v>
      </c>
      <c r="H323" s="40">
        <v>5</v>
      </c>
      <c r="I323" s="37">
        <v>247260</v>
      </c>
      <c r="J323" s="41" t="s">
        <v>805</v>
      </c>
      <c r="K323" s="42">
        <v>2020</v>
      </c>
    </row>
    <row r="324" spans="1:11" ht="15" customHeight="1" x14ac:dyDescent="0.3">
      <c r="A324" s="31">
        <v>319</v>
      </c>
      <c r="B324" s="32" t="s">
        <v>313</v>
      </c>
      <c r="C324" s="32" t="s">
        <v>825</v>
      </c>
      <c r="D324" s="32" t="s">
        <v>826</v>
      </c>
      <c r="E324" s="32" t="s">
        <v>35</v>
      </c>
      <c r="F324" s="32" t="s">
        <v>435</v>
      </c>
      <c r="G324" s="33">
        <v>1036</v>
      </c>
      <c r="H324" s="34">
        <v>3.0259999999999998</v>
      </c>
      <c r="I324" s="31">
        <v>191260</v>
      </c>
      <c r="J324" s="35" t="s">
        <v>805</v>
      </c>
      <c r="K324" s="36">
        <v>2020</v>
      </c>
    </row>
    <row r="325" spans="1:11" ht="15" customHeight="1" x14ac:dyDescent="0.3">
      <c r="A325" s="37">
        <v>320</v>
      </c>
      <c r="B325" s="38" t="s">
        <v>313</v>
      </c>
      <c r="C325" s="38" t="s">
        <v>827</v>
      </c>
      <c r="D325" s="38" t="s">
        <v>44</v>
      </c>
      <c r="E325" s="38" t="s">
        <v>35</v>
      </c>
      <c r="F325" s="38" t="s">
        <v>312</v>
      </c>
      <c r="G325" s="39">
        <v>2335</v>
      </c>
      <c r="H325" s="40">
        <v>2.2949999999999999</v>
      </c>
      <c r="I325" s="37">
        <v>163260</v>
      </c>
      <c r="J325" s="41" t="s">
        <v>805</v>
      </c>
      <c r="K325" s="42">
        <v>2020</v>
      </c>
    </row>
    <row r="326" spans="1:11" ht="15" customHeight="1" x14ac:dyDescent="0.3">
      <c r="A326" s="31">
        <v>321</v>
      </c>
      <c r="B326" s="32" t="s">
        <v>313</v>
      </c>
      <c r="C326" s="32" t="s">
        <v>828</v>
      </c>
      <c r="D326" s="32" t="s">
        <v>671</v>
      </c>
      <c r="E326" s="32" t="s">
        <v>829</v>
      </c>
      <c r="F326" s="32" t="s">
        <v>693</v>
      </c>
      <c r="G326" s="33">
        <v>200</v>
      </c>
      <c r="H326" s="34">
        <v>1</v>
      </c>
      <c r="I326" s="31">
        <v>137260</v>
      </c>
      <c r="J326" s="35" t="s">
        <v>805</v>
      </c>
      <c r="K326" s="36">
        <v>2020</v>
      </c>
    </row>
    <row r="327" spans="1:11" ht="15" customHeight="1" x14ac:dyDescent="0.3">
      <c r="A327" s="37">
        <v>322</v>
      </c>
      <c r="B327" s="38" t="s">
        <v>313</v>
      </c>
      <c r="C327" s="38" t="s">
        <v>830</v>
      </c>
      <c r="D327" s="38" t="s">
        <v>811</v>
      </c>
      <c r="E327" s="38" t="s">
        <v>831</v>
      </c>
      <c r="F327" s="38" t="s">
        <v>276</v>
      </c>
      <c r="G327" s="39">
        <v>2021</v>
      </c>
      <c r="H327" s="40">
        <v>1.32</v>
      </c>
      <c r="I327" s="37">
        <v>163260</v>
      </c>
      <c r="J327" s="41" t="s">
        <v>805</v>
      </c>
      <c r="K327" s="42">
        <v>2020</v>
      </c>
    </row>
    <row r="328" spans="1:11" ht="15" customHeight="1" x14ac:dyDescent="0.3">
      <c r="A328" s="31">
        <v>323</v>
      </c>
      <c r="B328" s="32" t="s">
        <v>313</v>
      </c>
      <c r="C328" s="32" t="s">
        <v>832</v>
      </c>
      <c r="D328" s="32" t="s">
        <v>811</v>
      </c>
      <c r="E328" s="32" t="s">
        <v>833</v>
      </c>
      <c r="F328" s="32" t="s">
        <v>373</v>
      </c>
      <c r="G328" s="33">
        <v>1760</v>
      </c>
      <c r="H328" s="34">
        <v>1.155</v>
      </c>
      <c r="I328" s="31">
        <v>153000</v>
      </c>
      <c r="J328" s="35" t="s">
        <v>805</v>
      </c>
      <c r="K328" s="36">
        <v>2020</v>
      </c>
    </row>
    <row r="329" spans="1:11" ht="15" customHeight="1" x14ac:dyDescent="0.3">
      <c r="A329" s="37">
        <v>324</v>
      </c>
      <c r="B329" s="38" t="s">
        <v>313</v>
      </c>
      <c r="C329" s="38" t="s">
        <v>834</v>
      </c>
      <c r="D329" s="38" t="s">
        <v>811</v>
      </c>
      <c r="E329" s="38" t="s">
        <v>835</v>
      </c>
      <c r="F329" s="38" t="s">
        <v>435</v>
      </c>
      <c r="G329" s="39">
        <v>1751</v>
      </c>
      <c r="H329" s="40">
        <v>4</v>
      </c>
      <c r="I329" s="37">
        <v>209000</v>
      </c>
      <c r="J329" s="41" t="s">
        <v>805</v>
      </c>
      <c r="K329" s="42">
        <v>2020</v>
      </c>
    </row>
    <row r="330" spans="1:11" ht="15" customHeight="1" x14ac:dyDescent="0.3">
      <c r="A330" s="31">
        <v>325</v>
      </c>
      <c r="B330" s="32" t="s">
        <v>313</v>
      </c>
      <c r="C330" s="32" t="s">
        <v>836</v>
      </c>
      <c r="D330" s="32" t="s">
        <v>837</v>
      </c>
      <c r="E330" s="32" t="s">
        <v>680</v>
      </c>
      <c r="F330" s="32" t="s">
        <v>312</v>
      </c>
      <c r="G330" s="33">
        <v>170</v>
      </c>
      <c r="H330" s="34">
        <v>3</v>
      </c>
      <c r="I330" s="31">
        <v>191260</v>
      </c>
      <c r="J330" s="35" t="s">
        <v>805</v>
      </c>
      <c r="K330" s="36">
        <v>2020</v>
      </c>
    </row>
    <row r="331" spans="1:11" ht="15" customHeight="1" x14ac:dyDescent="0.3">
      <c r="A331" s="37">
        <v>326</v>
      </c>
      <c r="B331" s="38" t="s">
        <v>313</v>
      </c>
      <c r="C331" s="38" t="s">
        <v>838</v>
      </c>
      <c r="D331" s="38" t="s">
        <v>839</v>
      </c>
      <c r="E331" s="38" t="s">
        <v>215</v>
      </c>
      <c r="F331" s="38" t="s">
        <v>435</v>
      </c>
      <c r="G331" s="39">
        <v>2132</v>
      </c>
      <c r="H331" s="40">
        <v>5</v>
      </c>
      <c r="I331" s="37">
        <v>237000</v>
      </c>
      <c r="J331" s="41" t="s">
        <v>805</v>
      </c>
      <c r="K331" s="42">
        <v>2020</v>
      </c>
    </row>
    <row r="332" spans="1:11" ht="15" customHeight="1" x14ac:dyDescent="0.3">
      <c r="A332" s="31">
        <v>327</v>
      </c>
      <c r="B332" s="32" t="s">
        <v>313</v>
      </c>
      <c r="C332" s="32" t="s">
        <v>840</v>
      </c>
      <c r="D332" s="32" t="s">
        <v>841</v>
      </c>
      <c r="E332" s="32" t="s">
        <v>37</v>
      </c>
      <c r="F332" s="32" t="s">
        <v>312</v>
      </c>
      <c r="G332" s="33">
        <v>1190</v>
      </c>
      <c r="H332" s="34">
        <v>1.2070000000000001</v>
      </c>
      <c r="I332" s="31">
        <v>137260</v>
      </c>
      <c r="J332" s="35" t="s">
        <v>805</v>
      </c>
      <c r="K332" s="36">
        <v>2020</v>
      </c>
    </row>
    <row r="333" spans="1:11" ht="15" customHeight="1" x14ac:dyDescent="0.3">
      <c r="A333" s="37">
        <v>328</v>
      </c>
      <c r="B333" s="38" t="s">
        <v>336</v>
      </c>
      <c r="C333" s="38" t="s">
        <v>842</v>
      </c>
      <c r="D333" s="38" t="s">
        <v>369</v>
      </c>
      <c r="E333" s="38" t="s">
        <v>37</v>
      </c>
      <c r="F333" s="38" t="s">
        <v>395</v>
      </c>
      <c r="G333" s="39">
        <v>4100</v>
      </c>
      <c r="H333" s="40">
        <v>7</v>
      </c>
      <c r="I333" s="37">
        <v>303260</v>
      </c>
      <c r="J333" s="41" t="s">
        <v>805</v>
      </c>
      <c r="K333" s="42">
        <v>2020</v>
      </c>
    </row>
    <row r="334" spans="1:11" ht="15" customHeight="1" x14ac:dyDescent="0.3">
      <c r="A334" s="31">
        <v>329</v>
      </c>
      <c r="B334" s="32" t="s">
        <v>336</v>
      </c>
      <c r="C334" s="32" t="s">
        <v>843</v>
      </c>
      <c r="D334" s="32" t="s">
        <v>844</v>
      </c>
      <c r="E334" s="32" t="s">
        <v>845</v>
      </c>
      <c r="F334" s="32" t="s">
        <v>846</v>
      </c>
      <c r="G334" s="33">
        <v>100</v>
      </c>
      <c r="H334" s="34">
        <v>9.6000000000000002E-2</v>
      </c>
      <c r="I334" s="31">
        <v>137260</v>
      </c>
      <c r="J334" s="35" t="s">
        <v>805</v>
      </c>
      <c r="K334" s="36">
        <v>2020</v>
      </c>
    </row>
    <row r="335" spans="1:11" ht="15" customHeight="1" x14ac:dyDescent="0.3">
      <c r="A335" s="37">
        <v>330</v>
      </c>
      <c r="B335" s="38" t="s">
        <v>336</v>
      </c>
      <c r="C335" s="38" t="s">
        <v>847</v>
      </c>
      <c r="D335" s="38" t="s">
        <v>848</v>
      </c>
      <c r="E335" s="38" t="s">
        <v>49</v>
      </c>
      <c r="F335" s="38" t="s">
        <v>849</v>
      </c>
      <c r="G335" s="39">
        <v>552</v>
      </c>
      <c r="H335" s="40">
        <v>2</v>
      </c>
      <c r="I335" s="37">
        <v>153000</v>
      </c>
      <c r="J335" s="41" t="s">
        <v>805</v>
      </c>
      <c r="K335" s="42">
        <v>2020</v>
      </c>
    </row>
    <row r="336" spans="1:11" ht="15" customHeight="1" x14ac:dyDescent="0.3">
      <c r="A336" s="31">
        <v>331</v>
      </c>
      <c r="B336" s="32" t="s">
        <v>336</v>
      </c>
      <c r="C336" s="32" t="s">
        <v>850</v>
      </c>
      <c r="D336" s="32" t="s">
        <v>851</v>
      </c>
      <c r="E336" s="32" t="s">
        <v>41</v>
      </c>
      <c r="F336" s="32" t="s">
        <v>276</v>
      </c>
      <c r="G336" s="33">
        <v>103</v>
      </c>
      <c r="H336" s="34">
        <v>0.17599999999999999</v>
      </c>
      <c r="I336" s="31">
        <v>137260</v>
      </c>
      <c r="J336" s="35" t="s">
        <v>805</v>
      </c>
      <c r="K336" s="36">
        <v>2020</v>
      </c>
    </row>
    <row r="337" spans="1:11" ht="15" customHeight="1" x14ac:dyDescent="0.3">
      <c r="A337" s="37">
        <v>332</v>
      </c>
      <c r="B337" s="38" t="s">
        <v>336</v>
      </c>
      <c r="C337" s="38" t="s">
        <v>852</v>
      </c>
      <c r="D337" s="38" t="s">
        <v>853</v>
      </c>
      <c r="E337" s="38" t="s">
        <v>41</v>
      </c>
      <c r="F337" s="38" t="s">
        <v>287</v>
      </c>
      <c r="G337" s="39">
        <v>820</v>
      </c>
      <c r="H337" s="40">
        <v>5</v>
      </c>
      <c r="I337" s="37">
        <v>247260</v>
      </c>
      <c r="J337" s="41" t="s">
        <v>805</v>
      </c>
      <c r="K337" s="42">
        <v>2020</v>
      </c>
    </row>
    <row r="338" spans="1:11" ht="15" customHeight="1" x14ac:dyDescent="0.3">
      <c r="A338" s="31">
        <v>333</v>
      </c>
      <c r="B338" s="32" t="s">
        <v>336</v>
      </c>
      <c r="C338" s="32" t="s">
        <v>854</v>
      </c>
      <c r="D338" s="32" t="s">
        <v>855</v>
      </c>
      <c r="E338" s="32" t="s">
        <v>35</v>
      </c>
      <c r="F338" s="32" t="s">
        <v>287</v>
      </c>
      <c r="G338" s="33">
        <v>5776</v>
      </c>
      <c r="H338" s="34">
        <v>0.18</v>
      </c>
      <c r="I338" s="31">
        <v>275260</v>
      </c>
      <c r="J338" s="35" t="s">
        <v>805</v>
      </c>
      <c r="K338" s="36">
        <v>2020</v>
      </c>
    </row>
    <row r="339" spans="1:11" ht="15" customHeight="1" x14ac:dyDescent="0.3">
      <c r="A339" s="37">
        <v>334</v>
      </c>
      <c r="B339" s="38" t="s">
        <v>336</v>
      </c>
      <c r="C339" s="38" t="s">
        <v>856</v>
      </c>
      <c r="D339" s="38" t="s">
        <v>209</v>
      </c>
      <c r="E339" s="38" t="s">
        <v>857</v>
      </c>
      <c r="F339" s="38" t="s">
        <v>435</v>
      </c>
      <c r="G339" s="39">
        <v>1060</v>
      </c>
      <c r="H339" s="40">
        <v>4</v>
      </c>
      <c r="I339" s="37">
        <v>219260</v>
      </c>
      <c r="J339" s="41" t="s">
        <v>805</v>
      </c>
      <c r="K339" s="42">
        <v>2020</v>
      </c>
    </row>
    <row r="340" spans="1:11" ht="15" customHeight="1" x14ac:dyDescent="0.3">
      <c r="A340" s="31">
        <v>335</v>
      </c>
      <c r="B340" s="32" t="s">
        <v>336</v>
      </c>
      <c r="C340" s="32" t="s">
        <v>858</v>
      </c>
      <c r="D340" s="32" t="s">
        <v>859</v>
      </c>
      <c r="E340" s="32" t="s">
        <v>638</v>
      </c>
      <c r="F340" s="32" t="s">
        <v>316</v>
      </c>
      <c r="G340" s="33">
        <v>657.2</v>
      </c>
      <c r="H340" s="34">
        <v>2</v>
      </c>
      <c r="I340" s="31">
        <v>153000</v>
      </c>
      <c r="J340" s="35" t="s">
        <v>805</v>
      </c>
      <c r="K340" s="36">
        <v>2020</v>
      </c>
    </row>
    <row r="341" spans="1:11" ht="15" customHeight="1" x14ac:dyDescent="0.3">
      <c r="A341" s="37">
        <v>336</v>
      </c>
      <c r="B341" s="38" t="s">
        <v>336</v>
      </c>
      <c r="C341" s="38" t="s">
        <v>860</v>
      </c>
      <c r="D341" s="38" t="s">
        <v>325</v>
      </c>
      <c r="E341" s="38" t="s">
        <v>59</v>
      </c>
      <c r="F341" s="38" t="s">
        <v>276</v>
      </c>
      <c r="G341" s="39">
        <v>156</v>
      </c>
      <c r="H341" s="40">
        <v>1.3240000000000001</v>
      </c>
      <c r="I341" s="37">
        <v>137260</v>
      </c>
      <c r="J341" s="41" t="s">
        <v>805</v>
      </c>
      <c r="K341" s="42">
        <v>2020</v>
      </c>
    </row>
    <row r="342" spans="1:11" ht="15" customHeight="1" x14ac:dyDescent="0.3">
      <c r="A342" s="31">
        <v>337</v>
      </c>
      <c r="B342" s="32" t="s">
        <v>336</v>
      </c>
      <c r="C342" s="32" t="s">
        <v>861</v>
      </c>
      <c r="D342" s="32" t="s">
        <v>647</v>
      </c>
      <c r="E342" s="32" t="s">
        <v>648</v>
      </c>
      <c r="F342" s="32" t="s">
        <v>287</v>
      </c>
      <c r="G342" s="33">
        <v>700</v>
      </c>
      <c r="H342" s="34">
        <v>6</v>
      </c>
      <c r="I342" s="31">
        <v>275260</v>
      </c>
      <c r="J342" s="35" t="s">
        <v>805</v>
      </c>
      <c r="K342" s="36">
        <v>2020</v>
      </c>
    </row>
    <row r="343" spans="1:11" ht="15" customHeight="1" x14ac:dyDescent="0.3">
      <c r="A343" s="37">
        <v>338</v>
      </c>
      <c r="B343" s="38" t="s">
        <v>336</v>
      </c>
      <c r="C343" s="38" t="s">
        <v>862</v>
      </c>
      <c r="D343" s="38" t="s">
        <v>647</v>
      </c>
      <c r="E343" s="38" t="s">
        <v>648</v>
      </c>
      <c r="F343" s="38" t="s">
        <v>312</v>
      </c>
      <c r="G343" s="39">
        <v>1400</v>
      </c>
      <c r="H343" s="40">
        <v>6</v>
      </c>
      <c r="I343" s="37">
        <v>275260</v>
      </c>
      <c r="J343" s="41" t="s">
        <v>805</v>
      </c>
      <c r="K343" s="42">
        <v>2020</v>
      </c>
    </row>
    <row r="344" spans="1:11" ht="15" customHeight="1" x14ac:dyDescent="0.3">
      <c r="A344" s="31">
        <v>339</v>
      </c>
      <c r="B344" s="32" t="s">
        <v>336</v>
      </c>
      <c r="C344" s="32" t="s">
        <v>863</v>
      </c>
      <c r="D344" s="32" t="s">
        <v>864</v>
      </c>
      <c r="E344" s="32" t="s">
        <v>865</v>
      </c>
      <c r="F344" s="32" t="s">
        <v>287</v>
      </c>
      <c r="G344" s="33">
        <v>1027</v>
      </c>
      <c r="H344" s="34">
        <v>3</v>
      </c>
      <c r="I344" s="31">
        <v>191260</v>
      </c>
      <c r="J344" s="35" t="s">
        <v>805</v>
      </c>
      <c r="K344" s="36">
        <v>2020</v>
      </c>
    </row>
    <row r="345" spans="1:11" ht="15" customHeight="1" x14ac:dyDescent="0.3">
      <c r="A345" s="37">
        <v>340</v>
      </c>
      <c r="B345" s="38" t="s">
        <v>336</v>
      </c>
      <c r="C345" s="38" t="s">
        <v>866</v>
      </c>
      <c r="D345" s="38" t="s">
        <v>867</v>
      </c>
      <c r="E345" s="38" t="s">
        <v>868</v>
      </c>
      <c r="F345" s="38" t="s">
        <v>276</v>
      </c>
      <c r="G345" s="39">
        <v>1143</v>
      </c>
      <c r="H345" s="40">
        <v>4</v>
      </c>
      <c r="I345" s="37">
        <v>209000</v>
      </c>
      <c r="J345" s="41" t="s">
        <v>805</v>
      </c>
      <c r="K345" s="42">
        <v>2020</v>
      </c>
    </row>
    <row r="346" spans="1:11" ht="15" customHeight="1" x14ac:dyDescent="0.3">
      <c r="A346" s="31">
        <v>341</v>
      </c>
      <c r="B346" s="32" t="s">
        <v>336</v>
      </c>
      <c r="C346" s="32" t="s">
        <v>869</v>
      </c>
      <c r="D346" s="32" t="s">
        <v>48</v>
      </c>
      <c r="E346" s="32" t="s">
        <v>35</v>
      </c>
      <c r="F346" s="32" t="s">
        <v>276</v>
      </c>
      <c r="G346" s="33">
        <v>102</v>
      </c>
      <c r="H346" s="34">
        <v>0.26400000000000001</v>
      </c>
      <c r="I346" s="31">
        <v>137260</v>
      </c>
      <c r="J346" s="35" t="s">
        <v>805</v>
      </c>
      <c r="K346" s="36">
        <v>2020</v>
      </c>
    </row>
    <row r="347" spans="1:11" ht="15" customHeight="1" x14ac:dyDescent="0.3">
      <c r="A347" s="37">
        <v>342</v>
      </c>
      <c r="B347" s="38" t="s">
        <v>336</v>
      </c>
      <c r="C347" s="38" t="s">
        <v>870</v>
      </c>
      <c r="D347" s="38" t="s">
        <v>871</v>
      </c>
      <c r="E347" s="38" t="s">
        <v>872</v>
      </c>
      <c r="F347" s="38" t="s">
        <v>276</v>
      </c>
      <c r="G347" s="39">
        <v>400</v>
      </c>
      <c r="H347" s="40">
        <v>3</v>
      </c>
      <c r="I347" s="37">
        <v>191260</v>
      </c>
      <c r="J347" s="41" t="s">
        <v>805</v>
      </c>
      <c r="K347" s="42">
        <v>2020</v>
      </c>
    </row>
    <row r="348" spans="1:11" ht="15" customHeight="1" x14ac:dyDescent="0.3">
      <c r="A348" s="31">
        <v>343</v>
      </c>
      <c r="B348" s="32" t="s">
        <v>336</v>
      </c>
      <c r="C348" s="32" t="s">
        <v>873</v>
      </c>
      <c r="D348" s="32" t="s">
        <v>874</v>
      </c>
      <c r="E348" s="32" t="s">
        <v>875</v>
      </c>
      <c r="F348" s="32" t="s">
        <v>435</v>
      </c>
      <c r="G348" s="33">
        <v>1491</v>
      </c>
      <c r="H348" s="34">
        <v>1.08</v>
      </c>
      <c r="I348" s="31">
        <v>127000</v>
      </c>
      <c r="J348" s="35" t="s">
        <v>805</v>
      </c>
      <c r="K348" s="36">
        <v>2020</v>
      </c>
    </row>
    <row r="349" spans="1:11" ht="15" customHeight="1" x14ac:dyDescent="0.3">
      <c r="A349" s="37">
        <v>344</v>
      </c>
      <c r="B349" s="38" t="s">
        <v>336</v>
      </c>
      <c r="C349" s="38" t="s">
        <v>876</v>
      </c>
      <c r="D349" s="38" t="s">
        <v>877</v>
      </c>
      <c r="E349" s="38" t="s">
        <v>878</v>
      </c>
      <c r="F349" s="38" t="s">
        <v>741</v>
      </c>
      <c r="G349" s="39">
        <v>470</v>
      </c>
      <c r="H349" s="40">
        <v>2</v>
      </c>
      <c r="I349" s="37">
        <v>153000</v>
      </c>
      <c r="J349" s="41" t="s">
        <v>805</v>
      </c>
      <c r="K349" s="42">
        <v>2020</v>
      </c>
    </row>
    <row r="350" spans="1:11" ht="15" customHeight="1" x14ac:dyDescent="0.3">
      <c r="A350" s="31">
        <v>345</v>
      </c>
      <c r="B350" s="32" t="s">
        <v>313</v>
      </c>
      <c r="C350" s="32" t="s">
        <v>879</v>
      </c>
      <c r="D350" s="32" t="s">
        <v>880</v>
      </c>
      <c r="E350" s="32" t="s">
        <v>881</v>
      </c>
      <c r="F350" s="32" t="s">
        <v>316</v>
      </c>
      <c r="G350" s="33">
        <v>1064</v>
      </c>
      <c r="H350" s="34">
        <v>3.456</v>
      </c>
      <c r="I350" s="31">
        <v>191260</v>
      </c>
      <c r="J350" s="35" t="s">
        <v>805</v>
      </c>
      <c r="K350" s="36">
        <v>2020</v>
      </c>
    </row>
    <row r="351" spans="1:11" ht="15" customHeight="1" x14ac:dyDescent="0.3">
      <c r="A351" s="37">
        <v>346</v>
      </c>
      <c r="B351" s="38" t="s">
        <v>313</v>
      </c>
      <c r="C351" s="38" t="s">
        <v>882</v>
      </c>
      <c r="D351" s="38" t="s">
        <v>429</v>
      </c>
      <c r="E351" s="38" t="s">
        <v>35</v>
      </c>
      <c r="F351" s="38" t="s">
        <v>276</v>
      </c>
      <c r="G351" s="39">
        <v>130</v>
      </c>
      <c r="H351" s="40">
        <v>0.38400000000000001</v>
      </c>
      <c r="I351" s="37">
        <v>118260</v>
      </c>
      <c r="J351" s="41" t="s">
        <v>805</v>
      </c>
      <c r="K351" s="42">
        <v>2020</v>
      </c>
    </row>
    <row r="352" spans="1:11" ht="15" customHeight="1" x14ac:dyDescent="0.3">
      <c r="A352" s="31">
        <v>347</v>
      </c>
      <c r="B352" s="32" t="s">
        <v>313</v>
      </c>
      <c r="C352" s="32" t="s">
        <v>883</v>
      </c>
      <c r="D352" s="32" t="s">
        <v>884</v>
      </c>
      <c r="E352" s="32" t="s">
        <v>76</v>
      </c>
      <c r="F352" s="32" t="s">
        <v>276</v>
      </c>
      <c r="G352" s="33">
        <v>608</v>
      </c>
      <c r="H352" s="34">
        <v>1.1399999999999999</v>
      </c>
      <c r="I352" s="31">
        <v>118260</v>
      </c>
      <c r="J352" s="35" t="s">
        <v>805</v>
      </c>
      <c r="K352" s="36">
        <v>2020</v>
      </c>
    </row>
    <row r="353" spans="1:11" ht="15" customHeight="1" x14ac:dyDescent="0.3">
      <c r="A353" s="37">
        <v>348</v>
      </c>
      <c r="B353" s="38" t="s">
        <v>313</v>
      </c>
      <c r="C353" s="38" t="s">
        <v>885</v>
      </c>
      <c r="D353" s="38" t="s">
        <v>886</v>
      </c>
      <c r="E353" s="38" t="s">
        <v>592</v>
      </c>
      <c r="F353" s="38" t="s">
        <v>849</v>
      </c>
      <c r="G353" s="39">
        <v>135</v>
      </c>
      <c r="H353" s="40">
        <v>0.08</v>
      </c>
      <c r="I353" s="37">
        <v>137260</v>
      </c>
      <c r="J353" s="41" t="s">
        <v>805</v>
      </c>
      <c r="K353" s="42">
        <v>2020</v>
      </c>
    </row>
    <row r="354" spans="1:11" ht="15" customHeight="1" x14ac:dyDescent="0.3">
      <c r="A354" s="31">
        <v>349</v>
      </c>
      <c r="B354" s="32" t="s">
        <v>272</v>
      </c>
      <c r="C354" s="32" t="s">
        <v>887</v>
      </c>
      <c r="D354" s="32" t="s">
        <v>888</v>
      </c>
      <c r="E354" s="32" t="s">
        <v>889</v>
      </c>
      <c r="F354" s="32" t="s">
        <v>890</v>
      </c>
      <c r="G354" s="33">
        <v>1031</v>
      </c>
      <c r="H354" s="34">
        <v>4</v>
      </c>
      <c r="I354" s="31">
        <v>219260</v>
      </c>
      <c r="J354" s="35" t="s">
        <v>805</v>
      </c>
      <c r="K354" s="36">
        <v>2020</v>
      </c>
    </row>
    <row r="355" spans="1:11" ht="15" customHeight="1" x14ac:dyDescent="0.3">
      <c r="A355" s="37">
        <v>350</v>
      </c>
      <c r="B355" s="38" t="s">
        <v>272</v>
      </c>
      <c r="C355" s="38" t="s">
        <v>891</v>
      </c>
      <c r="D355" s="38" t="s">
        <v>892</v>
      </c>
      <c r="E355" s="38" t="s">
        <v>893</v>
      </c>
      <c r="F355" s="38" t="s">
        <v>276</v>
      </c>
      <c r="G355" s="39">
        <v>266</v>
      </c>
      <c r="H355" s="40">
        <v>0.82099999999999995</v>
      </c>
      <c r="I355" s="37">
        <v>118260</v>
      </c>
      <c r="J355" s="41" t="s">
        <v>805</v>
      </c>
      <c r="K355" s="42">
        <v>2020</v>
      </c>
    </row>
    <row r="356" spans="1:11" ht="15" customHeight="1" x14ac:dyDescent="0.3">
      <c r="A356" s="31">
        <v>351</v>
      </c>
      <c r="B356" s="32" t="s">
        <v>272</v>
      </c>
      <c r="C356" s="32" t="s">
        <v>894</v>
      </c>
      <c r="D356" s="32" t="s">
        <v>803</v>
      </c>
      <c r="E356" s="32" t="s">
        <v>215</v>
      </c>
      <c r="F356" s="32" t="s">
        <v>895</v>
      </c>
      <c r="G356" s="33">
        <v>56.4</v>
      </c>
      <c r="H356" s="34">
        <v>9.1999999999999998E-2</v>
      </c>
      <c r="I356" s="31">
        <v>127000</v>
      </c>
      <c r="J356" s="35" t="s">
        <v>805</v>
      </c>
      <c r="K356" s="36">
        <v>2020</v>
      </c>
    </row>
    <row r="357" spans="1:11" ht="15" customHeight="1" x14ac:dyDescent="0.3">
      <c r="A357" s="37">
        <v>352</v>
      </c>
      <c r="B357" s="38" t="s">
        <v>272</v>
      </c>
      <c r="C357" s="38" t="s">
        <v>896</v>
      </c>
      <c r="D357" s="38" t="s">
        <v>803</v>
      </c>
      <c r="E357" s="38" t="s">
        <v>804</v>
      </c>
      <c r="F357" s="38" t="s">
        <v>316</v>
      </c>
      <c r="G357" s="39">
        <v>1581.6</v>
      </c>
      <c r="H357" s="40">
        <v>3</v>
      </c>
      <c r="I357" s="37">
        <v>181000</v>
      </c>
      <c r="J357" s="41" t="s">
        <v>805</v>
      </c>
      <c r="K357" s="42">
        <v>2020</v>
      </c>
    </row>
    <row r="358" spans="1:11" ht="15" customHeight="1" x14ac:dyDescent="0.3">
      <c r="A358" s="31">
        <v>353</v>
      </c>
      <c r="B358" s="32" t="s">
        <v>272</v>
      </c>
      <c r="C358" s="32" t="s">
        <v>897</v>
      </c>
      <c r="D358" s="32" t="s">
        <v>844</v>
      </c>
      <c r="E358" s="32" t="s">
        <v>845</v>
      </c>
      <c r="F358" s="32" t="s">
        <v>658</v>
      </c>
      <c r="G358" s="33">
        <v>326</v>
      </c>
      <c r="H358" s="34">
        <v>3</v>
      </c>
      <c r="I358" s="31">
        <v>172260</v>
      </c>
      <c r="J358" s="35" t="s">
        <v>805</v>
      </c>
      <c r="K358" s="36">
        <v>2020</v>
      </c>
    </row>
    <row r="359" spans="1:11" ht="15" customHeight="1" x14ac:dyDescent="0.3">
      <c r="A359" s="37">
        <v>354</v>
      </c>
      <c r="B359" s="38" t="s">
        <v>272</v>
      </c>
      <c r="C359" s="38" t="s">
        <v>898</v>
      </c>
      <c r="D359" s="38" t="s">
        <v>899</v>
      </c>
      <c r="E359" s="38" t="s">
        <v>57</v>
      </c>
      <c r="F359" s="38" t="s">
        <v>900</v>
      </c>
      <c r="G359" s="39">
        <v>1397.079</v>
      </c>
      <c r="H359" s="40">
        <v>9</v>
      </c>
      <c r="I359" s="37">
        <v>340000</v>
      </c>
      <c r="J359" s="41" t="s">
        <v>805</v>
      </c>
      <c r="K359" s="42">
        <v>2020</v>
      </c>
    </row>
    <row r="360" spans="1:11" ht="15" customHeight="1" x14ac:dyDescent="0.3">
      <c r="A360" s="31">
        <v>355</v>
      </c>
      <c r="B360" s="32" t="s">
        <v>272</v>
      </c>
      <c r="C360" s="32" t="s">
        <v>901</v>
      </c>
      <c r="D360" s="32" t="s">
        <v>902</v>
      </c>
      <c r="E360" s="32" t="s">
        <v>903</v>
      </c>
      <c r="F360" s="32" t="s">
        <v>276</v>
      </c>
      <c r="G360" s="33">
        <v>175</v>
      </c>
      <c r="H360" s="34">
        <v>0.79700000000000004</v>
      </c>
      <c r="I360" s="31">
        <v>118260</v>
      </c>
      <c r="J360" s="35" t="s">
        <v>805</v>
      </c>
      <c r="K360" s="36">
        <v>2020</v>
      </c>
    </row>
    <row r="361" spans="1:11" ht="15" customHeight="1" x14ac:dyDescent="0.3">
      <c r="A361" s="37">
        <v>356</v>
      </c>
      <c r="B361" s="38" t="s">
        <v>272</v>
      </c>
      <c r="C361" s="38" t="s">
        <v>904</v>
      </c>
      <c r="D361" s="38" t="s">
        <v>905</v>
      </c>
      <c r="E361" s="38" t="s">
        <v>906</v>
      </c>
      <c r="F361" s="38" t="s">
        <v>312</v>
      </c>
      <c r="G361" s="39">
        <v>511</v>
      </c>
      <c r="H361" s="40">
        <v>0.63400000000000001</v>
      </c>
      <c r="I361" s="37">
        <v>127000</v>
      </c>
      <c r="J361" s="41" t="s">
        <v>805</v>
      </c>
      <c r="K361" s="42">
        <v>2020</v>
      </c>
    </row>
    <row r="362" spans="1:11" ht="15" customHeight="1" x14ac:dyDescent="0.3">
      <c r="A362" s="31">
        <v>357</v>
      </c>
      <c r="B362" s="32" t="s">
        <v>272</v>
      </c>
      <c r="C362" s="32" t="s">
        <v>907</v>
      </c>
      <c r="D362" s="32" t="s">
        <v>908</v>
      </c>
      <c r="E362" s="32" t="s">
        <v>909</v>
      </c>
      <c r="F362" s="32" t="s">
        <v>395</v>
      </c>
      <c r="G362" s="33">
        <v>4347</v>
      </c>
      <c r="H362" s="34">
        <v>6</v>
      </c>
      <c r="I362" s="31">
        <v>275260</v>
      </c>
      <c r="J362" s="35" t="s">
        <v>805</v>
      </c>
      <c r="K362" s="36">
        <v>2020</v>
      </c>
    </row>
    <row r="363" spans="1:11" ht="15" customHeight="1" x14ac:dyDescent="0.3">
      <c r="A363" s="37">
        <v>358</v>
      </c>
      <c r="B363" s="38" t="s">
        <v>272</v>
      </c>
      <c r="C363" s="38" t="s">
        <v>910</v>
      </c>
      <c r="D363" s="38" t="s">
        <v>911</v>
      </c>
      <c r="E363" s="38" t="s">
        <v>912</v>
      </c>
      <c r="F363" s="38" t="s">
        <v>287</v>
      </c>
      <c r="G363" s="39">
        <v>547</v>
      </c>
      <c r="H363" s="40">
        <v>3</v>
      </c>
      <c r="I363" s="37">
        <v>181000</v>
      </c>
      <c r="J363" s="41" t="s">
        <v>805</v>
      </c>
      <c r="K363" s="42">
        <v>2020</v>
      </c>
    </row>
    <row r="364" spans="1:11" ht="15" customHeight="1" x14ac:dyDescent="0.3">
      <c r="A364" s="31">
        <v>359</v>
      </c>
      <c r="B364" s="32" t="s">
        <v>272</v>
      </c>
      <c r="C364" s="32" t="s">
        <v>913</v>
      </c>
      <c r="D364" s="32" t="s">
        <v>429</v>
      </c>
      <c r="E364" s="32" t="s">
        <v>76</v>
      </c>
      <c r="F364" s="32" t="s">
        <v>276</v>
      </c>
      <c r="G364" s="33">
        <v>325</v>
      </c>
      <c r="H364" s="34">
        <v>0.38400000000000001</v>
      </c>
      <c r="I364" s="31">
        <v>118260</v>
      </c>
      <c r="J364" s="35" t="s">
        <v>805</v>
      </c>
      <c r="K364" s="36">
        <v>2020</v>
      </c>
    </row>
    <row r="365" spans="1:11" ht="15" customHeight="1" x14ac:dyDescent="0.3">
      <c r="A365" s="37">
        <v>360</v>
      </c>
      <c r="B365" s="38" t="s">
        <v>272</v>
      </c>
      <c r="C365" s="38" t="s">
        <v>914</v>
      </c>
      <c r="D365" s="38" t="s">
        <v>915</v>
      </c>
      <c r="E365" s="38" t="s">
        <v>916</v>
      </c>
      <c r="F365" s="38" t="s">
        <v>402</v>
      </c>
      <c r="G365" s="39">
        <v>2293</v>
      </c>
      <c r="H365" s="40">
        <v>8</v>
      </c>
      <c r="I365" s="37">
        <v>323260</v>
      </c>
      <c r="J365" s="41" t="s">
        <v>805</v>
      </c>
      <c r="K365" s="42">
        <v>2020</v>
      </c>
    </row>
    <row r="366" spans="1:11" ht="15" customHeight="1" x14ac:dyDescent="0.3">
      <c r="A366" s="31">
        <v>361</v>
      </c>
      <c r="B366" s="32" t="s">
        <v>272</v>
      </c>
      <c r="C366" s="32" t="s">
        <v>917</v>
      </c>
      <c r="D366" s="32" t="s">
        <v>886</v>
      </c>
      <c r="E366" s="32" t="s">
        <v>592</v>
      </c>
      <c r="F366" s="32" t="s">
        <v>312</v>
      </c>
      <c r="G366" s="33">
        <v>375</v>
      </c>
      <c r="H366" s="34">
        <v>1.33</v>
      </c>
      <c r="I366" s="31">
        <v>137260</v>
      </c>
      <c r="J366" s="35" t="s">
        <v>805</v>
      </c>
      <c r="K366" s="36">
        <v>2020</v>
      </c>
    </row>
    <row r="367" spans="1:11" ht="15" customHeight="1" x14ac:dyDescent="0.3">
      <c r="A367" s="37">
        <v>362</v>
      </c>
      <c r="B367" s="38" t="s">
        <v>272</v>
      </c>
      <c r="C367" s="38" t="s">
        <v>918</v>
      </c>
      <c r="D367" s="38" t="s">
        <v>919</v>
      </c>
      <c r="E367" s="38" t="s">
        <v>37</v>
      </c>
      <c r="F367" s="38" t="s">
        <v>373</v>
      </c>
      <c r="G367" s="39">
        <v>640</v>
      </c>
      <c r="H367" s="40">
        <v>0.75</v>
      </c>
      <c r="I367" s="37">
        <v>137260</v>
      </c>
      <c r="J367" s="41" t="s">
        <v>805</v>
      </c>
      <c r="K367" s="42">
        <v>2020</v>
      </c>
    </row>
    <row r="368" spans="1:11" ht="15" customHeight="1" x14ac:dyDescent="0.3">
      <c r="A368" s="31">
        <v>363</v>
      </c>
      <c r="B368" s="32" t="s">
        <v>272</v>
      </c>
      <c r="C368" s="32" t="s">
        <v>860</v>
      </c>
      <c r="D368" s="32" t="s">
        <v>54</v>
      </c>
      <c r="E368" s="32" t="s">
        <v>35</v>
      </c>
      <c r="F368" s="32" t="s">
        <v>741</v>
      </c>
      <c r="G368" s="33">
        <v>3024</v>
      </c>
      <c r="H368" s="34">
        <v>0.67500000000000004</v>
      </c>
      <c r="I368" s="31">
        <v>350260</v>
      </c>
      <c r="J368" s="35" t="s">
        <v>920</v>
      </c>
      <c r="K368" s="36">
        <v>2020</v>
      </c>
    </row>
    <row r="369" spans="1:11" ht="15" customHeight="1" x14ac:dyDescent="0.3">
      <c r="A369" s="37">
        <v>364</v>
      </c>
      <c r="B369" s="38" t="s">
        <v>272</v>
      </c>
      <c r="C369" s="38" t="s">
        <v>921</v>
      </c>
      <c r="D369" s="38" t="s">
        <v>922</v>
      </c>
      <c r="E369" s="38" t="s">
        <v>923</v>
      </c>
      <c r="F369" s="38" t="s">
        <v>316</v>
      </c>
      <c r="G369" s="39">
        <v>684</v>
      </c>
      <c r="H369" s="40">
        <v>2.0539999999999998</v>
      </c>
      <c r="I369" s="37">
        <v>163260</v>
      </c>
      <c r="J369" s="41" t="s">
        <v>920</v>
      </c>
      <c r="K369" s="42">
        <v>2020</v>
      </c>
    </row>
    <row r="370" spans="1:11" ht="15" customHeight="1" x14ac:dyDescent="0.3">
      <c r="A370" s="31">
        <v>365</v>
      </c>
      <c r="B370" s="32" t="s">
        <v>272</v>
      </c>
      <c r="C370" s="32" t="s">
        <v>924</v>
      </c>
      <c r="D370" s="32" t="s">
        <v>671</v>
      </c>
      <c r="E370" s="32" t="s">
        <v>76</v>
      </c>
      <c r="F370" s="32" t="s">
        <v>925</v>
      </c>
      <c r="G370" s="33">
        <v>4734</v>
      </c>
      <c r="H370" s="34">
        <v>5.3819999999999997</v>
      </c>
      <c r="I370" s="31">
        <v>247260</v>
      </c>
      <c r="J370" s="35" t="s">
        <v>920</v>
      </c>
      <c r="K370" s="36">
        <v>2020</v>
      </c>
    </row>
    <row r="371" spans="1:11" ht="15" customHeight="1" x14ac:dyDescent="0.3">
      <c r="A371" s="37">
        <v>366</v>
      </c>
      <c r="B371" s="38" t="s">
        <v>272</v>
      </c>
      <c r="C371" s="38" t="s">
        <v>926</v>
      </c>
      <c r="D371" s="38" t="s">
        <v>927</v>
      </c>
      <c r="E371" s="38" t="s">
        <v>928</v>
      </c>
      <c r="F371" s="38" t="s">
        <v>276</v>
      </c>
      <c r="G371" s="39">
        <v>240</v>
      </c>
      <c r="H371" s="40">
        <v>0.77</v>
      </c>
      <c r="I371" s="37">
        <v>137260</v>
      </c>
      <c r="J371" s="41" t="s">
        <v>920</v>
      </c>
      <c r="K371" s="42">
        <v>2020</v>
      </c>
    </row>
    <row r="372" spans="1:11" ht="15" customHeight="1" x14ac:dyDescent="0.3">
      <c r="A372" s="31">
        <v>367</v>
      </c>
      <c r="B372" s="32" t="s">
        <v>272</v>
      </c>
      <c r="C372" s="32" t="s">
        <v>929</v>
      </c>
      <c r="D372" s="32" t="s">
        <v>930</v>
      </c>
      <c r="E372" s="32" t="s">
        <v>931</v>
      </c>
      <c r="F372" s="32" t="s">
        <v>329</v>
      </c>
      <c r="G372" s="33">
        <v>180</v>
      </c>
      <c r="H372" s="34">
        <v>0.27</v>
      </c>
      <c r="I372" s="31">
        <v>137260</v>
      </c>
      <c r="J372" s="35" t="s">
        <v>920</v>
      </c>
      <c r="K372" s="36">
        <v>2020</v>
      </c>
    </row>
    <row r="373" spans="1:11" ht="15" customHeight="1" x14ac:dyDescent="0.3">
      <c r="A373" s="37">
        <v>368</v>
      </c>
      <c r="B373" s="38" t="s">
        <v>272</v>
      </c>
      <c r="C373" s="38" t="s">
        <v>932</v>
      </c>
      <c r="D373" s="38" t="s">
        <v>933</v>
      </c>
      <c r="E373" s="38" t="s">
        <v>934</v>
      </c>
      <c r="F373" s="38" t="s">
        <v>312</v>
      </c>
      <c r="G373" s="39">
        <v>227</v>
      </c>
      <c r="H373" s="40">
        <v>0.96599999999999997</v>
      </c>
      <c r="I373" s="37">
        <v>137260</v>
      </c>
      <c r="J373" s="41" t="s">
        <v>920</v>
      </c>
      <c r="K373" s="42">
        <v>2020</v>
      </c>
    </row>
    <row r="374" spans="1:11" ht="15" customHeight="1" x14ac:dyDescent="0.3">
      <c r="A374" s="31">
        <v>369</v>
      </c>
      <c r="B374" s="32" t="s">
        <v>272</v>
      </c>
      <c r="C374" s="32" t="s">
        <v>935</v>
      </c>
      <c r="D374" s="32" t="s">
        <v>936</v>
      </c>
      <c r="E374" s="32" t="s">
        <v>35</v>
      </c>
      <c r="F374" s="32" t="s">
        <v>937</v>
      </c>
      <c r="G374" s="33">
        <v>4115</v>
      </c>
      <c r="H374" s="34">
        <v>6</v>
      </c>
      <c r="I374" s="31">
        <v>275260</v>
      </c>
      <c r="J374" s="35" t="s">
        <v>920</v>
      </c>
      <c r="K374" s="36">
        <v>2020</v>
      </c>
    </row>
    <row r="375" spans="1:11" ht="15" customHeight="1" x14ac:dyDescent="0.3">
      <c r="A375" s="37">
        <v>370</v>
      </c>
      <c r="B375" s="38" t="s">
        <v>272</v>
      </c>
      <c r="C375" s="38" t="s">
        <v>938</v>
      </c>
      <c r="D375" s="38" t="s">
        <v>939</v>
      </c>
      <c r="E375" s="38" t="s">
        <v>940</v>
      </c>
      <c r="F375" s="38" t="s">
        <v>402</v>
      </c>
      <c r="G375" s="39">
        <v>1055</v>
      </c>
      <c r="H375" s="40">
        <v>3.2930000000000001</v>
      </c>
      <c r="I375" s="37">
        <v>191260</v>
      </c>
      <c r="J375" s="41" t="s">
        <v>920</v>
      </c>
      <c r="K375" s="42">
        <v>2020</v>
      </c>
    </row>
    <row r="376" spans="1:11" ht="15" customHeight="1" x14ac:dyDescent="0.3">
      <c r="A376" s="31">
        <v>371</v>
      </c>
      <c r="B376" s="32" t="s">
        <v>272</v>
      </c>
      <c r="C376" s="32" t="s">
        <v>941</v>
      </c>
      <c r="D376" s="32" t="s">
        <v>942</v>
      </c>
      <c r="E376" s="32" t="s">
        <v>821</v>
      </c>
      <c r="F376" s="32" t="s">
        <v>402</v>
      </c>
      <c r="G376" s="33">
        <v>1567</v>
      </c>
      <c r="H376" s="34">
        <v>4.3879999999999999</v>
      </c>
      <c r="I376" s="31">
        <v>219260</v>
      </c>
      <c r="J376" s="35" t="s">
        <v>920</v>
      </c>
      <c r="K376" s="36">
        <v>2020</v>
      </c>
    </row>
    <row r="377" spans="1:11" ht="15" customHeight="1" x14ac:dyDescent="0.3">
      <c r="A377" s="37">
        <v>372</v>
      </c>
      <c r="B377" s="38" t="s">
        <v>272</v>
      </c>
      <c r="C377" s="38" t="s">
        <v>943</v>
      </c>
      <c r="D377" s="38" t="s">
        <v>944</v>
      </c>
      <c r="E377" s="38" t="s">
        <v>945</v>
      </c>
      <c r="F377" s="38" t="s">
        <v>316</v>
      </c>
      <c r="G377" s="39">
        <v>805</v>
      </c>
      <c r="H377" s="40">
        <v>3.6949999999999998</v>
      </c>
      <c r="I377" s="37">
        <v>219260</v>
      </c>
      <c r="J377" s="41" t="s">
        <v>920</v>
      </c>
      <c r="K377" s="42">
        <v>2020</v>
      </c>
    </row>
    <row r="378" spans="1:11" ht="15" customHeight="1" x14ac:dyDescent="0.3">
      <c r="A378" s="31">
        <v>373</v>
      </c>
      <c r="B378" s="32" t="s">
        <v>272</v>
      </c>
      <c r="C378" s="32" t="s">
        <v>946</v>
      </c>
      <c r="D378" s="32" t="s">
        <v>947</v>
      </c>
      <c r="E378" s="32" t="s">
        <v>948</v>
      </c>
      <c r="F378" s="32" t="s">
        <v>658</v>
      </c>
      <c r="G378" s="33">
        <v>474</v>
      </c>
      <c r="H378" s="34">
        <v>3.3479999999999999</v>
      </c>
      <c r="I378" s="31">
        <v>181000</v>
      </c>
      <c r="J378" s="35" t="s">
        <v>920</v>
      </c>
      <c r="K378" s="36">
        <v>2020</v>
      </c>
    </row>
    <row r="379" spans="1:11" ht="15" customHeight="1" x14ac:dyDescent="0.3">
      <c r="A379" s="37">
        <v>374</v>
      </c>
      <c r="B379" s="38" t="s">
        <v>272</v>
      </c>
      <c r="C379" s="38" t="s">
        <v>949</v>
      </c>
      <c r="D379" s="38" t="s">
        <v>950</v>
      </c>
      <c r="E379" s="38" t="s">
        <v>145</v>
      </c>
      <c r="F379" s="38" t="s">
        <v>276</v>
      </c>
      <c r="G379" s="39">
        <v>470</v>
      </c>
      <c r="H379" s="40">
        <v>1.62</v>
      </c>
      <c r="I379" s="37">
        <v>137260</v>
      </c>
      <c r="J379" s="41" t="s">
        <v>920</v>
      </c>
      <c r="K379" s="42">
        <v>2020</v>
      </c>
    </row>
    <row r="380" spans="1:11" ht="15" customHeight="1" x14ac:dyDescent="0.3">
      <c r="A380" s="31">
        <v>375</v>
      </c>
      <c r="B380" s="32" t="s">
        <v>272</v>
      </c>
      <c r="C380" s="32" t="s">
        <v>951</v>
      </c>
      <c r="D380" s="32" t="s">
        <v>952</v>
      </c>
      <c r="E380" s="32" t="s">
        <v>43</v>
      </c>
      <c r="F380" s="32" t="s">
        <v>329</v>
      </c>
      <c r="G380" s="33">
        <v>55</v>
      </c>
      <c r="H380" s="34">
        <v>0.12</v>
      </c>
      <c r="I380" s="31">
        <v>137260</v>
      </c>
      <c r="J380" s="35" t="s">
        <v>920</v>
      </c>
      <c r="K380" s="36">
        <v>2020</v>
      </c>
    </row>
    <row r="381" spans="1:11" ht="15" customHeight="1" x14ac:dyDescent="0.3">
      <c r="A381" s="37">
        <v>376</v>
      </c>
      <c r="B381" s="38" t="s">
        <v>336</v>
      </c>
      <c r="C381" s="38" t="s">
        <v>953</v>
      </c>
      <c r="D381" s="38" t="s">
        <v>954</v>
      </c>
      <c r="E381" s="38" t="s">
        <v>37</v>
      </c>
      <c r="F381" s="38" t="s">
        <v>312</v>
      </c>
      <c r="G381" s="39">
        <v>295</v>
      </c>
      <c r="H381" s="40">
        <v>2</v>
      </c>
      <c r="I381" s="37">
        <v>163260</v>
      </c>
      <c r="J381" s="41" t="s">
        <v>920</v>
      </c>
      <c r="K381" s="42">
        <v>2020</v>
      </c>
    </row>
    <row r="382" spans="1:11" ht="15" customHeight="1" x14ac:dyDescent="0.3">
      <c r="A382" s="31">
        <v>377</v>
      </c>
      <c r="B382" s="32" t="s">
        <v>336</v>
      </c>
      <c r="C382" s="32" t="s">
        <v>955</v>
      </c>
      <c r="D382" s="32" t="s">
        <v>956</v>
      </c>
      <c r="E382" s="32" t="s">
        <v>41</v>
      </c>
      <c r="F382" s="32" t="s">
        <v>306</v>
      </c>
      <c r="G382" s="33">
        <v>2560</v>
      </c>
      <c r="H382" s="34">
        <v>3</v>
      </c>
      <c r="I382" s="31">
        <v>191260</v>
      </c>
      <c r="J382" s="35" t="s">
        <v>920</v>
      </c>
      <c r="K382" s="36">
        <v>2020</v>
      </c>
    </row>
    <row r="383" spans="1:11" ht="15" customHeight="1" x14ac:dyDescent="0.3">
      <c r="A383" s="37">
        <v>378</v>
      </c>
      <c r="B383" s="38" t="s">
        <v>336</v>
      </c>
      <c r="C383" s="38" t="s">
        <v>957</v>
      </c>
      <c r="D383" s="38" t="s">
        <v>54</v>
      </c>
      <c r="E383" s="38" t="s">
        <v>35</v>
      </c>
      <c r="F383" s="38" t="s">
        <v>316</v>
      </c>
      <c r="G383" s="39">
        <v>1899</v>
      </c>
      <c r="H383" s="40">
        <v>1.35</v>
      </c>
      <c r="I383" s="37">
        <v>163260</v>
      </c>
      <c r="J383" s="41" t="s">
        <v>920</v>
      </c>
      <c r="K383" s="42">
        <v>2020</v>
      </c>
    </row>
    <row r="384" spans="1:11" ht="15" customHeight="1" x14ac:dyDescent="0.3">
      <c r="A384" s="31">
        <v>379</v>
      </c>
      <c r="B384" s="32" t="s">
        <v>336</v>
      </c>
      <c r="C384" s="32" t="s">
        <v>958</v>
      </c>
      <c r="D384" s="32" t="s">
        <v>459</v>
      </c>
      <c r="E384" s="32" t="s">
        <v>37</v>
      </c>
      <c r="F384" s="32" t="s">
        <v>316</v>
      </c>
      <c r="G384" s="33">
        <v>158</v>
      </c>
      <c r="H384" s="34">
        <v>1.44</v>
      </c>
      <c r="I384" s="31">
        <v>137260</v>
      </c>
      <c r="J384" s="35" t="s">
        <v>920</v>
      </c>
      <c r="K384" s="36">
        <v>2020</v>
      </c>
    </row>
    <row r="385" spans="1:11" ht="15" customHeight="1" x14ac:dyDescent="0.3">
      <c r="A385" s="37">
        <v>380</v>
      </c>
      <c r="B385" s="38" t="s">
        <v>336</v>
      </c>
      <c r="C385" s="38" t="s">
        <v>959</v>
      </c>
      <c r="D385" s="38" t="s">
        <v>366</v>
      </c>
      <c r="E385" s="38" t="s">
        <v>215</v>
      </c>
      <c r="F385" s="38" t="s">
        <v>276</v>
      </c>
      <c r="G385" s="39">
        <v>420</v>
      </c>
      <c r="H385" s="40">
        <v>2</v>
      </c>
      <c r="I385" s="37">
        <v>153000</v>
      </c>
      <c r="J385" s="41" t="s">
        <v>920</v>
      </c>
      <c r="K385" s="42">
        <v>2020</v>
      </c>
    </row>
    <row r="386" spans="1:11" ht="15" customHeight="1" x14ac:dyDescent="0.3">
      <c r="A386" s="31">
        <v>381</v>
      </c>
      <c r="B386" s="32" t="s">
        <v>336</v>
      </c>
      <c r="C386" s="32" t="s">
        <v>960</v>
      </c>
      <c r="D386" s="32" t="s">
        <v>44</v>
      </c>
      <c r="E386" s="32" t="s">
        <v>35</v>
      </c>
      <c r="F386" s="32" t="s">
        <v>961</v>
      </c>
      <c r="G386" s="33">
        <v>9980</v>
      </c>
      <c r="H386" s="34">
        <v>10</v>
      </c>
      <c r="I386" s="31">
        <v>377260</v>
      </c>
      <c r="J386" s="35" t="s">
        <v>920</v>
      </c>
      <c r="K386" s="36">
        <v>2020</v>
      </c>
    </row>
    <row r="387" spans="1:11" ht="15" customHeight="1" x14ac:dyDescent="0.3">
      <c r="A387" s="37">
        <v>382</v>
      </c>
      <c r="B387" s="38" t="s">
        <v>336</v>
      </c>
      <c r="C387" s="38" t="s">
        <v>962</v>
      </c>
      <c r="D387" s="38" t="s">
        <v>963</v>
      </c>
      <c r="E387" s="38" t="s">
        <v>964</v>
      </c>
      <c r="F387" s="38" t="s">
        <v>373</v>
      </c>
      <c r="G387" s="39">
        <v>454</v>
      </c>
      <c r="H387" s="40">
        <v>4</v>
      </c>
      <c r="I387" s="37">
        <v>219260</v>
      </c>
      <c r="J387" s="41" t="s">
        <v>920</v>
      </c>
      <c r="K387" s="42">
        <v>2020</v>
      </c>
    </row>
    <row r="388" spans="1:11" ht="15" customHeight="1" x14ac:dyDescent="0.3">
      <c r="A388" s="31">
        <v>383</v>
      </c>
      <c r="B388" s="32" t="s">
        <v>336</v>
      </c>
      <c r="C388" s="32" t="s">
        <v>965</v>
      </c>
      <c r="D388" s="32" t="s">
        <v>966</v>
      </c>
      <c r="E388" s="32" t="s">
        <v>37</v>
      </c>
      <c r="F388" s="32" t="s">
        <v>276</v>
      </c>
      <c r="G388" s="33">
        <v>185</v>
      </c>
      <c r="H388" s="34">
        <v>0.91200000000000003</v>
      </c>
      <c r="I388" s="31">
        <v>137260</v>
      </c>
      <c r="J388" s="35" t="s">
        <v>920</v>
      </c>
      <c r="K388" s="36">
        <v>2020</v>
      </c>
    </row>
    <row r="389" spans="1:11" ht="15" customHeight="1" x14ac:dyDescent="0.3">
      <c r="A389" s="37">
        <v>384</v>
      </c>
      <c r="B389" s="38" t="s">
        <v>336</v>
      </c>
      <c r="C389" s="38" t="s">
        <v>967</v>
      </c>
      <c r="D389" s="38" t="s">
        <v>968</v>
      </c>
      <c r="E389" s="38" t="s">
        <v>35</v>
      </c>
      <c r="F389" s="38" t="s">
        <v>276</v>
      </c>
      <c r="G389" s="39">
        <v>50</v>
      </c>
      <c r="H389" s="40">
        <v>0.28799999999999998</v>
      </c>
      <c r="I389" s="37">
        <v>137260</v>
      </c>
      <c r="J389" s="41" t="s">
        <v>920</v>
      </c>
      <c r="K389" s="42">
        <v>2020</v>
      </c>
    </row>
    <row r="390" spans="1:11" ht="15" customHeight="1" x14ac:dyDescent="0.3">
      <c r="A390" s="31">
        <v>385</v>
      </c>
      <c r="B390" s="32" t="s">
        <v>336</v>
      </c>
      <c r="C390" s="32" t="s">
        <v>969</v>
      </c>
      <c r="D390" s="32" t="s">
        <v>970</v>
      </c>
      <c r="E390" s="32" t="s">
        <v>971</v>
      </c>
      <c r="F390" s="32" t="s">
        <v>937</v>
      </c>
      <c r="G390" s="33">
        <v>330.399</v>
      </c>
      <c r="H390" s="34">
        <v>5</v>
      </c>
      <c r="I390" s="31">
        <v>247260</v>
      </c>
      <c r="J390" s="35" t="s">
        <v>920</v>
      </c>
      <c r="K390" s="36">
        <v>2020</v>
      </c>
    </row>
    <row r="391" spans="1:11" ht="15" customHeight="1" x14ac:dyDescent="0.3">
      <c r="A391" s="37">
        <v>386</v>
      </c>
      <c r="B391" s="38" t="s">
        <v>336</v>
      </c>
      <c r="C391" s="38" t="s">
        <v>972</v>
      </c>
      <c r="D391" s="38" t="s">
        <v>526</v>
      </c>
      <c r="E391" s="38" t="s">
        <v>49</v>
      </c>
      <c r="F391" s="38" t="s">
        <v>276</v>
      </c>
      <c r="G391" s="39">
        <v>75</v>
      </c>
      <c r="H391" s="40">
        <v>0.182</v>
      </c>
      <c r="I391" s="37">
        <v>127000</v>
      </c>
      <c r="J391" s="41" t="s">
        <v>920</v>
      </c>
      <c r="K391" s="42">
        <v>2020</v>
      </c>
    </row>
    <row r="392" spans="1:11" ht="15" customHeight="1" x14ac:dyDescent="0.3">
      <c r="A392" s="31">
        <v>387</v>
      </c>
      <c r="B392" s="32" t="s">
        <v>336</v>
      </c>
      <c r="C392" s="32" t="s">
        <v>973</v>
      </c>
      <c r="D392" s="32" t="s">
        <v>526</v>
      </c>
      <c r="E392" s="32" t="s">
        <v>47</v>
      </c>
      <c r="F392" s="32" t="s">
        <v>276</v>
      </c>
      <c r="G392" s="33">
        <v>300</v>
      </c>
      <c r="H392" s="34">
        <v>0.89800000000000002</v>
      </c>
      <c r="I392" s="31">
        <v>137260</v>
      </c>
      <c r="J392" s="35" t="s">
        <v>920</v>
      </c>
      <c r="K392" s="36">
        <v>2020</v>
      </c>
    </row>
    <row r="393" spans="1:11" ht="15" customHeight="1" x14ac:dyDescent="0.3">
      <c r="A393" s="37">
        <v>388</v>
      </c>
      <c r="B393" s="38" t="s">
        <v>336</v>
      </c>
      <c r="C393" s="38" t="s">
        <v>974</v>
      </c>
      <c r="D393" s="38" t="s">
        <v>975</v>
      </c>
      <c r="E393" s="38" t="s">
        <v>976</v>
      </c>
      <c r="F393" s="38" t="s">
        <v>316</v>
      </c>
      <c r="G393" s="39">
        <v>1006.4</v>
      </c>
      <c r="H393" s="40">
        <v>3</v>
      </c>
      <c r="I393" s="37">
        <v>181000</v>
      </c>
      <c r="J393" s="41" t="s">
        <v>920</v>
      </c>
      <c r="K393" s="42">
        <v>2020</v>
      </c>
    </row>
    <row r="394" spans="1:11" ht="15" customHeight="1" x14ac:dyDescent="0.3">
      <c r="A394" s="31">
        <v>389</v>
      </c>
      <c r="B394" s="32" t="s">
        <v>336</v>
      </c>
      <c r="C394" s="32" t="s">
        <v>977</v>
      </c>
      <c r="D394" s="32" t="s">
        <v>978</v>
      </c>
      <c r="E394" s="32" t="s">
        <v>979</v>
      </c>
      <c r="F394" s="32" t="s">
        <v>287</v>
      </c>
      <c r="G394" s="33">
        <v>2031</v>
      </c>
      <c r="H394" s="34">
        <v>6.3959999999999999</v>
      </c>
      <c r="I394" s="31">
        <v>275260</v>
      </c>
      <c r="J394" s="35" t="s">
        <v>920</v>
      </c>
      <c r="K394" s="36">
        <v>2020</v>
      </c>
    </row>
    <row r="395" spans="1:11" ht="15" customHeight="1" x14ac:dyDescent="0.3">
      <c r="A395" s="37">
        <v>390</v>
      </c>
      <c r="B395" s="38" t="s">
        <v>336</v>
      </c>
      <c r="C395" s="38" t="s">
        <v>980</v>
      </c>
      <c r="D395" s="38" t="s">
        <v>981</v>
      </c>
      <c r="E395" s="38" t="s">
        <v>982</v>
      </c>
      <c r="F395" s="38" t="s">
        <v>276</v>
      </c>
      <c r="G395" s="39">
        <v>150</v>
      </c>
      <c r="H395" s="40">
        <v>1.38</v>
      </c>
      <c r="I395" s="37">
        <v>127000</v>
      </c>
      <c r="J395" s="41" t="s">
        <v>920</v>
      </c>
      <c r="K395" s="42">
        <v>2020</v>
      </c>
    </row>
    <row r="396" spans="1:11" ht="15" customHeight="1" x14ac:dyDescent="0.3">
      <c r="A396" s="31">
        <v>391</v>
      </c>
      <c r="B396" s="32" t="s">
        <v>336</v>
      </c>
      <c r="C396" s="32" t="s">
        <v>983</v>
      </c>
      <c r="D396" s="32" t="s">
        <v>60</v>
      </c>
      <c r="E396" s="32" t="s">
        <v>41</v>
      </c>
      <c r="F396" s="32" t="s">
        <v>373</v>
      </c>
      <c r="G396" s="33">
        <v>1760</v>
      </c>
      <c r="H396" s="34">
        <v>4.0030000000000001</v>
      </c>
      <c r="I396" s="31">
        <v>219260</v>
      </c>
      <c r="J396" s="35" t="s">
        <v>920</v>
      </c>
      <c r="K396" s="36">
        <v>2020</v>
      </c>
    </row>
    <row r="397" spans="1:11" ht="15" customHeight="1" x14ac:dyDescent="0.3">
      <c r="A397" s="37">
        <v>392</v>
      </c>
      <c r="B397" s="38" t="s">
        <v>336</v>
      </c>
      <c r="C397" s="38" t="s">
        <v>984</v>
      </c>
      <c r="D397" s="38" t="s">
        <v>325</v>
      </c>
      <c r="E397" s="38" t="s">
        <v>59</v>
      </c>
      <c r="F397" s="38" t="s">
        <v>312</v>
      </c>
      <c r="G397" s="39">
        <v>326</v>
      </c>
      <c r="H397" s="40">
        <v>3</v>
      </c>
      <c r="I397" s="37">
        <v>191260</v>
      </c>
      <c r="J397" s="41" t="s">
        <v>920</v>
      </c>
      <c r="K397" s="42">
        <v>2020</v>
      </c>
    </row>
    <row r="398" spans="1:11" ht="15" customHeight="1" x14ac:dyDescent="0.3">
      <c r="A398" s="31">
        <v>393</v>
      </c>
      <c r="B398" s="32" t="s">
        <v>336</v>
      </c>
      <c r="C398" s="32"/>
      <c r="D398" s="32" t="s">
        <v>985</v>
      </c>
      <c r="E398" s="32" t="s">
        <v>59</v>
      </c>
      <c r="F398" s="32" t="s">
        <v>986</v>
      </c>
      <c r="G398" s="33">
        <v>161</v>
      </c>
      <c r="H398" s="34">
        <v>1</v>
      </c>
      <c r="I398" s="31">
        <v>137260</v>
      </c>
      <c r="J398" s="35" t="s">
        <v>920</v>
      </c>
      <c r="K398" s="36">
        <v>2020</v>
      </c>
    </row>
    <row r="399" spans="1:11" ht="15" customHeight="1" x14ac:dyDescent="0.3">
      <c r="A399" s="37">
        <v>394</v>
      </c>
      <c r="B399" s="38" t="s">
        <v>336</v>
      </c>
      <c r="C399" s="38"/>
      <c r="D399" s="38" t="s">
        <v>987</v>
      </c>
      <c r="E399" s="38" t="s">
        <v>59</v>
      </c>
      <c r="F399" s="38" t="s">
        <v>988</v>
      </c>
      <c r="G399" s="39">
        <v>1662</v>
      </c>
      <c r="H399" s="40">
        <v>4</v>
      </c>
      <c r="I399" s="37">
        <v>209000</v>
      </c>
      <c r="J399" s="41" t="s">
        <v>920</v>
      </c>
      <c r="K399" s="42">
        <v>2020</v>
      </c>
    </row>
    <row r="400" spans="1:11" ht="15" customHeight="1" x14ac:dyDescent="0.3">
      <c r="A400" s="31">
        <v>395</v>
      </c>
      <c r="B400" s="32" t="s">
        <v>336</v>
      </c>
      <c r="C400" s="32" t="s">
        <v>989</v>
      </c>
      <c r="D400" s="32" t="s">
        <v>990</v>
      </c>
      <c r="E400" s="32" t="s">
        <v>991</v>
      </c>
      <c r="F400" s="32" t="s">
        <v>276</v>
      </c>
      <c r="G400" s="33">
        <v>350</v>
      </c>
      <c r="H400" s="34">
        <v>0.72</v>
      </c>
      <c r="I400" s="31">
        <v>137260</v>
      </c>
      <c r="J400" s="35" t="s">
        <v>920</v>
      </c>
      <c r="K400" s="36">
        <v>2020</v>
      </c>
    </row>
    <row r="401" spans="1:11" ht="15" customHeight="1" x14ac:dyDescent="0.3">
      <c r="A401" s="37">
        <v>396</v>
      </c>
      <c r="B401" s="38" t="s">
        <v>336</v>
      </c>
      <c r="C401" s="38" t="s">
        <v>992</v>
      </c>
      <c r="D401" s="38" t="s">
        <v>993</v>
      </c>
      <c r="E401" s="38" t="s">
        <v>994</v>
      </c>
      <c r="F401" s="38" t="s">
        <v>316</v>
      </c>
      <c r="G401" s="39">
        <v>1070</v>
      </c>
      <c r="H401" s="40">
        <v>1.2629999999999999</v>
      </c>
      <c r="I401" s="37">
        <v>137260</v>
      </c>
      <c r="J401" s="41" t="s">
        <v>920</v>
      </c>
      <c r="K401" s="42">
        <v>2020</v>
      </c>
    </row>
    <row r="402" spans="1:11" ht="15" customHeight="1" x14ac:dyDescent="0.3">
      <c r="A402" s="31">
        <v>397</v>
      </c>
      <c r="B402" s="32" t="s">
        <v>336</v>
      </c>
      <c r="C402" s="32" t="s">
        <v>995</v>
      </c>
      <c r="D402" s="32" t="s">
        <v>996</v>
      </c>
      <c r="E402" s="32" t="s">
        <v>35</v>
      </c>
      <c r="F402" s="32" t="s">
        <v>276</v>
      </c>
      <c r="G402" s="33">
        <v>110</v>
      </c>
      <c r="H402" s="34">
        <v>0.33600000000000002</v>
      </c>
      <c r="I402" s="31">
        <v>137260</v>
      </c>
      <c r="J402" s="35" t="s">
        <v>920</v>
      </c>
      <c r="K402" s="36">
        <v>2020</v>
      </c>
    </row>
    <row r="403" spans="1:11" ht="15" customHeight="1" x14ac:dyDescent="0.3">
      <c r="A403" s="37">
        <v>398</v>
      </c>
      <c r="B403" s="38" t="s">
        <v>336</v>
      </c>
      <c r="C403" s="38" t="s">
        <v>997</v>
      </c>
      <c r="D403" s="38" t="s">
        <v>998</v>
      </c>
      <c r="E403" s="38" t="s">
        <v>999</v>
      </c>
      <c r="F403" s="38" t="s">
        <v>406</v>
      </c>
      <c r="G403" s="39">
        <v>132</v>
      </c>
      <c r="H403" s="40">
        <v>0.625</v>
      </c>
      <c r="I403" s="37">
        <v>137260</v>
      </c>
      <c r="J403" s="41" t="s">
        <v>920</v>
      </c>
      <c r="K403" s="42">
        <v>2020</v>
      </c>
    </row>
    <row r="404" spans="1:11" ht="15" customHeight="1" x14ac:dyDescent="0.3">
      <c r="A404" s="31">
        <v>399</v>
      </c>
      <c r="B404" s="32" t="s">
        <v>336</v>
      </c>
      <c r="C404" s="32" t="s">
        <v>1000</v>
      </c>
      <c r="D404" s="32" t="s">
        <v>571</v>
      </c>
      <c r="E404" s="32" t="s">
        <v>35</v>
      </c>
      <c r="F404" s="32" t="s">
        <v>406</v>
      </c>
      <c r="G404" s="33">
        <v>610</v>
      </c>
      <c r="H404" s="34">
        <v>0.51</v>
      </c>
      <c r="I404" s="31">
        <v>137260</v>
      </c>
      <c r="J404" s="35" t="s">
        <v>920</v>
      </c>
      <c r="K404" s="36">
        <v>2020</v>
      </c>
    </row>
    <row r="405" spans="1:11" ht="15" customHeight="1" x14ac:dyDescent="0.3">
      <c r="A405" s="37">
        <v>400</v>
      </c>
      <c r="B405" s="38" t="s">
        <v>336</v>
      </c>
      <c r="C405" s="38" t="s">
        <v>1001</v>
      </c>
      <c r="D405" s="38" t="s">
        <v>800</v>
      </c>
      <c r="E405" s="38" t="s">
        <v>43</v>
      </c>
      <c r="F405" s="38" t="s">
        <v>386</v>
      </c>
      <c r="G405" s="39">
        <v>1340</v>
      </c>
      <c r="H405" s="40">
        <v>5.12</v>
      </c>
      <c r="I405" s="37">
        <v>247260</v>
      </c>
      <c r="J405" s="41" t="s">
        <v>920</v>
      </c>
      <c r="K405" s="42">
        <v>2020</v>
      </c>
    </row>
    <row r="406" spans="1:11" ht="15" customHeight="1" x14ac:dyDescent="0.3">
      <c r="A406" s="31">
        <v>401</v>
      </c>
      <c r="B406" s="32" t="s">
        <v>336</v>
      </c>
      <c r="C406" s="32" t="s">
        <v>1002</v>
      </c>
      <c r="D406" s="32" t="s">
        <v>800</v>
      </c>
      <c r="E406" s="32" t="s">
        <v>43</v>
      </c>
      <c r="F406" s="32" t="s">
        <v>1003</v>
      </c>
      <c r="G406" s="33">
        <v>3819</v>
      </c>
      <c r="H406" s="34">
        <v>5.4560000000000004</v>
      </c>
      <c r="I406" s="31">
        <v>247260</v>
      </c>
      <c r="J406" s="35" t="s">
        <v>920</v>
      </c>
      <c r="K406" s="36">
        <v>2020</v>
      </c>
    </row>
    <row r="407" spans="1:11" ht="15" customHeight="1" x14ac:dyDescent="0.3">
      <c r="A407" s="37">
        <v>402</v>
      </c>
      <c r="B407" s="38" t="s">
        <v>313</v>
      </c>
      <c r="C407" s="38" t="s">
        <v>1004</v>
      </c>
      <c r="D407" s="38" t="s">
        <v>538</v>
      </c>
      <c r="E407" s="38" t="s">
        <v>37</v>
      </c>
      <c r="F407" s="38" t="s">
        <v>1005</v>
      </c>
      <c r="G407" s="39">
        <v>667</v>
      </c>
      <c r="H407" s="40">
        <v>2.36</v>
      </c>
      <c r="I407" s="37">
        <v>163260</v>
      </c>
      <c r="J407" s="41" t="s">
        <v>1006</v>
      </c>
      <c r="K407" s="42">
        <v>2020</v>
      </c>
    </row>
    <row r="408" spans="1:11" ht="15" customHeight="1" x14ac:dyDescent="0.3">
      <c r="A408" s="31">
        <v>403</v>
      </c>
      <c r="B408" s="32" t="s">
        <v>313</v>
      </c>
      <c r="C408" s="32" t="s">
        <v>1007</v>
      </c>
      <c r="D408" s="32" t="s">
        <v>209</v>
      </c>
      <c r="E408" s="32" t="s">
        <v>857</v>
      </c>
      <c r="F408" s="32" t="s">
        <v>335</v>
      </c>
      <c r="G408" s="33">
        <v>2489</v>
      </c>
      <c r="H408" s="34">
        <v>5.1100000000000003</v>
      </c>
      <c r="I408" s="31">
        <v>247260</v>
      </c>
      <c r="J408" s="35" t="s">
        <v>1006</v>
      </c>
      <c r="K408" s="36">
        <v>2020</v>
      </c>
    </row>
    <row r="409" spans="1:11" ht="15" customHeight="1" x14ac:dyDescent="0.3">
      <c r="A409" s="37">
        <v>404</v>
      </c>
      <c r="B409" s="38" t="s">
        <v>313</v>
      </c>
      <c r="C409" s="38" t="s">
        <v>1008</v>
      </c>
      <c r="D409" s="38" t="s">
        <v>325</v>
      </c>
      <c r="E409" s="38" t="s">
        <v>59</v>
      </c>
      <c r="F409" s="38" t="s">
        <v>276</v>
      </c>
      <c r="G409" s="39">
        <v>215</v>
      </c>
      <c r="H409" s="40">
        <v>1.43</v>
      </c>
      <c r="I409" s="37">
        <v>137260</v>
      </c>
      <c r="J409" s="41" t="s">
        <v>1006</v>
      </c>
      <c r="K409" s="42">
        <v>2020</v>
      </c>
    </row>
    <row r="410" spans="1:11" ht="15" customHeight="1" x14ac:dyDescent="0.3">
      <c r="A410" s="31">
        <v>405</v>
      </c>
      <c r="B410" s="32" t="s">
        <v>313</v>
      </c>
      <c r="C410" s="32"/>
      <c r="D410" s="32" t="s">
        <v>1009</v>
      </c>
      <c r="E410" s="32" t="s">
        <v>59</v>
      </c>
      <c r="F410" s="32" t="s">
        <v>316</v>
      </c>
      <c r="G410" s="33">
        <v>235</v>
      </c>
      <c r="H410" s="34">
        <v>4</v>
      </c>
      <c r="I410" s="31">
        <v>209000</v>
      </c>
      <c r="J410" s="35" t="s">
        <v>1006</v>
      </c>
      <c r="K410" s="36">
        <v>2020</v>
      </c>
    </row>
    <row r="411" spans="1:11" ht="15" customHeight="1" x14ac:dyDescent="0.3">
      <c r="A411" s="37">
        <v>406</v>
      </c>
      <c r="B411" s="38" t="s">
        <v>313</v>
      </c>
      <c r="C411" s="38"/>
      <c r="D411" s="38" t="s">
        <v>1010</v>
      </c>
      <c r="E411" s="38" t="s">
        <v>59</v>
      </c>
      <c r="F411" s="38" t="s">
        <v>316</v>
      </c>
      <c r="G411" s="39">
        <v>369</v>
      </c>
      <c r="H411" s="40">
        <v>3.23</v>
      </c>
      <c r="I411" s="37">
        <v>191260</v>
      </c>
      <c r="J411" s="41" t="s">
        <v>1006</v>
      </c>
      <c r="K411" s="42">
        <v>2020</v>
      </c>
    </row>
    <row r="412" spans="1:11" ht="15" customHeight="1" x14ac:dyDescent="0.3">
      <c r="A412" s="31">
        <v>407</v>
      </c>
      <c r="B412" s="32" t="s">
        <v>313</v>
      </c>
      <c r="C412" s="32" t="s">
        <v>1011</v>
      </c>
      <c r="D412" s="32" t="s">
        <v>1012</v>
      </c>
      <c r="E412" s="32" t="s">
        <v>39</v>
      </c>
      <c r="F412" s="32" t="s">
        <v>486</v>
      </c>
      <c r="G412" s="33">
        <v>3601</v>
      </c>
      <c r="H412" s="34">
        <v>7</v>
      </c>
      <c r="I412" s="31">
        <v>303260</v>
      </c>
      <c r="J412" s="35" t="s">
        <v>1006</v>
      </c>
      <c r="K412" s="36">
        <v>2020</v>
      </c>
    </row>
    <row r="413" spans="1:11" ht="15" customHeight="1" x14ac:dyDescent="0.3">
      <c r="A413" s="37">
        <v>408</v>
      </c>
      <c r="B413" s="38" t="s">
        <v>313</v>
      </c>
      <c r="C413" s="38" t="s">
        <v>1013</v>
      </c>
      <c r="D413" s="38" t="s">
        <v>1014</v>
      </c>
      <c r="E413" s="38" t="s">
        <v>1015</v>
      </c>
      <c r="F413" s="38" t="s">
        <v>658</v>
      </c>
      <c r="G413" s="39">
        <v>684</v>
      </c>
      <c r="H413" s="40">
        <v>2</v>
      </c>
      <c r="I413" s="37">
        <v>163260</v>
      </c>
      <c r="J413" s="41" t="s">
        <v>1006</v>
      </c>
      <c r="K413" s="42">
        <v>2020</v>
      </c>
    </row>
    <row r="414" spans="1:11" ht="15" customHeight="1" x14ac:dyDescent="0.3">
      <c r="A414" s="31">
        <v>409</v>
      </c>
      <c r="B414" s="32" t="s">
        <v>313</v>
      </c>
      <c r="C414" s="32" t="s">
        <v>1016</v>
      </c>
      <c r="D414" s="32" t="s">
        <v>1017</v>
      </c>
      <c r="E414" s="32" t="s">
        <v>1018</v>
      </c>
      <c r="F414" s="32" t="s">
        <v>276</v>
      </c>
      <c r="G414" s="33">
        <v>328</v>
      </c>
      <c r="H414" s="34">
        <v>2</v>
      </c>
      <c r="I414" s="31">
        <v>153000</v>
      </c>
      <c r="J414" s="35" t="s">
        <v>1006</v>
      </c>
      <c r="K414" s="36">
        <v>2020</v>
      </c>
    </row>
    <row r="415" spans="1:11" ht="15" customHeight="1" x14ac:dyDescent="0.3">
      <c r="A415" s="37">
        <v>410</v>
      </c>
      <c r="B415" s="38" t="s">
        <v>313</v>
      </c>
      <c r="C415" s="38" t="s">
        <v>1019</v>
      </c>
      <c r="D415" s="38" t="s">
        <v>968</v>
      </c>
      <c r="E415" s="38" t="s">
        <v>35</v>
      </c>
      <c r="F415" s="38" t="s">
        <v>287</v>
      </c>
      <c r="G415" s="39">
        <v>930</v>
      </c>
      <c r="H415" s="40">
        <v>2.4500000000000002</v>
      </c>
      <c r="I415" s="37">
        <v>163260</v>
      </c>
      <c r="J415" s="41" t="s">
        <v>1006</v>
      </c>
      <c r="K415" s="42">
        <v>2020</v>
      </c>
    </row>
    <row r="416" spans="1:11" ht="15" customHeight="1" x14ac:dyDescent="0.3">
      <c r="A416" s="31">
        <v>411</v>
      </c>
      <c r="B416" s="32" t="s">
        <v>313</v>
      </c>
      <c r="C416" s="32" t="s">
        <v>1020</v>
      </c>
      <c r="D416" s="32" t="s">
        <v>1021</v>
      </c>
      <c r="E416" s="32" t="s">
        <v>354</v>
      </c>
      <c r="F416" s="32" t="s">
        <v>276</v>
      </c>
      <c r="G416" s="33">
        <v>790</v>
      </c>
      <c r="H416" s="34">
        <v>0.85</v>
      </c>
      <c r="I416" s="31">
        <v>137260</v>
      </c>
      <c r="J416" s="35" t="s">
        <v>1006</v>
      </c>
      <c r="K416" s="36">
        <v>2020</v>
      </c>
    </row>
    <row r="417" spans="1:11" ht="15" customHeight="1" x14ac:dyDescent="0.3">
      <c r="A417" s="37">
        <v>412</v>
      </c>
      <c r="B417" s="38" t="s">
        <v>313</v>
      </c>
      <c r="C417" s="38" t="s">
        <v>1022</v>
      </c>
      <c r="D417" s="38" t="s">
        <v>467</v>
      </c>
      <c r="E417" s="38" t="s">
        <v>35</v>
      </c>
      <c r="F417" s="38" t="s">
        <v>276</v>
      </c>
      <c r="G417" s="39">
        <v>138</v>
      </c>
      <c r="H417" s="40">
        <v>0.44</v>
      </c>
      <c r="I417" s="37">
        <v>137260</v>
      </c>
      <c r="J417" s="41" t="s">
        <v>1006</v>
      </c>
      <c r="K417" s="42">
        <v>2020</v>
      </c>
    </row>
    <row r="418" spans="1:11" ht="15" customHeight="1" x14ac:dyDescent="0.3">
      <c r="A418" s="31">
        <v>413</v>
      </c>
      <c r="B418" s="32" t="s">
        <v>313</v>
      </c>
      <c r="C418" s="32" t="s">
        <v>1023</v>
      </c>
      <c r="D418" s="32" t="s">
        <v>1024</v>
      </c>
      <c r="E418" s="32" t="s">
        <v>1025</v>
      </c>
      <c r="F418" s="32" t="s">
        <v>287</v>
      </c>
      <c r="G418" s="33">
        <v>1000</v>
      </c>
      <c r="H418" s="34">
        <v>4.34</v>
      </c>
      <c r="I418" s="31">
        <v>219260</v>
      </c>
      <c r="J418" s="35" t="s">
        <v>1006</v>
      </c>
      <c r="K418" s="36">
        <v>2020</v>
      </c>
    </row>
    <row r="419" spans="1:11" ht="15" customHeight="1" x14ac:dyDescent="0.3">
      <c r="A419" s="37">
        <v>414</v>
      </c>
      <c r="B419" s="38" t="s">
        <v>313</v>
      </c>
      <c r="C419" s="38" t="s">
        <v>1026</v>
      </c>
      <c r="D419" s="38" t="s">
        <v>942</v>
      </c>
      <c r="E419" s="38" t="s">
        <v>821</v>
      </c>
      <c r="F419" s="38" t="s">
        <v>406</v>
      </c>
      <c r="G419" s="39">
        <v>424.4</v>
      </c>
      <c r="H419" s="40">
        <v>1.3</v>
      </c>
      <c r="I419" s="37">
        <v>137260</v>
      </c>
      <c r="J419" s="41" t="s">
        <v>1006</v>
      </c>
      <c r="K419" s="42">
        <v>2020</v>
      </c>
    </row>
    <row r="420" spans="1:11" ht="15" customHeight="1" x14ac:dyDescent="0.3">
      <c r="A420" s="31">
        <v>415</v>
      </c>
      <c r="B420" s="32" t="s">
        <v>313</v>
      </c>
      <c r="C420" s="32" t="s">
        <v>1027</v>
      </c>
      <c r="D420" s="32" t="s">
        <v>1028</v>
      </c>
      <c r="E420" s="32" t="s">
        <v>499</v>
      </c>
      <c r="F420" s="32" t="s">
        <v>402</v>
      </c>
      <c r="G420" s="33">
        <v>1664.6</v>
      </c>
      <c r="H420" s="34">
        <v>8.16</v>
      </c>
      <c r="I420" s="31">
        <v>323260</v>
      </c>
      <c r="J420" s="35" t="s">
        <v>1006</v>
      </c>
      <c r="K420" s="36">
        <v>2020</v>
      </c>
    </row>
    <row r="421" spans="1:11" ht="15" customHeight="1" x14ac:dyDescent="0.3">
      <c r="A421" s="37">
        <v>416</v>
      </c>
      <c r="B421" s="38" t="s">
        <v>313</v>
      </c>
      <c r="C421" s="38" t="s">
        <v>1029</v>
      </c>
      <c r="D421" s="38" t="s">
        <v>1030</v>
      </c>
      <c r="E421" s="38" t="s">
        <v>35</v>
      </c>
      <c r="F421" s="38" t="s">
        <v>1031</v>
      </c>
      <c r="G421" s="39">
        <v>380</v>
      </c>
      <c r="H421" s="40">
        <v>1.59</v>
      </c>
      <c r="I421" s="37">
        <v>163260</v>
      </c>
      <c r="J421" s="41" t="s">
        <v>1006</v>
      </c>
      <c r="K421" s="42">
        <v>2020</v>
      </c>
    </row>
    <row r="422" spans="1:11" ht="15" customHeight="1" x14ac:dyDescent="0.3">
      <c r="A422" s="31">
        <v>417</v>
      </c>
      <c r="B422" s="32" t="s">
        <v>313</v>
      </c>
      <c r="C422" s="32" t="s">
        <v>1032</v>
      </c>
      <c r="D422" s="32" t="s">
        <v>817</v>
      </c>
      <c r="E422" s="32" t="s">
        <v>55</v>
      </c>
      <c r="F422" s="32" t="s">
        <v>276</v>
      </c>
      <c r="G422" s="33">
        <v>309.82</v>
      </c>
      <c r="H422" s="34">
        <v>1</v>
      </c>
      <c r="I422" s="31">
        <v>137260</v>
      </c>
      <c r="J422" s="35" t="s">
        <v>1006</v>
      </c>
      <c r="K422" s="36">
        <v>2020</v>
      </c>
    </row>
    <row r="423" spans="1:11" ht="15" customHeight="1" x14ac:dyDescent="0.3">
      <c r="A423" s="37">
        <v>418</v>
      </c>
      <c r="B423" s="38" t="s">
        <v>313</v>
      </c>
      <c r="C423" s="38" t="s">
        <v>1033</v>
      </c>
      <c r="D423" s="38" t="s">
        <v>1034</v>
      </c>
      <c r="E423" s="38" t="s">
        <v>1035</v>
      </c>
      <c r="F423" s="38" t="s">
        <v>287</v>
      </c>
      <c r="G423" s="39">
        <v>1181</v>
      </c>
      <c r="H423" s="40">
        <v>5</v>
      </c>
      <c r="I423" s="37">
        <v>247260</v>
      </c>
      <c r="J423" s="41" t="s">
        <v>1006</v>
      </c>
      <c r="K423" s="42">
        <v>2020</v>
      </c>
    </row>
    <row r="424" spans="1:11" ht="15" customHeight="1" x14ac:dyDescent="0.3">
      <c r="A424" s="31">
        <v>419</v>
      </c>
      <c r="B424" s="32" t="s">
        <v>313</v>
      </c>
      <c r="C424" s="32" t="s">
        <v>1036</v>
      </c>
      <c r="D424" s="32" t="s">
        <v>1037</v>
      </c>
      <c r="E424" s="32" t="s">
        <v>1038</v>
      </c>
      <c r="F424" s="32" t="s">
        <v>402</v>
      </c>
      <c r="G424" s="33">
        <v>3075</v>
      </c>
      <c r="H424" s="34">
        <v>7.7</v>
      </c>
      <c r="I424" s="31">
        <v>323260</v>
      </c>
      <c r="J424" s="35" t="s">
        <v>1006</v>
      </c>
      <c r="K424" s="36">
        <v>2020</v>
      </c>
    </row>
    <row r="425" spans="1:11" ht="15" customHeight="1" x14ac:dyDescent="0.3">
      <c r="A425" s="37">
        <v>420</v>
      </c>
      <c r="B425" s="38" t="s">
        <v>1039</v>
      </c>
      <c r="C425" s="38" t="s">
        <v>1040</v>
      </c>
      <c r="D425" s="38" t="s">
        <v>1041</v>
      </c>
      <c r="E425" s="38" t="s">
        <v>1042</v>
      </c>
      <c r="F425" s="38" t="s">
        <v>316</v>
      </c>
      <c r="G425" s="39">
        <v>1760</v>
      </c>
      <c r="H425" s="40">
        <v>6.61</v>
      </c>
      <c r="I425" s="37">
        <v>303260</v>
      </c>
      <c r="J425" s="41" t="s">
        <v>1006</v>
      </c>
      <c r="K425" s="42">
        <v>2020</v>
      </c>
    </row>
    <row r="426" spans="1:11" ht="15" customHeight="1" x14ac:dyDescent="0.3">
      <c r="A426" s="31">
        <v>421</v>
      </c>
      <c r="B426" s="32" t="s">
        <v>1039</v>
      </c>
      <c r="C426" s="32" t="s">
        <v>1043</v>
      </c>
      <c r="D426" s="32" t="s">
        <v>970</v>
      </c>
      <c r="E426" s="32" t="s">
        <v>971</v>
      </c>
      <c r="F426" s="32" t="s">
        <v>1044</v>
      </c>
      <c r="G426" s="33">
        <v>611.21900000000005</v>
      </c>
      <c r="H426" s="34">
        <v>8.19</v>
      </c>
      <c r="I426" s="31">
        <v>323260</v>
      </c>
      <c r="J426" s="35" t="s">
        <v>1006</v>
      </c>
      <c r="K426" s="36">
        <v>2020</v>
      </c>
    </row>
    <row r="427" spans="1:11" ht="15" customHeight="1" x14ac:dyDescent="0.3">
      <c r="A427" s="37">
        <v>422</v>
      </c>
      <c r="B427" s="38" t="s">
        <v>1039</v>
      </c>
      <c r="C427" s="38" t="s">
        <v>1045</v>
      </c>
      <c r="D427" s="38" t="s">
        <v>1046</v>
      </c>
      <c r="E427" s="38" t="s">
        <v>39</v>
      </c>
      <c r="F427" s="38" t="s">
        <v>276</v>
      </c>
      <c r="G427" s="39">
        <v>350</v>
      </c>
      <c r="H427" s="40">
        <v>1.1040000000000001</v>
      </c>
      <c r="I427" s="37">
        <v>137260</v>
      </c>
      <c r="J427" s="41" t="s">
        <v>1006</v>
      </c>
      <c r="K427" s="42">
        <v>2020</v>
      </c>
    </row>
    <row r="428" spans="1:11" ht="15" customHeight="1" x14ac:dyDescent="0.3">
      <c r="A428" s="31">
        <v>423</v>
      </c>
      <c r="B428" s="32" t="s">
        <v>1039</v>
      </c>
      <c r="C428" s="32" t="s">
        <v>1047</v>
      </c>
      <c r="D428" s="32" t="s">
        <v>1048</v>
      </c>
      <c r="E428" s="32" t="s">
        <v>1049</v>
      </c>
      <c r="F428" s="32" t="s">
        <v>316</v>
      </c>
      <c r="G428" s="33">
        <v>1685</v>
      </c>
      <c r="H428" s="34">
        <v>6.87</v>
      </c>
      <c r="I428" s="31">
        <v>265000</v>
      </c>
      <c r="J428" s="35" t="s">
        <v>1006</v>
      </c>
      <c r="K428" s="36">
        <v>2020</v>
      </c>
    </row>
    <row r="429" spans="1:11" ht="15" customHeight="1" x14ac:dyDescent="0.3">
      <c r="A429" s="37">
        <v>424</v>
      </c>
      <c r="B429" s="38" t="s">
        <v>1039</v>
      </c>
      <c r="C429" s="38" t="s">
        <v>1050</v>
      </c>
      <c r="D429" s="38" t="s">
        <v>1051</v>
      </c>
      <c r="E429" s="38" t="s">
        <v>1052</v>
      </c>
      <c r="F429" s="38" t="s">
        <v>276</v>
      </c>
      <c r="G429" s="39">
        <v>117</v>
      </c>
      <c r="H429" s="40">
        <v>0.8</v>
      </c>
      <c r="I429" s="37">
        <v>137260</v>
      </c>
      <c r="J429" s="41" t="s">
        <v>1006</v>
      </c>
      <c r="K429" s="42">
        <v>2020</v>
      </c>
    </row>
    <row r="430" spans="1:11" ht="15" customHeight="1" x14ac:dyDescent="0.3">
      <c r="A430" s="31">
        <v>425</v>
      </c>
      <c r="B430" s="32" t="s">
        <v>1039</v>
      </c>
      <c r="C430" s="32" t="s">
        <v>1053</v>
      </c>
      <c r="D430" s="32" t="s">
        <v>1054</v>
      </c>
      <c r="E430" s="32" t="s">
        <v>35</v>
      </c>
      <c r="F430" s="32" t="s">
        <v>287</v>
      </c>
      <c r="G430" s="33">
        <v>189</v>
      </c>
      <c r="H430" s="34">
        <v>0.7</v>
      </c>
      <c r="I430" s="31">
        <v>137260</v>
      </c>
      <c r="J430" s="35" t="s">
        <v>1006</v>
      </c>
      <c r="K430" s="36">
        <v>2020</v>
      </c>
    </row>
    <row r="431" spans="1:11" ht="15" customHeight="1" x14ac:dyDescent="0.3">
      <c r="A431" s="37">
        <v>426</v>
      </c>
      <c r="B431" s="38" t="s">
        <v>1039</v>
      </c>
      <c r="C431" s="38" t="s">
        <v>1055</v>
      </c>
      <c r="D431" s="38" t="s">
        <v>1056</v>
      </c>
      <c r="E431" s="38" t="s">
        <v>39</v>
      </c>
      <c r="F431" s="38" t="s">
        <v>276</v>
      </c>
      <c r="G431" s="39">
        <v>250</v>
      </c>
      <c r="H431" s="40">
        <v>0.41</v>
      </c>
      <c r="I431" s="37">
        <v>137260</v>
      </c>
      <c r="J431" s="41" t="s">
        <v>1006</v>
      </c>
      <c r="K431" s="42">
        <v>2020</v>
      </c>
    </row>
    <row r="432" spans="1:11" ht="15" customHeight="1" x14ac:dyDescent="0.3">
      <c r="A432" s="31">
        <v>427</v>
      </c>
      <c r="B432" s="32" t="s">
        <v>1039</v>
      </c>
      <c r="C432" s="32" t="s">
        <v>1057</v>
      </c>
      <c r="D432" s="32" t="s">
        <v>1058</v>
      </c>
      <c r="E432" s="32" t="s">
        <v>49</v>
      </c>
      <c r="F432" s="32" t="s">
        <v>306</v>
      </c>
      <c r="G432" s="33">
        <v>105</v>
      </c>
      <c r="H432" s="34">
        <v>0.31</v>
      </c>
      <c r="I432" s="31">
        <v>127000</v>
      </c>
      <c r="J432" s="35" t="s">
        <v>1006</v>
      </c>
      <c r="K432" s="36">
        <v>2020</v>
      </c>
    </row>
    <row r="433" spans="1:11" ht="15" customHeight="1" x14ac:dyDescent="0.3">
      <c r="A433" s="37">
        <v>428</v>
      </c>
      <c r="B433" s="38" t="s">
        <v>1059</v>
      </c>
      <c r="C433" s="38" t="s">
        <v>1060</v>
      </c>
      <c r="D433" s="38" t="s">
        <v>44</v>
      </c>
      <c r="E433" s="38" t="s">
        <v>35</v>
      </c>
      <c r="F433" s="38" t="s">
        <v>373</v>
      </c>
      <c r="G433" s="39">
        <v>5905</v>
      </c>
      <c r="H433" s="40">
        <v>8</v>
      </c>
      <c r="I433" s="37">
        <v>323260</v>
      </c>
      <c r="J433" s="41" t="s">
        <v>1006</v>
      </c>
      <c r="K433" s="42">
        <v>2020</v>
      </c>
    </row>
    <row r="434" spans="1:11" ht="15" customHeight="1" x14ac:dyDescent="0.3">
      <c r="A434" s="31">
        <v>429</v>
      </c>
      <c r="B434" s="32" t="s">
        <v>1059</v>
      </c>
      <c r="C434" s="32" t="s">
        <v>1061</v>
      </c>
      <c r="D434" s="32" t="s">
        <v>803</v>
      </c>
      <c r="E434" s="32" t="s">
        <v>215</v>
      </c>
      <c r="F434" s="32" t="s">
        <v>1062</v>
      </c>
      <c r="G434" s="33">
        <v>112.8</v>
      </c>
      <c r="H434" s="34">
        <v>0.18</v>
      </c>
      <c r="I434" s="31">
        <v>127000</v>
      </c>
      <c r="J434" s="35" t="s">
        <v>1006</v>
      </c>
      <c r="K434" s="36">
        <v>2020</v>
      </c>
    </row>
    <row r="435" spans="1:11" ht="15" customHeight="1" x14ac:dyDescent="0.3">
      <c r="A435" s="37">
        <v>430</v>
      </c>
      <c r="B435" s="38" t="s">
        <v>1059</v>
      </c>
      <c r="C435" s="38" t="s">
        <v>1063</v>
      </c>
      <c r="D435" s="38" t="s">
        <v>841</v>
      </c>
      <c r="E435" s="38" t="s">
        <v>37</v>
      </c>
      <c r="F435" s="38" t="s">
        <v>316</v>
      </c>
      <c r="G435" s="39">
        <v>1362</v>
      </c>
      <c r="H435" s="40">
        <v>2</v>
      </c>
      <c r="I435" s="37">
        <v>163260</v>
      </c>
      <c r="J435" s="41" t="s">
        <v>1006</v>
      </c>
      <c r="K435" s="42">
        <v>2020</v>
      </c>
    </row>
    <row r="436" spans="1:11" ht="15" customHeight="1" x14ac:dyDescent="0.3">
      <c r="A436" s="31">
        <v>431</v>
      </c>
      <c r="B436" s="32" t="s">
        <v>1059</v>
      </c>
      <c r="C436" s="32" t="s">
        <v>1064</v>
      </c>
      <c r="D436" s="32" t="s">
        <v>1065</v>
      </c>
      <c r="E436" s="32" t="s">
        <v>1066</v>
      </c>
      <c r="F436" s="32" t="s">
        <v>276</v>
      </c>
      <c r="G436" s="33">
        <v>143</v>
      </c>
      <c r="H436" s="34">
        <v>0.77</v>
      </c>
      <c r="I436" s="31">
        <v>137260</v>
      </c>
      <c r="J436" s="35" t="s">
        <v>1006</v>
      </c>
      <c r="K436" s="36">
        <v>2020</v>
      </c>
    </row>
    <row r="437" spans="1:11" ht="15" customHeight="1" x14ac:dyDescent="0.3">
      <c r="A437" s="37">
        <v>432</v>
      </c>
      <c r="B437" s="38" t="s">
        <v>1059</v>
      </c>
      <c r="C437" s="38" t="s">
        <v>1067</v>
      </c>
      <c r="D437" s="38" t="s">
        <v>1068</v>
      </c>
      <c r="E437" s="38" t="s">
        <v>1069</v>
      </c>
      <c r="F437" s="38" t="s">
        <v>375</v>
      </c>
      <c r="G437" s="39">
        <v>10</v>
      </c>
      <c r="H437" s="40">
        <v>0.67</v>
      </c>
      <c r="I437" s="37">
        <v>137260</v>
      </c>
      <c r="J437" s="41" t="s">
        <v>1006</v>
      </c>
      <c r="K437" s="42">
        <v>2020</v>
      </c>
    </row>
    <row r="438" spans="1:11" ht="15" customHeight="1" x14ac:dyDescent="0.3">
      <c r="A438" s="31">
        <v>433</v>
      </c>
      <c r="B438" s="32" t="s">
        <v>1059</v>
      </c>
      <c r="C438" s="32" t="s">
        <v>1070</v>
      </c>
      <c r="D438" s="32" t="s">
        <v>1071</v>
      </c>
      <c r="E438" s="32" t="s">
        <v>1072</v>
      </c>
      <c r="F438" s="32" t="s">
        <v>316</v>
      </c>
      <c r="G438" s="33">
        <v>915</v>
      </c>
      <c r="H438" s="34">
        <v>3.12</v>
      </c>
      <c r="I438" s="31">
        <v>181000</v>
      </c>
      <c r="J438" s="35" t="s">
        <v>1006</v>
      </c>
      <c r="K438" s="36">
        <v>2020</v>
      </c>
    </row>
    <row r="439" spans="1:11" ht="15" customHeight="1" x14ac:dyDescent="0.3">
      <c r="A439" s="37">
        <v>434</v>
      </c>
      <c r="B439" s="38" t="s">
        <v>1059</v>
      </c>
      <c r="C439" s="38" t="s">
        <v>1073</v>
      </c>
      <c r="D439" s="38" t="s">
        <v>1074</v>
      </c>
      <c r="E439" s="38" t="s">
        <v>1075</v>
      </c>
      <c r="F439" s="38" t="s">
        <v>435</v>
      </c>
      <c r="G439" s="39">
        <v>1632</v>
      </c>
      <c r="H439" s="40">
        <v>6</v>
      </c>
      <c r="I439" s="37">
        <v>275260</v>
      </c>
      <c r="J439" s="41" t="s">
        <v>1006</v>
      </c>
      <c r="K439" s="42">
        <v>2020</v>
      </c>
    </row>
    <row r="440" spans="1:11" ht="15" customHeight="1" x14ac:dyDescent="0.3">
      <c r="A440" s="31">
        <v>435</v>
      </c>
      <c r="B440" s="32" t="s">
        <v>1059</v>
      </c>
      <c r="C440" s="32" t="s">
        <v>1076</v>
      </c>
      <c r="D440" s="32" t="s">
        <v>538</v>
      </c>
      <c r="E440" s="32" t="s">
        <v>37</v>
      </c>
      <c r="F440" s="32" t="s">
        <v>276</v>
      </c>
      <c r="G440" s="33">
        <v>470</v>
      </c>
      <c r="H440" s="34">
        <v>0.64</v>
      </c>
      <c r="I440" s="31">
        <v>137260</v>
      </c>
      <c r="J440" s="35" t="s">
        <v>1006</v>
      </c>
      <c r="K440" s="36">
        <v>2020</v>
      </c>
    </row>
    <row r="441" spans="1:11" ht="15" customHeight="1" x14ac:dyDescent="0.3">
      <c r="A441" s="37">
        <v>436</v>
      </c>
      <c r="B441" s="38" t="s">
        <v>1059</v>
      </c>
      <c r="C441" s="38" t="s">
        <v>1077</v>
      </c>
      <c r="D441" s="38" t="s">
        <v>1078</v>
      </c>
      <c r="E441" s="38" t="s">
        <v>41</v>
      </c>
      <c r="F441" s="38" t="s">
        <v>306</v>
      </c>
      <c r="G441" s="39">
        <v>332</v>
      </c>
      <c r="H441" s="40">
        <v>2.16</v>
      </c>
      <c r="I441" s="37">
        <v>163260</v>
      </c>
      <c r="J441" s="41" t="s">
        <v>1006</v>
      </c>
      <c r="K441" s="42">
        <v>2020</v>
      </c>
    </row>
    <row r="442" spans="1:11" ht="15" customHeight="1" x14ac:dyDescent="0.3">
      <c r="A442" s="31">
        <v>437</v>
      </c>
      <c r="B442" s="32" t="s">
        <v>1059</v>
      </c>
      <c r="C442" s="32" t="s">
        <v>1079</v>
      </c>
      <c r="D442" s="32" t="s">
        <v>64</v>
      </c>
      <c r="E442" s="32" t="s">
        <v>47</v>
      </c>
      <c r="F442" s="32" t="s">
        <v>276</v>
      </c>
      <c r="G442" s="33">
        <v>165</v>
      </c>
      <c r="H442" s="34">
        <v>0.2</v>
      </c>
      <c r="I442" s="31">
        <v>127000</v>
      </c>
      <c r="J442" s="35" t="s">
        <v>1006</v>
      </c>
      <c r="K442" s="36">
        <v>2020</v>
      </c>
    </row>
    <row r="443" spans="1:11" ht="15" customHeight="1" x14ac:dyDescent="0.3">
      <c r="A443" s="37">
        <v>438</v>
      </c>
      <c r="B443" s="38" t="s">
        <v>1059</v>
      </c>
      <c r="C443" s="38" t="s">
        <v>1080</v>
      </c>
      <c r="D443" s="38" t="s">
        <v>1028</v>
      </c>
      <c r="E443" s="38" t="s">
        <v>1081</v>
      </c>
      <c r="F443" s="38" t="s">
        <v>316</v>
      </c>
      <c r="G443" s="39">
        <v>582.91</v>
      </c>
      <c r="H443" s="40">
        <v>1.86</v>
      </c>
      <c r="I443" s="37">
        <v>163260</v>
      </c>
      <c r="J443" s="41" t="s">
        <v>1006</v>
      </c>
      <c r="K443" s="42">
        <v>2020</v>
      </c>
    </row>
    <row r="444" spans="1:11" ht="15" customHeight="1" x14ac:dyDescent="0.3">
      <c r="A444" s="31">
        <v>439</v>
      </c>
      <c r="B444" s="32" t="s">
        <v>1059</v>
      </c>
      <c r="C444" s="32" t="s">
        <v>1082</v>
      </c>
      <c r="D444" s="32" t="s">
        <v>1083</v>
      </c>
      <c r="E444" s="32" t="s">
        <v>1084</v>
      </c>
      <c r="F444" s="32" t="s">
        <v>287</v>
      </c>
      <c r="G444" s="33">
        <v>1530</v>
      </c>
      <c r="H444" s="34">
        <v>3</v>
      </c>
      <c r="I444" s="31">
        <v>181000</v>
      </c>
      <c r="J444" s="35" t="s">
        <v>1006</v>
      </c>
      <c r="K444" s="36">
        <v>2020</v>
      </c>
    </row>
    <row r="445" spans="1:11" ht="15" customHeight="1" x14ac:dyDescent="0.3">
      <c r="A445" s="37">
        <v>440</v>
      </c>
      <c r="B445" s="38" t="s">
        <v>1059</v>
      </c>
      <c r="C445" s="38" t="s">
        <v>1085</v>
      </c>
      <c r="D445" s="38" t="s">
        <v>1086</v>
      </c>
      <c r="E445" s="38" t="s">
        <v>1087</v>
      </c>
      <c r="F445" s="38" t="s">
        <v>306</v>
      </c>
      <c r="G445" s="39">
        <v>781</v>
      </c>
      <c r="H445" s="40">
        <v>1.03</v>
      </c>
      <c r="I445" s="37">
        <v>127000</v>
      </c>
      <c r="J445" s="41" t="s">
        <v>1006</v>
      </c>
      <c r="K445" s="42">
        <v>2020</v>
      </c>
    </row>
    <row r="446" spans="1:11" ht="15" customHeight="1" x14ac:dyDescent="0.3">
      <c r="A446" s="31">
        <v>441</v>
      </c>
      <c r="B446" s="32" t="s">
        <v>1059</v>
      </c>
      <c r="C446" s="32" t="s">
        <v>1088</v>
      </c>
      <c r="D446" s="32" t="s">
        <v>1089</v>
      </c>
      <c r="E446" s="32" t="s">
        <v>1090</v>
      </c>
      <c r="F446" s="32" t="s">
        <v>316</v>
      </c>
      <c r="G446" s="33">
        <v>237.1</v>
      </c>
      <c r="H446" s="34">
        <v>4</v>
      </c>
      <c r="I446" s="31">
        <v>209000</v>
      </c>
      <c r="J446" s="35" t="s">
        <v>1006</v>
      </c>
      <c r="K446" s="36">
        <v>2020</v>
      </c>
    </row>
    <row r="447" spans="1:11" ht="15" customHeight="1" x14ac:dyDescent="0.3">
      <c r="A447" s="37">
        <v>442</v>
      </c>
      <c r="B447" s="38" t="s">
        <v>1059</v>
      </c>
      <c r="C447" s="38" t="s">
        <v>1091</v>
      </c>
      <c r="D447" s="38" t="s">
        <v>1092</v>
      </c>
      <c r="E447" s="38" t="s">
        <v>206</v>
      </c>
      <c r="F447" s="38" t="s">
        <v>316</v>
      </c>
      <c r="G447" s="39">
        <v>277.10000000000002</v>
      </c>
      <c r="H447" s="40">
        <v>3.49</v>
      </c>
      <c r="I447" s="37">
        <v>191260</v>
      </c>
      <c r="J447" s="41" t="s">
        <v>1006</v>
      </c>
      <c r="K447" s="42">
        <v>2020</v>
      </c>
    </row>
    <row r="448" spans="1:11" ht="15" customHeight="1" x14ac:dyDescent="0.3">
      <c r="A448" s="31">
        <v>443</v>
      </c>
      <c r="B448" s="32" t="s">
        <v>1059</v>
      </c>
      <c r="C448" s="32" t="s">
        <v>1093</v>
      </c>
      <c r="D448" s="32" t="s">
        <v>1094</v>
      </c>
      <c r="E448" s="32" t="s">
        <v>857</v>
      </c>
      <c r="F448" s="32" t="s">
        <v>1095</v>
      </c>
      <c r="G448" s="33">
        <v>890</v>
      </c>
      <c r="H448" s="34">
        <v>2</v>
      </c>
      <c r="I448" s="31">
        <v>163260</v>
      </c>
      <c r="J448" s="35" t="s">
        <v>1006</v>
      </c>
      <c r="K448" s="36">
        <v>2020</v>
      </c>
    </row>
    <row r="449" spans="1:11" ht="15" customHeight="1" x14ac:dyDescent="0.3">
      <c r="A449" s="37">
        <v>444</v>
      </c>
      <c r="B449" s="38" t="s">
        <v>1059</v>
      </c>
      <c r="C449" s="38" t="s">
        <v>1096</v>
      </c>
      <c r="D449" s="38" t="s">
        <v>1097</v>
      </c>
      <c r="E449" s="38" t="s">
        <v>1098</v>
      </c>
      <c r="F449" s="38" t="s">
        <v>658</v>
      </c>
      <c r="G449" s="39">
        <v>403</v>
      </c>
      <c r="H449" s="40">
        <v>3</v>
      </c>
      <c r="I449" s="37">
        <v>191260</v>
      </c>
      <c r="J449" s="41" t="s">
        <v>1006</v>
      </c>
      <c r="K449" s="42">
        <v>2020</v>
      </c>
    </row>
    <row r="450" spans="1:11" ht="15" customHeight="1" x14ac:dyDescent="0.3">
      <c r="A450" s="31">
        <v>445</v>
      </c>
      <c r="B450" s="32" t="s">
        <v>272</v>
      </c>
      <c r="C450" s="32" t="s">
        <v>1099</v>
      </c>
      <c r="D450" s="32" t="s">
        <v>841</v>
      </c>
      <c r="E450" s="32" t="s">
        <v>37</v>
      </c>
      <c r="F450" s="32" t="s">
        <v>373</v>
      </c>
      <c r="G450" s="33">
        <v>589</v>
      </c>
      <c r="H450" s="34">
        <v>0.87</v>
      </c>
      <c r="I450" s="31">
        <v>137260</v>
      </c>
      <c r="J450" s="35" t="s">
        <v>1006</v>
      </c>
      <c r="K450" s="36">
        <v>2020</v>
      </c>
    </row>
    <row r="451" spans="1:11" ht="15" customHeight="1" x14ac:dyDescent="0.3">
      <c r="A451" s="37">
        <v>446</v>
      </c>
      <c r="B451" s="38" t="s">
        <v>272</v>
      </c>
      <c r="C451" s="38" t="s">
        <v>1100</v>
      </c>
      <c r="D451" s="38" t="s">
        <v>723</v>
      </c>
      <c r="E451" s="38" t="s">
        <v>35</v>
      </c>
      <c r="F451" s="38" t="s">
        <v>312</v>
      </c>
      <c r="G451" s="39">
        <v>870</v>
      </c>
      <c r="H451" s="40">
        <v>0.77</v>
      </c>
      <c r="I451" s="37">
        <v>137260</v>
      </c>
      <c r="J451" s="41" t="s">
        <v>1006</v>
      </c>
      <c r="K451" s="42">
        <v>2020</v>
      </c>
    </row>
    <row r="452" spans="1:11" ht="15" customHeight="1" x14ac:dyDescent="0.3">
      <c r="A452" s="31">
        <v>447</v>
      </c>
      <c r="B452" s="32" t="s">
        <v>272</v>
      </c>
      <c r="C452" s="32" t="s">
        <v>1101</v>
      </c>
      <c r="D452" s="32" t="s">
        <v>44</v>
      </c>
      <c r="E452" s="32" t="s">
        <v>35</v>
      </c>
      <c r="F452" s="32" t="s">
        <v>1102</v>
      </c>
      <c r="G452" s="33">
        <v>7450</v>
      </c>
      <c r="H452" s="34">
        <v>13.05</v>
      </c>
      <c r="I452" s="31">
        <v>377260</v>
      </c>
      <c r="J452" s="35" t="s">
        <v>1006</v>
      </c>
      <c r="K452" s="36">
        <v>2020</v>
      </c>
    </row>
    <row r="453" spans="1:11" ht="15" customHeight="1" x14ac:dyDescent="0.3">
      <c r="A453" s="37">
        <v>448</v>
      </c>
      <c r="B453" s="38" t="s">
        <v>272</v>
      </c>
      <c r="C453" s="38" t="s">
        <v>1103</v>
      </c>
      <c r="D453" s="38" t="s">
        <v>1104</v>
      </c>
      <c r="E453" s="38" t="s">
        <v>190</v>
      </c>
      <c r="F453" s="38" t="s">
        <v>846</v>
      </c>
      <c r="G453" s="39">
        <v>530</v>
      </c>
      <c r="H453" s="40">
        <v>1.6</v>
      </c>
      <c r="I453" s="37">
        <v>153000</v>
      </c>
      <c r="J453" s="41" t="s">
        <v>1006</v>
      </c>
      <c r="K453" s="42">
        <v>2020</v>
      </c>
    </row>
    <row r="454" spans="1:11" ht="15" customHeight="1" x14ac:dyDescent="0.3">
      <c r="A454" s="31">
        <v>449</v>
      </c>
      <c r="B454" s="32" t="s">
        <v>272</v>
      </c>
      <c r="C454" s="32" t="s">
        <v>1105</v>
      </c>
      <c r="D454" s="32" t="s">
        <v>1106</v>
      </c>
      <c r="E454" s="32" t="s">
        <v>57</v>
      </c>
      <c r="F454" s="32" t="s">
        <v>276</v>
      </c>
      <c r="G454" s="33">
        <v>132.5</v>
      </c>
      <c r="H454" s="34">
        <v>1.3</v>
      </c>
      <c r="I454" s="31">
        <v>127000</v>
      </c>
      <c r="J454" s="35" t="s">
        <v>1006</v>
      </c>
      <c r="K454" s="36">
        <v>2020</v>
      </c>
    </row>
    <row r="455" spans="1:11" ht="15" customHeight="1" x14ac:dyDescent="0.3">
      <c r="A455" s="37">
        <v>450</v>
      </c>
      <c r="B455" s="38" t="s">
        <v>272</v>
      </c>
      <c r="C455" s="38" t="s">
        <v>1107</v>
      </c>
      <c r="D455" s="38" t="s">
        <v>1108</v>
      </c>
      <c r="E455" s="38" t="s">
        <v>43</v>
      </c>
      <c r="F455" s="38" t="s">
        <v>386</v>
      </c>
      <c r="G455" s="39">
        <v>915</v>
      </c>
      <c r="H455" s="40">
        <v>4.07</v>
      </c>
      <c r="I455" s="37">
        <v>219260</v>
      </c>
      <c r="J455" s="41" t="s">
        <v>1006</v>
      </c>
      <c r="K455" s="42">
        <v>2020</v>
      </c>
    </row>
    <row r="456" spans="1:11" ht="15" customHeight="1" x14ac:dyDescent="0.3">
      <c r="A456" s="31">
        <v>451</v>
      </c>
      <c r="B456" s="32" t="s">
        <v>272</v>
      </c>
      <c r="C456" s="32" t="s">
        <v>1109</v>
      </c>
      <c r="D456" s="32" t="s">
        <v>1110</v>
      </c>
      <c r="E456" s="32" t="s">
        <v>43</v>
      </c>
      <c r="F456" s="32" t="s">
        <v>316</v>
      </c>
      <c r="G456" s="33">
        <v>185</v>
      </c>
      <c r="H456" s="34">
        <v>3.02</v>
      </c>
      <c r="I456" s="31">
        <v>191260</v>
      </c>
      <c r="J456" s="35" t="s">
        <v>1006</v>
      </c>
      <c r="K456" s="36">
        <v>2020</v>
      </c>
    </row>
    <row r="457" spans="1:11" ht="15" customHeight="1" x14ac:dyDescent="0.3">
      <c r="A457" s="37">
        <v>452</v>
      </c>
      <c r="B457" s="38" t="s">
        <v>272</v>
      </c>
      <c r="C457" s="38" t="s">
        <v>1111</v>
      </c>
      <c r="D457" s="38" t="s">
        <v>1112</v>
      </c>
      <c r="E457" s="38" t="s">
        <v>788</v>
      </c>
      <c r="F457" s="38" t="s">
        <v>1113</v>
      </c>
      <c r="G457" s="39">
        <v>479</v>
      </c>
      <c r="H457" s="40">
        <v>5.0599999999999996</v>
      </c>
      <c r="I457" s="37">
        <v>247260</v>
      </c>
      <c r="J457" s="41" t="s">
        <v>1006</v>
      </c>
      <c r="K457" s="42">
        <v>2020</v>
      </c>
    </row>
    <row r="458" spans="1:11" ht="15" customHeight="1" x14ac:dyDescent="0.3">
      <c r="A458" s="31">
        <v>453</v>
      </c>
      <c r="B458" s="32" t="s">
        <v>272</v>
      </c>
      <c r="C458" s="32" t="s">
        <v>1114</v>
      </c>
      <c r="D458" s="32" t="s">
        <v>1115</v>
      </c>
      <c r="E458" s="32" t="s">
        <v>394</v>
      </c>
      <c r="F458" s="32" t="s">
        <v>287</v>
      </c>
      <c r="G458" s="33">
        <v>685</v>
      </c>
      <c r="H458" s="34">
        <v>4.4400000000000004</v>
      </c>
      <c r="I458" s="31">
        <v>219260</v>
      </c>
      <c r="J458" s="35" t="s">
        <v>1006</v>
      </c>
      <c r="K458" s="36">
        <v>2020</v>
      </c>
    </row>
    <row r="459" spans="1:11" ht="15" customHeight="1" x14ac:dyDescent="0.3">
      <c r="A459" s="37">
        <v>454</v>
      </c>
      <c r="B459" s="38" t="s">
        <v>272</v>
      </c>
      <c r="C459" s="38" t="s">
        <v>1116</v>
      </c>
      <c r="D459" s="38" t="s">
        <v>573</v>
      </c>
      <c r="E459" s="38" t="s">
        <v>574</v>
      </c>
      <c r="F459" s="38" t="s">
        <v>1095</v>
      </c>
      <c r="G459" s="39">
        <v>2442</v>
      </c>
      <c r="H459" s="40">
        <v>2.4700000000000002</v>
      </c>
      <c r="I459" s="37">
        <v>153000</v>
      </c>
      <c r="J459" s="41" t="s">
        <v>1006</v>
      </c>
      <c r="K459" s="42">
        <v>2020</v>
      </c>
    </row>
    <row r="460" spans="1:11" ht="15" customHeight="1" x14ac:dyDescent="0.3">
      <c r="A460" s="31">
        <v>455</v>
      </c>
      <c r="B460" s="32" t="s">
        <v>272</v>
      </c>
      <c r="C460" s="32" t="s">
        <v>1117</v>
      </c>
      <c r="D460" s="32" t="s">
        <v>1118</v>
      </c>
      <c r="E460" s="32" t="s">
        <v>574</v>
      </c>
      <c r="F460" s="32" t="s">
        <v>312</v>
      </c>
      <c r="G460" s="33">
        <v>59</v>
      </c>
      <c r="H460" s="34">
        <v>0.71</v>
      </c>
      <c r="I460" s="31">
        <v>127000</v>
      </c>
      <c r="J460" s="35" t="s">
        <v>1006</v>
      </c>
      <c r="K460" s="36">
        <v>2020</v>
      </c>
    </row>
    <row r="461" spans="1:11" ht="15" customHeight="1" x14ac:dyDescent="0.3">
      <c r="A461" s="37">
        <v>456</v>
      </c>
      <c r="B461" s="38" t="s">
        <v>272</v>
      </c>
      <c r="C461" s="38" t="s">
        <v>1119</v>
      </c>
      <c r="D461" s="38" t="s">
        <v>1120</v>
      </c>
      <c r="E461" s="38" t="s">
        <v>889</v>
      </c>
      <c r="F461" s="38" t="s">
        <v>276</v>
      </c>
      <c r="G461" s="39">
        <v>381</v>
      </c>
      <c r="H461" s="40">
        <v>1.24</v>
      </c>
      <c r="I461" s="37">
        <v>137260</v>
      </c>
      <c r="J461" s="41" t="s">
        <v>1006</v>
      </c>
      <c r="K461" s="42">
        <v>2020</v>
      </c>
    </row>
    <row r="462" spans="1:11" ht="15" customHeight="1" x14ac:dyDescent="0.3">
      <c r="A462" s="31">
        <v>457</v>
      </c>
      <c r="B462" s="32" t="s">
        <v>272</v>
      </c>
      <c r="C462" s="32" t="s">
        <v>1121</v>
      </c>
      <c r="D462" s="32" t="s">
        <v>1122</v>
      </c>
      <c r="E462" s="32" t="s">
        <v>1123</v>
      </c>
      <c r="F462" s="32" t="s">
        <v>306</v>
      </c>
      <c r="G462" s="33">
        <v>314</v>
      </c>
      <c r="H462" s="34">
        <v>0.97</v>
      </c>
      <c r="I462" s="31">
        <v>127000</v>
      </c>
      <c r="J462" s="35" t="s">
        <v>1006</v>
      </c>
      <c r="K462" s="36">
        <v>2020</v>
      </c>
    </row>
    <row r="463" spans="1:11" ht="15" customHeight="1" x14ac:dyDescent="0.3">
      <c r="A463" s="37">
        <v>458</v>
      </c>
      <c r="B463" s="38" t="s">
        <v>272</v>
      </c>
      <c r="C463" s="38" t="s">
        <v>1124</v>
      </c>
      <c r="D463" s="38" t="s">
        <v>1125</v>
      </c>
      <c r="E463" s="38" t="s">
        <v>1126</v>
      </c>
      <c r="F463" s="38" t="s">
        <v>276</v>
      </c>
      <c r="G463" s="39">
        <v>364</v>
      </c>
      <c r="H463" s="40">
        <v>2.11</v>
      </c>
      <c r="I463" s="37">
        <v>163260</v>
      </c>
      <c r="J463" s="41" t="s">
        <v>1006</v>
      </c>
      <c r="K463" s="42">
        <v>2020</v>
      </c>
    </row>
    <row r="464" spans="1:11" ht="15" customHeight="1" x14ac:dyDescent="0.3">
      <c r="A464" s="31">
        <v>459</v>
      </c>
      <c r="B464" s="32" t="s">
        <v>272</v>
      </c>
      <c r="C464" s="32" t="s">
        <v>1127</v>
      </c>
      <c r="D464" s="32" t="s">
        <v>1128</v>
      </c>
      <c r="E464" s="32" t="s">
        <v>1129</v>
      </c>
      <c r="F464" s="32" t="s">
        <v>406</v>
      </c>
      <c r="G464" s="33">
        <v>720</v>
      </c>
      <c r="H464" s="34">
        <v>6.2</v>
      </c>
      <c r="I464" s="31">
        <v>265000</v>
      </c>
      <c r="J464" s="35" t="s">
        <v>1006</v>
      </c>
      <c r="K464" s="36">
        <v>2020</v>
      </c>
    </row>
    <row r="465" spans="1:11" ht="15" customHeight="1" x14ac:dyDescent="0.3">
      <c r="A465" s="37">
        <v>460</v>
      </c>
      <c r="B465" s="38" t="s">
        <v>336</v>
      </c>
      <c r="C465" s="38" t="s">
        <v>1130</v>
      </c>
      <c r="D465" s="38" t="s">
        <v>1131</v>
      </c>
      <c r="E465" s="38" t="s">
        <v>41</v>
      </c>
      <c r="F465" s="38" t="s">
        <v>312</v>
      </c>
      <c r="G465" s="39">
        <v>355</v>
      </c>
      <c r="H465" s="40">
        <v>2</v>
      </c>
      <c r="I465" s="37">
        <v>163260</v>
      </c>
      <c r="J465" s="41" t="s">
        <v>1132</v>
      </c>
      <c r="K465" s="42">
        <v>2020</v>
      </c>
    </row>
    <row r="466" spans="1:11" ht="15" customHeight="1" x14ac:dyDescent="0.3">
      <c r="A466" s="31">
        <v>461</v>
      </c>
      <c r="B466" s="32" t="s">
        <v>336</v>
      </c>
      <c r="C466" s="32" t="s">
        <v>1133</v>
      </c>
      <c r="D466" s="32" t="s">
        <v>1131</v>
      </c>
      <c r="E466" s="32" t="s">
        <v>41</v>
      </c>
      <c r="F466" s="32" t="s">
        <v>316</v>
      </c>
      <c r="G466" s="33">
        <v>764</v>
      </c>
      <c r="H466" s="34">
        <v>2</v>
      </c>
      <c r="I466" s="31">
        <v>163260</v>
      </c>
      <c r="J466" s="35" t="s">
        <v>1132</v>
      </c>
      <c r="K466" s="36">
        <v>2020</v>
      </c>
    </row>
    <row r="467" spans="1:11" ht="15" customHeight="1" x14ac:dyDescent="0.3">
      <c r="A467" s="37">
        <v>462</v>
      </c>
      <c r="B467" s="38" t="s">
        <v>336</v>
      </c>
      <c r="C467" s="38" t="s">
        <v>1134</v>
      </c>
      <c r="D467" s="38" t="s">
        <v>963</v>
      </c>
      <c r="E467" s="38" t="s">
        <v>964</v>
      </c>
      <c r="F467" s="38" t="s">
        <v>1135</v>
      </c>
      <c r="G467" s="39">
        <v>1850</v>
      </c>
      <c r="H467" s="40">
        <v>12</v>
      </c>
      <c r="I467" s="37">
        <v>431260</v>
      </c>
      <c r="J467" s="41" t="s">
        <v>1132</v>
      </c>
      <c r="K467" s="42">
        <v>2020</v>
      </c>
    </row>
    <row r="468" spans="1:11" ht="15" customHeight="1" x14ac:dyDescent="0.3">
      <c r="A468" s="31">
        <v>463</v>
      </c>
      <c r="B468" s="32" t="s">
        <v>336</v>
      </c>
      <c r="C468" s="32" t="s">
        <v>1136</v>
      </c>
      <c r="D468" s="32" t="s">
        <v>1137</v>
      </c>
      <c r="E468" s="32" t="s">
        <v>1138</v>
      </c>
      <c r="F468" s="32" t="s">
        <v>316</v>
      </c>
      <c r="G468" s="33">
        <v>641</v>
      </c>
      <c r="H468" s="34">
        <v>3</v>
      </c>
      <c r="I468" s="31">
        <v>191260</v>
      </c>
      <c r="J468" s="35" t="s">
        <v>1132</v>
      </c>
      <c r="K468" s="36">
        <v>2020</v>
      </c>
    </row>
    <row r="469" spans="1:11" ht="15" customHeight="1" x14ac:dyDescent="0.3">
      <c r="A469" s="37">
        <v>464</v>
      </c>
      <c r="B469" s="38" t="s">
        <v>336</v>
      </c>
      <c r="C469" s="38" t="s">
        <v>1139</v>
      </c>
      <c r="D469" s="38" t="s">
        <v>1140</v>
      </c>
      <c r="E469" s="38" t="s">
        <v>1141</v>
      </c>
      <c r="F469" s="38" t="s">
        <v>316</v>
      </c>
      <c r="G469" s="39">
        <v>1350</v>
      </c>
      <c r="H469" s="40">
        <v>3</v>
      </c>
      <c r="I469" s="37">
        <v>191260</v>
      </c>
      <c r="J469" s="41" t="s">
        <v>1132</v>
      </c>
      <c r="K469" s="42">
        <v>2020</v>
      </c>
    </row>
    <row r="470" spans="1:11" ht="15" customHeight="1" x14ac:dyDescent="0.3">
      <c r="A470" s="31">
        <v>465</v>
      </c>
      <c r="B470" s="32" t="s">
        <v>336</v>
      </c>
      <c r="C470" s="32" t="s">
        <v>1142</v>
      </c>
      <c r="D470" s="32" t="s">
        <v>1051</v>
      </c>
      <c r="E470" s="32" t="s">
        <v>1052</v>
      </c>
      <c r="F470" s="32" t="s">
        <v>287</v>
      </c>
      <c r="G470" s="33">
        <v>601</v>
      </c>
      <c r="H470" s="34">
        <v>4</v>
      </c>
      <c r="I470" s="31">
        <v>219260</v>
      </c>
      <c r="J470" s="35" t="s">
        <v>1132</v>
      </c>
      <c r="K470" s="36">
        <v>2020</v>
      </c>
    </row>
    <row r="471" spans="1:11" ht="15" customHeight="1" x14ac:dyDescent="0.3">
      <c r="A471" s="37">
        <v>466</v>
      </c>
      <c r="B471" s="38" t="s">
        <v>336</v>
      </c>
      <c r="C471" s="38" t="s">
        <v>1143</v>
      </c>
      <c r="D471" s="38" t="s">
        <v>48</v>
      </c>
      <c r="E471" s="38" t="s">
        <v>35</v>
      </c>
      <c r="F471" s="38" t="s">
        <v>435</v>
      </c>
      <c r="G471" s="39">
        <v>633</v>
      </c>
      <c r="H471" s="40">
        <v>2</v>
      </c>
      <c r="I471" s="37">
        <v>163260</v>
      </c>
      <c r="J471" s="41" t="s">
        <v>1132</v>
      </c>
      <c r="K471" s="42">
        <v>2020</v>
      </c>
    </row>
    <row r="472" spans="1:11" ht="15" customHeight="1" x14ac:dyDescent="0.3">
      <c r="A472" s="31">
        <v>467</v>
      </c>
      <c r="B472" s="32" t="s">
        <v>336</v>
      </c>
      <c r="C472" s="32" t="s">
        <v>1144</v>
      </c>
      <c r="D472" s="32" t="s">
        <v>1145</v>
      </c>
      <c r="E472" s="32" t="s">
        <v>1146</v>
      </c>
      <c r="F472" s="32" t="s">
        <v>1147</v>
      </c>
      <c r="G472" s="33">
        <v>465</v>
      </c>
      <c r="H472" s="34">
        <v>2</v>
      </c>
      <c r="I472" s="31">
        <v>153000</v>
      </c>
      <c r="J472" s="35" t="s">
        <v>1132</v>
      </c>
      <c r="K472" s="36">
        <v>2020</v>
      </c>
    </row>
    <row r="473" spans="1:11" ht="15" customHeight="1" x14ac:dyDescent="0.3">
      <c r="A473" s="37">
        <v>468</v>
      </c>
      <c r="B473" s="38" t="s">
        <v>336</v>
      </c>
      <c r="C473" s="38" t="s">
        <v>1148</v>
      </c>
      <c r="D473" s="38" t="s">
        <v>1149</v>
      </c>
      <c r="E473" s="38" t="s">
        <v>37</v>
      </c>
      <c r="F473" s="38" t="s">
        <v>335</v>
      </c>
      <c r="G473" s="39">
        <v>659.2</v>
      </c>
      <c r="H473" s="40">
        <v>4</v>
      </c>
      <c r="I473" s="37">
        <v>219260</v>
      </c>
      <c r="J473" s="41" t="s">
        <v>1132</v>
      </c>
      <c r="K473" s="42">
        <v>2020</v>
      </c>
    </row>
    <row r="474" spans="1:11" ht="15" customHeight="1" x14ac:dyDescent="0.3">
      <c r="A474" s="31">
        <v>469</v>
      </c>
      <c r="B474" s="32" t="s">
        <v>336</v>
      </c>
      <c r="C474" s="32" t="s">
        <v>1150</v>
      </c>
      <c r="D474" s="32" t="s">
        <v>1151</v>
      </c>
      <c r="E474" s="32" t="s">
        <v>1152</v>
      </c>
      <c r="F474" s="32" t="s">
        <v>435</v>
      </c>
      <c r="G474" s="33">
        <v>387</v>
      </c>
      <c r="H474" s="34">
        <v>6</v>
      </c>
      <c r="I474" s="31">
        <v>275000</v>
      </c>
      <c r="J474" s="35" t="s">
        <v>1132</v>
      </c>
      <c r="K474" s="36">
        <v>2020</v>
      </c>
    </row>
    <row r="475" spans="1:11" ht="15" customHeight="1" x14ac:dyDescent="0.3">
      <c r="A475" s="37">
        <v>470</v>
      </c>
      <c r="B475" s="38" t="s">
        <v>336</v>
      </c>
      <c r="C475" s="38" t="s">
        <v>1153</v>
      </c>
      <c r="D475" s="38" t="s">
        <v>671</v>
      </c>
      <c r="E475" s="38" t="s">
        <v>35</v>
      </c>
      <c r="F475" s="38" t="s">
        <v>1031</v>
      </c>
      <c r="G475" s="39">
        <v>96</v>
      </c>
      <c r="H475" s="40">
        <v>0.95</v>
      </c>
      <c r="I475" s="37">
        <v>137260</v>
      </c>
      <c r="J475" s="41" t="s">
        <v>1132</v>
      </c>
      <c r="K475" s="42">
        <v>2020</v>
      </c>
    </row>
    <row r="476" spans="1:11" ht="15" customHeight="1" x14ac:dyDescent="0.3">
      <c r="A476" s="31">
        <v>471</v>
      </c>
      <c r="B476" s="32" t="s">
        <v>336</v>
      </c>
      <c r="C476" s="32" t="s">
        <v>1154</v>
      </c>
      <c r="D476" s="32" t="s">
        <v>1155</v>
      </c>
      <c r="E476" s="32" t="s">
        <v>394</v>
      </c>
      <c r="F476" s="32" t="s">
        <v>312</v>
      </c>
      <c r="G476" s="33">
        <v>342.01</v>
      </c>
      <c r="H476" s="34">
        <v>0.79</v>
      </c>
      <c r="I476" s="31">
        <v>127000</v>
      </c>
      <c r="J476" s="35" t="s">
        <v>1132</v>
      </c>
      <c r="K476" s="36">
        <v>2020</v>
      </c>
    </row>
    <row r="477" spans="1:11" ht="15" customHeight="1" x14ac:dyDescent="0.3">
      <c r="A477" s="37">
        <v>472</v>
      </c>
      <c r="B477" s="38" t="s">
        <v>336</v>
      </c>
      <c r="C477" s="38" t="s">
        <v>1156</v>
      </c>
      <c r="D477" s="38" t="s">
        <v>1157</v>
      </c>
      <c r="E477" s="38" t="s">
        <v>1158</v>
      </c>
      <c r="F477" s="38" t="s">
        <v>517</v>
      </c>
      <c r="G477" s="39">
        <v>3418</v>
      </c>
      <c r="H477" s="40">
        <v>6</v>
      </c>
      <c r="I477" s="37">
        <v>265000</v>
      </c>
      <c r="J477" s="41" t="s">
        <v>1132</v>
      </c>
      <c r="K477" s="42">
        <v>2020</v>
      </c>
    </row>
    <row r="478" spans="1:11" ht="15" customHeight="1" x14ac:dyDescent="0.3">
      <c r="A478" s="31">
        <v>473</v>
      </c>
      <c r="B478" s="32" t="s">
        <v>336</v>
      </c>
      <c r="C478" s="32" t="s">
        <v>1159</v>
      </c>
      <c r="D478" s="32" t="s">
        <v>998</v>
      </c>
      <c r="E478" s="32" t="s">
        <v>999</v>
      </c>
      <c r="F478" s="32" t="s">
        <v>316</v>
      </c>
      <c r="G478" s="33">
        <v>490</v>
      </c>
      <c r="H478" s="34">
        <v>4</v>
      </c>
      <c r="I478" s="31">
        <v>219260</v>
      </c>
      <c r="J478" s="35" t="s">
        <v>1132</v>
      </c>
      <c r="K478" s="36">
        <v>2020</v>
      </c>
    </row>
    <row r="479" spans="1:11" ht="15" customHeight="1" x14ac:dyDescent="0.3">
      <c r="A479" s="37">
        <v>474</v>
      </c>
      <c r="B479" s="38" t="s">
        <v>336</v>
      </c>
      <c r="C479" s="38" t="s">
        <v>1160</v>
      </c>
      <c r="D479" s="38" t="s">
        <v>242</v>
      </c>
      <c r="E479" s="38" t="s">
        <v>243</v>
      </c>
      <c r="F479" s="38" t="s">
        <v>276</v>
      </c>
      <c r="G479" s="39">
        <v>364.3</v>
      </c>
      <c r="H479" s="40">
        <v>1</v>
      </c>
      <c r="I479" s="37">
        <v>127000</v>
      </c>
      <c r="J479" s="41" t="s">
        <v>1132</v>
      </c>
      <c r="K479" s="42">
        <v>2020</v>
      </c>
    </row>
    <row r="480" spans="1:11" ht="15" customHeight="1" x14ac:dyDescent="0.3">
      <c r="A480" s="31">
        <v>475</v>
      </c>
      <c r="B480" s="32" t="s">
        <v>336</v>
      </c>
      <c r="C480" s="32" t="s">
        <v>1161</v>
      </c>
      <c r="D480" s="32" t="s">
        <v>1162</v>
      </c>
      <c r="E480" s="32" t="s">
        <v>372</v>
      </c>
      <c r="F480" s="32" t="s">
        <v>435</v>
      </c>
      <c r="G480" s="33">
        <v>2369</v>
      </c>
      <c r="H480" s="34">
        <v>6</v>
      </c>
      <c r="I480" s="31">
        <v>265000</v>
      </c>
      <c r="J480" s="35" t="s">
        <v>1132</v>
      </c>
      <c r="K480" s="36">
        <v>2020</v>
      </c>
    </row>
    <row r="481" spans="1:11" ht="15" customHeight="1" x14ac:dyDescent="0.3">
      <c r="A481" s="37">
        <v>476</v>
      </c>
      <c r="B481" s="38" t="s">
        <v>336</v>
      </c>
      <c r="C481" s="38" t="s">
        <v>1163</v>
      </c>
      <c r="D481" s="38" t="s">
        <v>1164</v>
      </c>
      <c r="E481" s="38" t="s">
        <v>1165</v>
      </c>
      <c r="F481" s="38" t="s">
        <v>402</v>
      </c>
      <c r="G481" s="39">
        <v>3919</v>
      </c>
      <c r="H481" s="40">
        <v>10</v>
      </c>
      <c r="I481" s="37">
        <v>377260</v>
      </c>
      <c r="J481" s="41" t="s">
        <v>1132</v>
      </c>
      <c r="K481" s="42">
        <v>2020</v>
      </c>
    </row>
    <row r="482" spans="1:11" ht="15" customHeight="1" x14ac:dyDescent="0.3">
      <c r="A482" s="31">
        <v>477</v>
      </c>
      <c r="B482" s="32" t="s">
        <v>336</v>
      </c>
      <c r="C482" s="32" t="s">
        <v>1166</v>
      </c>
      <c r="D482" s="32" t="s">
        <v>1167</v>
      </c>
      <c r="E482" s="32" t="s">
        <v>1168</v>
      </c>
      <c r="F482" s="32" t="s">
        <v>312</v>
      </c>
      <c r="G482" s="33">
        <v>99</v>
      </c>
      <c r="H482" s="34">
        <v>0.64</v>
      </c>
      <c r="I482" s="31">
        <v>137260</v>
      </c>
      <c r="J482" s="35" t="s">
        <v>1132</v>
      </c>
      <c r="K482" s="36">
        <v>2020</v>
      </c>
    </row>
    <row r="483" spans="1:11" ht="15" customHeight="1" x14ac:dyDescent="0.3">
      <c r="A483" s="37">
        <v>478</v>
      </c>
      <c r="B483" s="38" t="s">
        <v>336</v>
      </c>
      <c r="C483" s="38" t="s">
        <v>1169</v>
      </c>
      <c r="D483" s="38" t="s">
        <v>874</v>
      </c>
      <c r="E483" s="38" t="s">
        <v>875</v>
      </c>
      <c r="F483" s="38" t="s">
        <v>490</v>
      </c>
      <c r="G483" s="39">
        <v>1410.5</v>
      </c>
      <c r="H483" s="40">
        <v>9</v>
      </c>
      <c r="I483" s="37">
        <v>340000</v>
      </c>
      <c r="J483" s="41" t="s">
        <v>1132</v>
      </c>
      <c r="K483" s="42">
        <v>2020</v>
      </c>
    </row>
    <row r="484" spans="1:11" ht="15" customHeight="1" x14ac:dyDescent="0.3">
      <c r="A484" s="31">
        <v>479</v>
      </c>
      <c r="B484" s="32" t="s">
        <v>336</v>
      </c>
      <c r="C484" s="32" t="s">
        <v>1170</v>
      </c>
      <c r="D484" s="32" t="s">
        <v>1171</v>
      </c>
      <c r="E484" s="32" t="s">
        <v>49</v>
      </c>
      <c r="F484" s="32" t="s">
        <v>375</v>
      </c>
      <c r="G484" s="33">
        <v>5325</v>
      </c>
      <c r="H484" s="34">
        <v>6</v>
      </c>
      <c r="I484" s="31">
        <v>265000</v>
      </c>
      <c r="J484" s="35" t="s">
        <v>1132</v>
      </c>
      <c r="K484" s="36">
        <v>2020</v>
      </c>
    </row>
    <row r="485" spans="1:11" ht="15" customHeight="1" x14ac:dyDescent="0.3">
      <c r="A485" s="37">
        <v>480</v>
      </c>
      <c r="B485" s="38" t="s">
        <v>336</v>
      </c>
      <c r="C485" s="38" t="s">
        <v>1172</v>
      </c>
      <c r="D485" s="38" t="s">
        <v>1173</v>
      </c>
      <c r="E485" s="38" t="s">
        <v>1174</v>
      </c>
      <c r="F485" s="38" t="s">
        <v>312</v>
      </c>
      <c r="G485" s="39">
        <v>1028</v>
      </c>
      <c r="H485" s="40">
        <v>0.62</v>
      </c>
      <c r="I485" s="37">
        <v>127000</v>
      </c>
      <c r="J485" s="41" t="s">
        <v>1132</v>
      </c>
      <c r="K485" s="42">
        <v>2020</v>
      </c>
    </row>
    <row r="486" spans="1:11" ht="15" customHeight="1" x14ac:dyDescent="0.3">
      <c r="A486" s="31">
        <v>481</v>
      </c>
      <c r="B486" s="32" t="s">
        <v>272</v>
      </c>
      <c r="C486" s="32" t="s">
        <v>1175</v>
      </c>
      <c r="D486" s="32" t="s">
        <v>1176</v>
      </c>
      <c r="E486" s="32" t="s">
        <v>1177</v>
      </c>
      <c r="F486" s="32" t="s">
        <v>276</v>
      </c>
      <c r="G486" s="33">
        <v>2254.3200000000002</v>
      </c>
      <c r="H486" s="34">
        <v>5</v>
      </c>
      <c r="I486" s="31">
        <v>247260</v>
      </c>
      <c r="J486" s="35" t="s">
        <v>1132</v>
      </c>
      <c r="K486" s="36">
        <v>2020</v>
      </c>
    </row>
    <row r="487" spans="1:11" ht="15" customHeight="1" x14ac:dyDescent="0.3">
      <c r="A487" s="37">
        <v>482</v>
      </c>
      <c r="B487" s="38" t="s">
        <v>272</v>
      </c>
      <c r="C487" s="38" t="s">
        <v>1178</v>
      </c>
      <c r="D487" s="38" t="s">
        <v>555</v>
      </c>
      <c r="E487" s="38" t="s">
        <v>556</v>
      </c>
      <c r="F487" s="38" t="s">
        <v>287</v>
      </c>
      <c r="G487" s="39">
        <v>1222</v>
      </c>
      <c r="H487" s="40">
        <v>3.1</v>
      </c>
      <c r="I487" s="37">
        <v>191260</v>
      </c>
      <c r="J487" s="41" t="s">
        <v>1132</v>
      </c>
      <c r="K487" s="42">
        <v>2020</v>
      </c>
    </row>
    <row r="488" spans="1:11" ht="15" customHeight="1" x14ac:dyDescent="0.3">
      <c r="A488" s="31">
        <v>483</v>
      </c>
      <c r="B488" s="32" t="s">
        <v>272</v>
      </c>
      <c r="C488" s="32" t="s">
        <v>1179</v>
      </c>
      <c r="D488" s="32" t="s">
        <v>1180</v>
      </c>
      <c r="E488" s="32" t="s">
        <v>1181</v>
      </c>
      <c r="F488" s="32" t="s">
        <v>674</v>
      </c>
      <c r="G488" s="33">
        <v>261</v>
      </c>
      <c r="H488" s="34">
        <v>7.04</v>
      </c>
      <c r="I488" s="31">
        <v>303260</v>
      </c>
      <c r="J488" s="35" t="s">
        <v>1132</v>
      </c>
      <c r="K488" s="36">
        <v>2020</v>
      </c>
    </row>
    <row r="489" spans="1:11" ht="15" customHeight="1" x14ac:dyDescent="0.3">
      <c r="A489" s="37">
        <v>484</v>
      </c>
      <c r="B489" s="38" t="s">
        <v>272</v>
      </c>
      <c r="C489" s="38" t="s">
        <v>1182</v>
      </c>
      <c r="D489" s="38" t="s">
        <v>855</v>
      </c>
      <c r="E489" s="38" t="s">
        <v>35</v>
      </c>
      <c r="F489" s="38" t="s">
        <v>1183</v>
      </c>
      <c r="G489" s="39">
        <v>5480</v>
      </c>
      <c r="H489" s="40">
        <v>2.35</v>
      </c>
      <c r="I489" s="37">
        <v>247260</v>
      </c>
      <c r="J489" s="41" t="s">
        <v>1132</v>
      </c>
      <c r="K489" s="42">
        <v>2020</v>
      </c>
    </row>
    <row r="490" spans="1:11" ht="15" customHeight="1" x14ac:dyDescent="0.3">
      <c r="A490" s="31">
        <v>485</v>
      </c>
      <c r="B490" s="32" t="s">
        <v>272</v>
      </c>
      <c r="C490" s="32" t="s">
        <v>1184</v>
      </c>
      <c r="D490" s="32" t="s">
        <v>811</v>
      </c>
      <c r="E490" s="32" t="s">
        <v>1185</v>
      </c>
      <c r="F490" s="32" t="s">
        <v>306</v>
      </c>
      <c r="G490" s="33">
        <v>1360</v>
      </c>
      <c r="H490" s="34">
        <v>1.05</v>
      </c>
      <c r="I490" s="31">
        <v>127000</v>
      </c>
      <c r="J490" s="35" t="s">
        <v>1132</v>
      </c>
      <c r="K490" s="36">
        <v>2020</v>
      </c>
    </row>
    <row r="491" spans="1:11" ht="15" customHeight="1" x14ac:dyDescent="0.3">
      <c r="A491" s="37">
        <v>486</v>
      </c>
      <c r="B491" s="38" t="s">
        <v>272</v>
      </c>
      <c r="C491" s="38" t="s">
        <v>1186</v>
      </c>
      <c r="D491" s="38" t="s">
        <v>811</v>
      </c>
      <c r="E491" s="38" t="s">
        <v>1187</v>
      </c>
      <c r="F491" s="38" t="s">
        <v>306</v>
      </c>
      <c r="G491" s="39">
        <v>2565</v>
      </c>
      <c r="H491" s="40">
        <v>3.23</v>
      </c>
      <c r="I491" s="37">
        <v>181000</v>
      </c>
      <c r="J491" s="41" t="s">
        <v>1132</v>
      </c>
      <c r="K491" s="42">
        <v>2020</v>
      </c>
    </row>
    <row r="492" spans="1:11" ht="15" customHeight="1" x14ac:dyDescent="0.3">
      <c r="A492" s="31">
        <v>487</v>
      </c>
      <c r="B492" s="32" t="s">
        <v>272</v>
      </c>
      <c r="C492" s="32" t="s">
        <v>1188</v>
      </c>
      <c r="D492" s="32" t="s">
        <v>1189</v>
      </c>
      <c r="E492" s="32" t="s">
        <v>1190</v>
      </c>
      <c r="F492" s="32" t="s">
        <v>1191</v>
      </c>
      <c r="G492" s="33">
        <v>527</v>
      </c>
      <c r="H492" s="34">
        <v>3.41</v>
      </c>
      <c r="I492" s="31">
        <v>191260</v>
      </c>
      <c r="J492" s="35" t="s">
        <v>1132</v>
      </c>
      <c r="K492" s="36">
        <v>2020</v>
      </c>
    </row>
    <row r="493" spans="1:11" ht="15" customHeight="1" x14ac:dyDescent="0.3">
      <c r="A493" s="37">
        <v>488</v>
      </c>
      <c r="B493" s="38" t="s">
        <v>272</v>
      </c>
      <c r="C493" s="38" t="s">
        <v>1192</v>
      </c>
      <c r="D493" s="38" t="s">
        <v>1193</v>
      </c>
      <c r="E493" s="38" t="s">
        <v>1194</v>
      </c>
      <c r="F493" s="38" t="s">
        <v>386</v>
      </c>
      <c r="G493" s="39">
        <v>643</v>
      </c>
      <c r="H493" s="40">
        <v>6</v>
      </c>
      <c r="I493" s="37">
        <v>275260</v>
      </c>
      <c r="J493" s="41" t="s">
        <v>1132</v>
      </c>
      <c r="K493" s="42">
        <v>2020</v>
      </c>
    </row>
    <row r="494" spans="1:11" ht="15" customHeight="1" x14ac:dyDescent="0.3">
      <c r="A494" s="31">
        <v>489</v>
      </c>
      <c r="B494" s="32" t="s">
        <v>272</v>
      </c>
      <c r="C494" s="32" t="s">
        <v>1195</v>
      </c>
      <c r="D494" s="32" t="s">
        <v>1196</v>
      </c>
      <c r="E494" s="32" t="s">
        <v>471</v>
      </c>
      <c r="F494" s="32" t="s">
        <v>276</v>
      </c>
      <c r="G494" s="33">
        <v>716</v>
      </c>
      <c r="H494" s="34">
        <v>1.4</v>
      </c>
      <c r="I494" s="31">
        <v>137260</v>
      </c>
      <c r="J494" s="35" t="s">
        <v>1132</v>
      </c>
      <c r="K494" s="36">
        <v>2020</v>
      </c>
    </row>
    <row r="495" spans="1:11" ht="15" customHeight="1" x14ac:dyDescent="0.3">
      <c r="A495" s="37">
        <v>490</v>
      </c>
      <c r="B495" s="38" t="s">
        <v>272</v>
      </c>
      <c r="C495" s="38" t="s">
        <v>1197</v>
      </c>
      <c r="D495" s="38" t="s">
        <v>1198</v>
      </c>
      <c r="E495" s="38" t="s">
        <v>889</v>
      </c>
      <c r="F495" s="38" t="s">
        <v>316</v>
      </c>
      <c r="G495" s="39">
        <v>1097</v>
      </c>
      <c r="H495" s="40">
        <v>3</v>
      </c>
      <c r="I495" s="37">
        <v>191260</v>
      </c>
      <c r="J495" s="41" t="s">
        <v>1132</v>
      </c>
      <c r="K495" s="42">
        <v>2020</v>
      </c>
    </row>
    <row r="496" spans="1:11" ht="15" customHeight="1" x14ac:dyDescent="0.3">
      <c r="A496" s="31">
        <v>491</v>
      </c>
      <c r="B496" s="32" t="s">
        <v>272</v>
      </c>
      <c r="C496" s="32" t="s">
        <v>1199</v>
      </c>
      <c r="D496" s="32" t="s">
        <v>1200</v>
      </c>
      <c r="E496" s="32" t="s">
        <v>1201</v>
      </c>
      <c r="F496" s="32" t="s">
        <v>306</v>
      </c>
      <c r="G496" s="33">
        <v>990</v>
      </c>
      <c r="H496" s="34">
        <v>6</v>
      </c>
      <c r="I496" s="31">
        <v>275260</v>
      </c>
      <c r="J496" s="35" t="s">
        <v>1132</v>
      </c>
      <c r="K496" s="36">
        <v>2020</v>
      </c>
    </row>
    <row r="497" spans="1:11" ht="15" customHeight="1" x14ac:dyDescent="0.3">
      <c r="A497" s="37">
        <v>492</v>
      </c>
      <c r="B497" s="38" t="s">
        <v>272</v>
      </c>
      <c r="C497" s="38" t="s">
        <v>1202</v>
      </c>
      <c r="D497" s="38" t="s">
        <v>1203</v>
      </c>
      <c r="E497" s="38" t="s">
        <v>1204</v>
      </c>
      <c r="F497" s="38" t="s">
        <v>306</v>
      </c>
      <c r="G497" s="39">
        <v>566</v>
      </c>
      <c r="H497" s="40">
        <v>4</v>
      </c>
      <c r="I497" s="37">
        <v>209000</v>
      </c>
      <c r="J497" s="41" t="s">
        <v>1132</v>
      </c>
      <c r="K497" s="42">
        <v>2020</v>
      </c>
    </row>
    <row r="498" spans="1:11" ht="15" customHeight="1" x14ac:dyDescent="0.3">
      <c r="A498" s="31">
        <v>493</v>
      </c>
      <c r="B498" s="32" t="s">
        <v>1039</v>
      </c>
      <c r="C498" s="32" t="s">
        <v>1205</v>
      </c>
      <c r="D498" s="32" t="s">
        <v>723</v>
      </c>
      <c r="E498" s="32" t="s">
        <v>35</v>
      </c>
      <c r="F498" s="32" t="s">
        <v>435</v>
      </c>
      <c r="G498" s="33">
        <v>2519</v>
      </c>
      <c r="H498" s="34">
        <v>1.125</v>
      </c>
      <c r="I498" s="31">
        <v>191260</v>
      </c>
      <c r="J498" s="35" t="s">
        <v>1132</v>
      </c>
      <c r="K498" s="36">
        <v>2020</v>
      </c>
    </row>
    <row r="499" spans="1:11" ht="15" customHeight="1" x14ac:dyDescent="0.3">
      <c r="A499" s="37">
        <v>494</v>
      </c>
      <c r="B499" s="38" t="s">
        <v>1039</v>
      </c>
      <c r="C499" s="38" t="s">
        <v>1206</v>
      </c>
      <c r="D499" s="38" t="s">
        <v>1207</v>
      </c>
      <c r="E499" s="38" t="s">
        <v>35</v>
      </c>
      <c r="F499" s="38" t="s">
        <v>316</v>
      </c>
      <c r="G499" s="39">
        <v>1259</v>
      </c>
      <c r="H499" s="40">
        <v>2</v>
      </c>
      <c r="I499" s="37">
        <v>163260</v>
      </c>
      <c r="J499" s="41" t="s">
        <v>1132</v>
      </c>
      <c r="K499" s="42">
        <v>2020</v>
      </c>
    </row>
    <row r="500" spans="1:11" ht="15" customHeight="1" x14ac:dyDescent="0.3">
      <c r="A500" s="31">
        <v>495</v>
      </c>
      <c r="B500" s="32" t="s">
        <v>1039</v>
      </c>
      <c r="C500" s="32" t="s">
        <v>1208</v>
      </c>
      <c r="D500" s="32" t="s">
        <v>60</v>
      </c>
      <c r="E500" s="32" t="s">
        <v>37</v>
      </c>
      <c r="F500" s="32" t="s">
        <v>276</v>
      </c>
      <c r="G500" s="33">
        <v>525</v>
      </c>
      <c r="H500" s="34">
        <v>1.4019999999999999</v>
      </c>
      <c r="I500" s="31">
        <v>137260</v>
      </c>
      <c r="J500" s="35" t="s">
        <v>1132</v>
      </c>
      <c r="K500" s="36">
        <v>2020</v>
      </c>
    </row>
    <row r="501" spans="1:11" ht="15" customHeight="1" x14ac:dyDescent="0.3">
      <c r="A501" s="37">
        <v>496</v>
      </c>
      <c r="B501" s="38" t="s">
        <v>1039</v>
      </c>
      <c r="C501" s="38" t="s">
        <v>1209</v>
      </c>
      <c r="D501" s="38" t="s">
        <v>1210</v>
      </c>
      <c r="E501" s="38" t="s">
        <v>1211</v>
      </c>
      <c r="F501" s="38" t="s">
        <v>1212</v>
      </c>
      <c r="G501" s="39">
        <v>2909</v>
      </c>
      <c r="H501" s="40">
        <v>4</v>
      </c>
      <c r="I501" s="37">
        <v>209000</v>
      </c>
      <c r="J501" s="41" t="s">
        <v>1132</v>
      </c>
      <c r="K501" s="42">
        <v>2020</v>
      </c>
    </row>
    <row r="502" spans="1:11" ht="15" customHeight="1" x14ac:dyDescent="0.3">
      <c r="A502" s="31">
        <v>497</v>
      </c>
      <c r="B502" s="32" t="s">
        <v>1039</v>
      </c>
      <c r="C502" s="32" t="s">
        <v>1213</v>
      </c>
      <c r="D502" s="32" t="s">
        <v>671</v>
      </c>
      <c r="E502" s="32" t="s">
        <v>1214</v>
      </c>
      <c r="F502" s="32" t="s">
        <v>276</v>
      </c>
      <c r="G502" s="33">
        <v>750</v>
      </c>
      <c r="H502" s="34">
        <v>2</v>
      </c>
      <c r="I502" s="31">
        <v>163260</v>
      </c>
      <c r="J502" s="35" t="s">
        <v>1132</v>
      </c>
      <c r="K502" s="36">
        <v>2020</v>
      </c>
    </row>
    <row r="503" spans="1:11" ht="15" customHeight="1" x14ac:dyDescent="0.3">
      <c r="A503" s="37">
        <v>498</v>
      </c>
      <c r="B503" s="38" t="s">
        <v>1039</v>
      </c>
      <c r="C503" s="38" t="s">
        <v>1215</v>
      </c>
      <c r="D503" s="38" t="s">
        <v>1216</v>
      </c>
      <c r="E503" s="38" t="s">
        <v>1217</v>
      </c>
      <c r="F503" s="38" t="s">
        <v>287</v>
      </c>
      <c r="G503" s="39">
        <v>1361</v>
      </c>
      <c r="H503" s="40">
        <v>4</v>
      </c>
      <c r="I503" s="37">
        <v>219260</v>
      </c>
      <c r="J503" s="41" t="s">
        <v>1132</v>
      </c>
      <c r="K503" s="42">
        <v>2020</v>
      </c>
    </row>
    <row r="504" spans="1:11" ht="15" customHeight="1" x14ac:dyDescent="0.3">
      <c r="A504" s="31">
        <v>499</v>
      </c>
      <c r="B504" s="32" t="s">
        <v>1039</v>
      </c>
      <c r="C504" s="32" t="s">
        <v>1218</v>
      </c>
      <c r="D504" s="32" t="s">
        <v>811</v>
      </c>
      <c r="E504" s="32" t="s">
        <v>1219</v>
      </c>
      <c r="F504" s="32" t="s">
        <v>306</v>
      </c>
      <c r="G504" s="33">
        <v>134</v>
      </c>
      <c r="H504" s="34">
        <v>0.56399999999999995</v>
      </c>
      <c r="I504" s="31">
        <v>127000</v>
      </c>
      <c r="J504" s="35" t="s">
        <v>1132</v>
      </c>
      <c r="K504" s="36">
        <v>2020</v>
      </c>
    </row>
    <row r="505" spans="1:11" ht="15" customHeight="1" x14ac:dyDescent="0.3">
      <c r="A505" s="37">
        <v>500</v>
      </c>
      <c r="B505" s="38" t="s">
        <v>1039</v>
      </c>
      <c r="C505" s="38" t="s">
        <v>1220</v>
      </c>
      <c r="D505" s="38" t="s">
        <v>1221</v>
      </c>
      <c r="E505" s="38" t="s">
        <v>1222</v>
      </c>
      <c r="F505" s="38" t="s">
        <v>1223</v>
      </c>
      <c r="G505" s="39">
        <v>28.5</v>
      </c>
      <c r="H505" s="40">
        <v>0.11799999999999999</v>
      </c>
      <c r="I505" s="37">
        <v>137260</v>
      </c>
      <c r="J505" s="41" t="s">
        <v>1132</v>
      </c>
      <c r="K505" s="42">
        <v>2020</v>
      </c>
    </row>
    <row r="506" spans="1:11" ht="15" customHeight="1" x14ac:dyDescent="0.3">
      <c r="A506" s="31">
        <v>501</v>
      </c>
      <c r="B506" s="32" t="s">
        <v>1039</v>
      </c>
      <c r="C506" s="32" t="s">
        <v>1224</v>
      </c>
      <c r="D506" s="32" t="s">
        <v>418</v>
      </c>
      <c r="E506" s="32" t="s">
        <v>1225</v>
      </c>
      <c r="F506" s="32" t="s">
        <v>402</v>
      </c>
      <c r="G506" s="33">
        <v>6660</v>
      </c>
      <c r="H506" s="34">
        <v>5.069</v>
      </c>
      <c r="I506" s="31">
        <v>303260</v>
      </c>
      <c r="J506" s="35" t="s">
        <v>1132</v>
      </c>
      <c r="K506" s="36">
        <v>2020</v>
      </c>
    </row>
    <row r="507" spans="1:11" ht="15" customHeight="1" x14ac:dyDescent="0.3">
      <c r="A507" s="37">
        <v>502</v>
      </c>
      <c r="B507" s="38" t="s">
        <v>1039</v>
      </c>
      <c r="C507" s="38" t="s">
        <v>1226</v>
      </c>
      <c r="D507" s="38" t="s">
        <v>1227</v>
      </c>
      <c r="E507" s="38" t="s">
        <v>55</v>
      </c>
      <c r="F507" s="38" t="s">
        <v>435</v>
      </c>
      <c r="G507" s="39">
        <v>2304</v>
      </c>
      <c r="H507" s="40">
        <v>9</v>
      </c>
      <c r="I507" s="37">
        <v>340000</v>
      </c>
      <c r="J507" s="41" t="s">
        <v>1132</v>
      </c>
      <c r="K507" s="42">
        <v>2020</v>
      </c>
    </row>
    <row r="508" spans="1:11" ht="15" customHeight="1" x14ac:dyDescent="0.3">
      <c r="A508" s="31">
        <v>503</v>
      </c>
      <c r="B508" s="32" t="s">
        <v>1039</v>
      </c>
      <c r="C508" s="32" t="s">
        <v>1228</v>
      </c>
      <c r="D508" s="32" t="s">
        <v>800</v>
      </c>
      <c r="E508" s="32" t="s">
        <v>43</v>
      </c>
      <c r="F508" s="32" t="s">
        <v>1229</v>
      </c>
      <c r="G508" s="33">
        <v>555</v>
      </c>
      <c r="H508" s="34">
        <v>4</v>
      </c>
      <c r="I508" s="31">
        <v>219260</v>
      </c>
      <c r="J508" s="35" t="s">
        <v>1132</v>
      </c>
      <c r="K508" s="36">
        <v>2020</v>
      </c>
    </row>
    <row r="509" spans="1:11" ht="15" customHeight="1" x14ac:dyDescent="0.3">
      <c r="A509" s="37">
        <v>504</v>
      </c>
      <c r="B509" s="38" t="s">
        <v>1059</v>
      </c>
      <c r="C509" s="38" t="s">
        <v>1230</v>
      </c>
      <c r="D509" s="38" t="s">
        <v>44</v>
      </c>
      <c r="E509" s="38" t="s">
        <v>35</v>
      </c>
      <c r="F509" s="38" t="s">
        <v>1231</v>
      </c>
      <c r="G509" s="39">
        <v>8000</v>
      </c>
      <c r="H509" s="40">
        <v>10</v>
      </c>
      <c r="I509" s="37">
        <v>377260</v>
      </c>
      <c r="J509" s="41" t="s">
        <v>1132</v>
      </c>
      <c r="K509" s="42">
        <v>2020</v>
      </c>
    </row>
    <row r="510" spans="1:11" ht="15" customHeight="1" x14ac:dyDescent="0.3">
      <c r="A510" s="31">
        <v>505</v>
      </c>
      <c r="B510" s="32" t="s">
        <v>1059</v>
      </c>
      <c r="C510" s="32" t="s">
        <v>1232</v>
      </c>
      <c r="D510" s="32" t="s">
        <v>325</v>
      </c>
      <c r="E510" s="32" t="s">
        <v>59</v>
      </c>
      <c r="F510" s="32" t="s">
        <v>316</v>
      </c>
      <c r="G510" s="33">
        <v>112450</v>
      </c>
      <c r="H510" s="34">
        <v>2.016</v>
      </c>
      <c r="I510" s="31">
        <v>153000</v>
      </c>
      <c r="J510" s="35" t="s">
        <v>1132</v>
      </c>
      <c r="K510" s="36">
        <v>2020</v>
      </c>
    </row>
    <row r="511" spans="1:11" ht="15" customHeight="1" x14ac:dyDescent="0.3">
      <c r="A511" s="37">
        <v>506</v>
      </c>
      <c r="B511" s="38" t="s">
        <v>1059</v>
      </c>
      <c r="C511" s="38" t="s">
        <v>1233</v>
      </c>
      <c r="D511" s="38" t="s">
        <v>1106</v>
      </c>
      <c r="E511" s="38" t="s">
        <v>76</v>
      </c>
      <c r="F511" s="38" t="s">
        <v>316</v>
      </c>
      <c r="G511" s="39">
        <v>1026.5</v>
      </c>
      <c r="H511" s="40">
        <v>2.0499999999999998</v>
      </c>
      <c r="I511" s="37">
        <v>163260</v>
      </c>
      <c r="J511" s="41" t="s">
        <v>1132</v>
      </c>
      <c r="K511" s="42">
        <v>2020</v>
      </c>
    </row>
    <row r="512" spans="1:11" ht="15" customHeight="1" x14ac:dyDescent="0.3">
      <c r="A512" s="31">
        <v>507</v>
      </c>
      <c r="B512" s="32" t="s">
        <v>1059</v>
      </c>
      <c r="C512" s="32" t="s">
        <v>1234</v>
      </c>
      <c r="D512" s="32" t="s">
        <v>811</v>
      </c>
      <c r="E512" s="32" t="s">
        <v>1219</v>
      </c>
      <c r="F512" s="32" t="s">
        <v>306</v>
      </c>
      <c r="G512" s="33">
        <v>270</v>
      </c>
      <c r="H512" s="34">
        <v>5</v>
      </c>
      <c r="I512" s="31">
        <v>247260</v>
      </c>
      <c r="J512" s="35" t="s">
        <v>1132</v>
      </c>
      <c r="K512" s="36">
        <v>2020</v>
      </c>
    </row>
    <row r="513" spans="1:11" ht="15" customHeight="1" x14ac:dyDescent="0.3">
      <c r="A513" s="37">
        <v>508</v>
      </c>
      <c r="B513" s="38" t="s">
        <v>1059</v>
      </c>
      <c r="C513" s="38" t="s">
        <v>1235</v>
      </c>
      <c r="D513" s="38" t="s">
        <v>1236</v>
      </c>
      <c r="E513" s="38" t="s">
        <v>278</v>
      </c>
      <c r="F513" s="38" t="s">
        <v>1237</v>
      </c>
      <c r="G513" s="39">
        <v>665</v>
      </c>
      <c r="H513" s="40">
        <v>6</v>
      </c>
      <c r="I513" s="37">
        <v>275260</v>
      </c>
      <c r="J513" s="41" t="s">
        <v>1132</v>
      </c>
      <c r="K513" s="42">
        <v>2020</v>
      </c>
    </row>
    <row r="514" spans="1:11" ht="15" customHeight="1" x14ac:dyDescent="0.3">
      <c r="A514" s="31">
        <v>509</v>
      </c>
      <c r="B514" s="32" t="s">
        <v>1059</v>
      </c>
      <c r="C514" s="32" t="s">
        <v>1238</v>
      </c>
      <c r="D514" s="32" t="s">
        <v>1239</v>
      </c>
      <c r="E514" s="32" t="s">
        <v>1240</v>
      </c>
      <c r="F514" s="32" t="s">
        <v>435</v>
      </c>
      <c r="G514" s="33">
        <v>1600</v>
      </c>
      <c r="H514" s="34">
        <v>3</v>
      </c>
      <c r="I514" s="31">
        <v>191260</v>
      </c>
      <c r="J514" s="35" t="s">
        <v>1132</v>
      </c>
      <c r="K514" s="36">
        <v>2020</v>
      </c>
    </row>
    <row r="515" spans="1:11" ht="15" customHeight="1" x14ac:dyDescent="0.3">
      <c r="A515" s="37">
        <v>510</v>
      </c>
      <c r="B515" s="38" t="s">
        <v>1059</v>
      </c>
      <c r="C515" s="38" t="s">
        <v>1241</v>
      </c>
      <c r="D515" s="38" t="s">
        <v>1242</v>
      </c>
      <c r="E515" s="38" t="s">
        <v>35</v>
      </c>
      <c r="F515" s="38" t="s">
        <v>486</v>
      </c>
      <c r="G515" s="39">
        <v>5930.5</v>
      </c>
      <c r="H515" s="40">
        <v>3.0550000000000002</v>
      </c>
      <c r="I515" s="37">
        <v>275260</v>
      </c>
      <c r="J515" s="41" t="s">
        <v>1132</v>
      </c>
      <c r="K515" s="42">
        <v>2020</v>
      </c>
    </row>
    <row r="516" spans="1:11" ht="15" customHeight="1" x14ac:dyDescent="0.3">
      <c r="A516" s="31">
        <v>511</v>
      </c>
      <c r="B516" s="32" t="s">
        <v>1059</v>
      </c>
      <c r="C516" s="32" t="s">
        <v>1243</v>
      </c>
      <c r="D516" s="32" t="s">
        <v>393</v>
      </c>
      <c r="E516" s="32" t="s">
        <v>1244</v>
      </c>
      <c r="F516" s="32" t="s">
        <v>312</v>
      </c>
      <c r="G516" s="33">
        <v>551</v>
      </c>
      <c r="H516" s="34">
        <v>2</v>
      </c>
      <c r="I516" s="31">
        <v>153000</v>
      </c>
      <c r="J516" s="35" t="s">
        <v>1132</v>
      </c>
      <c r="K516" s="36">
        <v>2020</v>
      </c>
    </row>
    <row r="517" spans="1:11" ht="15" customHeight="1" x14ac:dyDescent="0.3">
      <c r="A517" s="37">
        <v>512</v>
      </c>
      <c r="B517" s="38" t="s">
        <v>1059</v>
      </c>
      <c r="C517" s="38" t="s">
        <v>1245</v>
      </c>
      <c r="D517" s="38" t="s">
        <v>1246</v>
      </c>
      <c r="E517" s="38" t="s">
        <v>889</v>
      </c>
      <c r="F517" s="38" t="s">
        <v>1247</v>
      </c>
      <c r="G517" s="39">
        <v>515</v>
      </c>
      <c r="H517" s="40">
        <v>2</v>
      </c>
      <c r="I517" s="37">
        <v>163260</v>
      </c>
      <c r="J517" s="41" t="s">
        <v>1132</v>
      </c>
      <c r="K517" s="42">
        <v>2020</v>
      </c>
    </row>
    <row r="518" spans="1:11" ht="15" customHeight="1" x14ac:dyDescent="0.3">
      <c r="A518" s="31">
        <v>513</v>
      </c>
      <c r="B518" s="32" t="s">
        <v>1059</v>
      </c>
      <c r="C518" s="32" t="s">
        <v>1248</v>
      </c>
      <c r="D518" s="32" t="s">
        <v>1249</v>
      </c>
      <c r="E518" s="32" t="s">
        <v>49</v>
      </c>
      <c r="F518" s="32" t="s">
        <v>386</v>
      </c>
      <c r="G518" s="33">
        <v>640</v>
      </c>
      <c r="H518" s="34">
        <v>2</v>
      </c>
      <c r="I518" s="31">
        <v>153000</v>
      </c>
      <c r="J518" s="35" t="s">
        <v>1132</v>
      </c>
      <c r="K518" s="36">
        <v>2020</v>
      </c>
    </row>
    <row r="519" spans="1:11" ht="15" customHeight="1" x14ac:dyDescent="0.3">
      <c r="A519" s="37">
        <v>514</v>
      </c>
      <c r="B519" s="38" t="s">
        <v>1059</v>
      </c>
      <c r="C519" s="38" t="s">
        <v>1250</v>
      </c>
      <c r="D519" s="38" t="s">
        <v>1251</v>
      </c>
      <c r="E519" s="38" t="s">
        <v>1252</v>
      </c>
      <c r="F519" s="38" t="s">
        <v>406</v>
      </c>
      <c r="G519" s="39">
        <v>1200</v>
      </c>
      <c r="H519" s="40">
        <v>1.41</v>
      </c>
      <c r="I519" s="37">
        <v>127000</v>
      </c>
      <c r="J519" s="41" t="s">
        <v>1132</v>
      </c>
      <c r="K519" s="42">
        <v>2020</v>
      </c>
    </row>
    <row r="520" spans="1:11" ht="15" customHeight="1" x14ac:dyDescent="0.3">
      <c r="A520" s="31">
        <v>515</v>
      </c>
      <c r="B520" s="32" t="s">
        <v>1059</v>
      </c>
      <c r="C520" s="32" t="s">
        <v>1253</v>
      </c>
      <c r="D520" s="32" t="s">
        <v>1254</v>
      </c>
      <c r="E520" s="32" t="s">
        <v>37</v>
      </c>
      <c r="F520" s="32" t="s">
        <v>312</v>
      </c>
      <c r="G520" s="33">
        <v>1550</v>
      </c>
      <c r="H520" s="34">
        <v>3</v>
      </c>
      <c r="I520" s="31">
        <v>191260</v>
      </c>
      <c r="J520" s="35" t="s">
        <v>1132</v>
      </c>
      <c r="K520" s="36">
        <v>2020</v>
      </c>
    </row>
    <row r="521" spans="1:11" ht="15" customHeight="1" x14ac:dyDescent="0.3">
      <c r="A521" s="37">
        <v>516</v>
      </c>
      <c r="B521" s="38" t="s">
        <v>1059</v>
      </c>
      <c r="C521" s="38" t="s">
        <v>1255</v>
      </c>
      <c r="D521" s="38" t="s">
        <v>1094</v>
      </c>
      <c r="E521" s="38" t="s">
        <v>857</v>
      </c>
      <c r="F521" s="38" t="s">
        <v>517</v>
      </c>
      <c r="G521" s="39">
        <v>619</v>
      </c>
      <c r="H521" s="40">
        <v>2</v>
      </c>
      <c r="I521" s="37">
        <v>163260</v>
      </c>
      <c r="J521" s="41" t="s">
        <v>1132</v>
      </c>
      <c r="K521" s="42">
        <v>2020</v>
      </c>
    </row>
    <row r="522" spans="1:11" ht="15" customHeight="1" x14ac:dyDescent="0.3">
      <c r="A522" s="31">
        <v>517</v>
      </c>
      <c r="B522" s="32" t="s">
        <v>272</v>
      </c>
      <c r="C522" s="32" t="s">
        <v>1256</v>
      </c>
      <c r="D522" s="32" t="s">
        <v>1257</v>
      </c>
      <c r="E522" s="32" t="s">
        <v>1258</v>
      </c>
      <c r="F522" s="32" t="s">
        <v>276</v>
      </c>
      <c r="G522" s="33">
        <v>250</v>
      </c>
      <c r="H522" s="34">
        <v>2</v>
      </c>
      <c r="I522" s="31">
        <v>163260</v>
      </c>
      <c r="J522" s="35" t="s">
        <v>1259</v>
      </c>
      <c r="K522" s="36">
        <v>2020</v>
      </c>
    </row>
    <row r="523" spans="1:11" ht="15" customHeight="1" x14ac:dyDescent="0.3">
      <c r="A523" s="37">
        <v>518</v>
      </c>
      <c r="B523" s="38" t="s">
        <v>272</v>
      </c>
      <c r="C523" s="38" t="s">
        <v>1260</v>
      </c>
      <c r="D523" s="38" t="s">
        <v>538</v>
      </c>
      <c r="E523" s="38" t="s">
        <v>41</v>
      </c>
      <c r="F523" s="38" t="s">
        <v>276</v>
      </c>
      <c r="G523" s="39">
        <v>500</v>
      </c>
      <c r="H523" s="40">
        <v>1.47</v>
      </c>
      <c r="I523" s="37">
        <v>137260</v>
      </c>
      <c r="J523" s="41" t="s">
        <v>1259</v>
      </c>
      <c r="K523" s="42">
        <v>2020</v>
      </c>
    </row>
    <row r="524" spans="1:11" ht="15" customHeight="1" x14ac:dyDescent="0.3">
      <c r="A524" s="31">
        <v>519</v>
      </c>
      <c r="B524" s="32" t="s">
        <v>272</v>
      </c>
      <c r="C524" s="32" t="s">
        <v>1261</v>
      </c>
      <c r="D524" s="32" t="s">
        <v>1262</v>
      </c>
      <c r="E524" s="32" t="s">
        <v>35</v>
      </c>
      <c r="F524" s="32" t="s">
        <v>287</v>
      </c>
      <c r="G524" s="33">
        <v>1935</v>
      </c>
      <c r="H524" s="34">
        <v>3.03</v>
      </c>
      <c r="I524" s="31">
        <v>191260</v>
      </c>
      <c r="J524" s="35" t="s">
        <v>1259</v>
      </c>
      <c r="K524" s="36">
        <v>2020</v>
      </c>
    </row>
    <row r="525" spans="1:11" ht="15" customHeight="1" x14ac:dyDescent="0.3">
      <c r="A525" s="37">
        <v>520</v>
      </c>
      <c r="B525" s="38" t="s">
        <v>272</v>
      </c>
      <c r="C525" s="38" t="s">
        <v>1263</v>
      </c>
      <c r="D525" s="38" t="s">
        <v>54</v>
      </c>
      <c r="E525" s="38" t="s">
        <v>35</v>
      </c>
      <c r="F525" s="38" t="s">
        <v>276</v>
      </c>
      <c r="G525" s="39">
        <v>145</v>
      </c>
      <c r="H525" s="40">
        <v>0.82</v>
      </c>
      <c r="I525" s="37">
        <v>137260</v>
      </c>
      <c r="J525" s="41" t="s">
        <v>1259</v>
      </c>
      <c r="K525" s="42">
        <v>2020</v>
      </c>
    </row>
    <row r="526" spans="1:11" ht="15" customHeight="1" x14ac:dyDescent="0.3">
      <c r="A526" s="31">
        <v>521</v>
      </c>
      <c r="B526" s="32" t="s">
        <v>272</v>
      </c>
      <c r="C526" s="32" t="s">
        <v>1264</v>
      </c>
      <c r="D526" s="32" t="s">
        <v>1265</v>
      </c>
      <c r="E526" s="32" t="s">
        <v>1266</v>
      </c>
      <c r="F526" s="32" t="s">
        <v>1267</v>
      </c>
      <c r="G526" s="33">
        <v>174.7</v>
      </c>
      <c r="H526" s="34">
        <v>1.24</v>
      </c>
      <c r="I526" s="31">
        <v>137260</v>
      </c>
      <c r="J526" s="35" t="s">
        <v>1259</v>
      </c>
      <c r="K526" s="36">
        <v>2020</v>
      </c>
    </row>
    <row r="527" spans="1:11" ht="15" customHeight="1" x14ac:dyDescent="0.3">
      <c r="A527" s="37">
        <v>522</v>
      </c>
      <c r="B527" s="38" t="s">
        <v>272</v>
      </c>
      <c r="C527" s="38" t="s">
        <v>1268</v>
      </c>
      <c r="D527" s="38" t="s">
        <v>1269</v>
      </c>
      <c r="E527" s="38" t="s">
        <v>1270</v>
      </c>
      <c r="F527" s="38" t="s">
        <v>658</v>
      </c>
      <c r="G527" s="39">
        <v>215</v>
      </c>
      <c r="H527" s="40">
        <v>2</v>
      </c>
      <c r="I527" s="37">
        <v>163260</v>
      </c>
      <c r="J527" s="41" t="s">
        <v>1259</v>
      </c>
      <c r="K527" s="42">
        <v>2020</v>
      </c>
    </row>
    <row r="528" spans="1:11" ht="15" customHeight="1" x14ac:dyDescent="0.3">
      <c r="A528" s="31">
        <v>523</v>
      </c>
      <c r="B528" s="32" t="s">
        <v>272</v>
      </c>
      <c r="C528" s="32" t="s">
        <v>1271</v>
      </c>
      <c r="D528" s="32" t="s">
        <v>1272</v>
      </c>
      <c r="E528" s="32" t="s">
        <v>35</v>
      </c>
      <c r="F528" s="32" t="s">
        <v>435</v>
      </c>
      <c r="G528" s="33">
        <v>2527</v>
      </c>
      <c r="H528" s="34">
        <v>4</v>
      </c>
      <c r="I528" s="31">
        <v>219260</v>
      </c>
      <c r="J528" s="35" t="s">
        <v>1259</v>
      </c>
      <c r="K528" s="36">
        <v>2020</v>
      </c>
    </row>
    <row r="529" spans="1:11" ht="15" customHeight="1" x14ac:dyDescent="0.3">
      <c r="A529" s="37">
        <v>524</v>
      </c>
      <c r="B529" s="38" t="s">
        <v>272</v>
      </c>
      <c r="C529" s="38" t="s">
        <v>1273</v>
      </c>
      <c r="D529" s="38" t="s">
        <v>48</v>
      </c>
      <c r="E529" s="38" t="s">
        <v>35</v>
      </c>
      <c r="F529" s="38" t="s">
        <v>276</v>
      </c>
      <c r="G529" s="39">
        <v>252</v>
      </c>
      <c r="H529" s="40">
        <v>1.1200000000000001</v>
      </c>
      <c r="I529" s="37">
        <v>137260</v>
      </c>
      <c r="J529" s="41" t="s">
        <v>1259</v>
      </c>
      <c r="K529" s="42">
        <v>2020</v>
      </c>
    </row>
    <row r="530" spans="1:11" ht="15" customHeight="1" x14ac:dyDescent="0.3">
      <c r="A530" s="31">
        <v>525</v>
      </c>
      <c r="B530" s="32" t="s">
        <v>272</v>
      </c>
      <c r="C530" s="32" t="s">
        <v>1274</v>
      </c>
      <c r="D530" s="32" t="s">
        <v>1275</v>
      </c>
      <c r="E530" s="32" t="s">
        <v>1276</v>
      </c>
      <c r="F530" s="32" t="s">
        <v>312</v>
      </c>
      <c r="G530" s="33">
        <v>340</v>
      </c>
      <c r="H530" s="34">
        <v>3</v>
      </c>
      <c r="I530" s="31">
        <v>191260</v>
      </c>
      <c r="J530" s="35" t="s">
        <v>1259</v>
      </c>
      <c r="K530" s="36">
        <v>2020</v>
      </c>
    </row>
    <row r="531" spans="1:11" ht="15" customHeight="1" x14ac:dyDescent="0.3">
      <c r="A531" s="37">
        <v>526</v>
      </c>
      <c r="B531" s="38" t="s">
        <v>272</v>
      </c>
      <c r="C531" s="38" t="s">
        <v>1277</v>
      </c>
      <c r="D531" s="38" t="s">
        <v>429</v>
      </c>
      <c r="E531" s="38" t="s">
        <v>76</v>
      </c>
      <c r="F531" s="38" t="s">
        <v>276</v>
      </c>
      <c r="G531" s="39">
        <v>1200</v>
      </c>
      <c r="H531" s="40">
        <v>2</v>
      </c>
      <c r="I531" s="37">
        <v>163260</v>
      </c>
      <c r="J531" s="41" t="s">
        <v>1259</v>
      </c>
      <c r="K531" s="42">
        <v>2020</v>
      </c>
    </row>
    <row r="532" spans="1:11" ht="15" customHeight="1" x14ac:dyDescent="0.3">
      <c r="A532" s="31">
        <v>527</v>
      </c>
      <c r="B532" s="32" t="s">
        <v>272</v>
      </c>
      <c r="C532" s="32" t="s">
        <v>1278</v>
      </c>
      <c r="D532" s="32" t="s">
        <v>38</v>
      </c>
      <c r="E532" s="32" t="s">
        <v>372</v>
      </c>
      <c r="F532" s="32" t="s">
        <v>306</v>
      </c>
      <c r="G532" s="33">
        <v>549</v>
      </c>
      <c r="H532" s="34">
        <v>4</v>
      </c>
      <c r="I532" s="31">
        <v>219260</v>
      </c>
      <c r="J532" s="35" t="s">
        <v>1259</v>
      </c>
      <c r="K532" s="36">
        <v>2020</v>
      </c>
    </row>
    <row r="533" spans="1:11" ht="15" customHeight="1" x14ac:dyDescent="0.3">
      <c r="A533" s="37">
        <v>528</v>
      </c>
      <c r="B533" s="38" t="s">
        <v>336</v>
      </c>
      <c r="C533" s="38" t="s">
        <v>1279</v>
      </c>
      <c r="D533" s="38" t="s">
        <v>1280</v>
      </c>
      <c r="E533" s="38" t="s">
        <v>499</v>
      </c>
      <c r="F533" s="38" t="s">
        <v>287</v>
      </c>
      <c r="G533" s="39">
        <v>760.8</v>
      </c>
      <c r="H533" s="40">
        <v>5.22</v>
      </c>
      <c r="I533" s="37">
        <v>247260</v>
      </c>
      <c r="J533" s="41" t="s">
        <v>1259</v>
      </c>
      <c r="K533" s="42">
        <v>2020</v>
      </c>
    </row>
    <row r="534" spans="1:11" ht="15" customHeight="1" x14ac:dyDescent="0.3">
      <c r="A534" s="31">
        <v>529</v>
      </c>
      <c r="B534" s="32" t="s">
        <v>336</v>
      </c>
      <c r="C534" s="32" t="s">
        <v>1281</v>
      </c>
      <c r="D534" s="32" t="s">
        <v>841</v>
      </c>
      <c r="E534" s="32" t="s">
        <v>37</v>
      </c>
      <c r="F534" s="32" t="s">
        <v>276</v>
      </c>
      <c r="G534" s="33">
        <v>476</v>
      </c>
      <c r="H534" s="34">
        <v>1</v>
      </c>
      <c r="I534" s="31">
        <v>137260</v>
      </c>
      <c r="J534" s="35" t="s">
        <v>1259</v>
      </c>
      <c r="K534" s="36">
        <v>2020</v>
      </c>
    </row>
    <row r="535" spans="1:11" ht="15" customHeight="1" x14ac:dyDescent="0.3">
      <c r="A535" s="37">
        <v>530</v>
      </c>
      <c r="B535" s="38" t="s">
        <v>336</v>
      </c>
      <c r="C535" s="38" t="s">
        <v>1282</v>
      </c>
      <c r="D535" s="38" t="s">
        <v>635</v>
      </c>
      <c r="E535" s="38" t="s">
        <v>1283</v>
      </c>
      <c r="F535" s="38" t="s">
        <v>287</v>
      </c>
      <c r="G535" s="39">
        <v>545.5</v>
      </c>
      <c r="H535" s="40">
        <v>5</v>
      </c>
      <c r="I535" s="37">
        <v>247260</v>
      </c>
      <c r="J535" s="41" t="s">
        <v>1259</v>
      </c>
      <c r="K535" s="42">
        <v>2020</v>
      </c>
    </row>
    <row r="536" spans="1:11" ht="15" customHeight="1" x14ac:dyDescent="0.3">
      <c r="A536" s="31">
        <v>531</v>
      </c>
      <c r="B536" s="32" t="s">
        <v>336</v>
      </c>
      <c r="C536" s="32" t="s">
        <v>1284</v>
      </c>
      <c r="D536" s="32" t="s">
        <v>855</v>
      </c>
      <c r="E536" s="32" t="s">
        <v>37</v>
      </c>
      <c r="F536" s="32" t="s">
        <v>276</v>
      </c>
      <c r="G536" s="33">
        <v>2415</v>
      </c>
      <c r="H536" s="34">
        <v>0.55000000000000004</v>
      </c>
      <c r="I536" s="31">
        <v>163260</v>
      </c>
      <c r="J536" s="35" t="s">
        <v>1259</v>
      </c>
      <c r="K536" s="36">
        <v>2020</v>
      </c>
    </row>
    <row r="537" spans="1:11" ht="15" customHeight="1" x14ac:dyDescent="0.3">
      <c r="A537" s="37">
        <v>532</v>
      </c>
      <c r="B537" s="38" t="s">
        <v>336</v>
      </c>
      <c r="C537" s="38" t="s">
        <v>1285</v>
      </c>
      <c r="D537" s="38" t="s">
        <v>1286</v>
      </c>
      <c r="E537" s="38" t="s">
        <v>1287</v>
      </c>
      <c r="F537" s="38" t="s">
        <v>287</v>
      </c>
      <c r="G537" s="39">
        <v>506</v>
      </c>
      <c r="H537" s="40">
        <v>3</v>
      </c>
      <c r="I537" s="37">
        <v>191260</v>
      </c>
      <c r="J537" s="41" t="s">
        <v>1259</v>
      </c>
      <c r="K537" s="42">
        <v>2020</v>
      </c>
    </row>
    <row r="538" spans="1:11" ht="15" customHeight="1" x14ac:dyDescent="0.3">
      <c r="A538" s="31">
        <v>533</v>
      </c>
      <c r="B538" s="32" t="s">
        <v>336</v>
      </c>
      <c r="C538" s="32" t="s">
        <v>1288</v>
      </c>
      <c r="D538" s="32" t="s">
        <v>60</v>
      </c>
      <c r="E538" s="32" t="s">
        <v>37</v>
      </c>
      <c r="F538" s="32" t="s">
        <v>402</v>
      </c>
      <c r="G538" s="33">
        <v>2200</v>
      </c>
      <c r="H538" s="34">
        <v>5.109</v>
      </c>
      <c r="I538" s="31">
        <v>247260</v>
      </c>
      <c r="J538" s="35" t="s">
        <v>1259</v>
      </c>
      <c r="K538" s="36">
        <v>2020</v>
      </c>
    </row>
    <row r="539" spans="1:11" ht="15" customHeight="1" x14ac:dyDescent="0.3">
      <c r="A539" s="37">
        <v>534</v>
      </c>
      <c r="B539" s="38" t="s">
        <v>336</v>
      </c>
      <c r="C539" s="38" t="s">
        <v>1289</v>
      </c>
      <c r="D539" s="38" t="s">
        <v>970</v>
      </c>
      <c r="E539" s="38" t="s">
        <v>971</v>
      </c>
      <c r="F539" s="38" t="s">
        <v>276</v>
      </c>
      <c r="G539" s="39">
        <v>32.450000000000003</v>
      </c>
      <c r="H539" s="40">
        <v>0.28799999999999998</v>
      </c>
      <c r="I539" s="37">
        <v>137260</v>
      </c>
      <c r="J539" s="41" t="s">
        <v>1259</v>
      </c>
      <c r="K539" s="42">
        <v>2020</v>
      </c>
    </row>
    <row r="540" spans="1:11" ht="15" customHeight="1" x14ac:dyDescent="0.3">
      <c r="A540" s="31">
        <v>535</v>
      </c>
      <c r="B540" s="32" t="s">
        <v>336</v>
      </c>
      <c r="C540" s="32" t="s">
        <v>1290</v>
      </c>
      <c r="D540" s="32" t="s">
        <v>1291</v>
      </c>
      <c r="E540" s="32" t="s">
        <v>1015</v>
      </c>
      <c r="F540" s="32" t="s">
        <v>276</v>
      </c>
      <c r="G540" s="33">
        <v>1125</v>
      </c>
      <c r="H540" s="34">
        <v>1.49</v>
      </c>
      <c r="I540" s="31">
        <v>137260</v>
      </c>
      <c r="J540" s="35" t="s">
        <v>1259</v>
      </c>
      <c r="K540" s="36">
        <v>2020</v>
      </c>
    </row>
    <row r="541" spans="1:11" ht="15" customHeight="1" x14ac:dyDescent="0.3">
      <c r="A541" s="37">
        <v>536</v>
      </c>
      <c r="B541" s="38" t="s">
        <v>336</v>
      </c>
      <c r="C541" s="38" t="s">
        <v>1292</v>
      </c>
      <c r="D541" s="38" t="s">
        <v>1293</v>
      </c>
      <c r="E541" s="38" t="s">
        <v>39</v>
      </c>
      <c r="F541" s="38" t="s">
        <v>316</v>
      </c>
      <c r="G541" s="39">
        <v>610</v>
      </c>
      <c r="H541" s="40">
        <v>1.44</v>
      </c>
      <c r="I541" s="37">
        <v>137260</v>
      </c>
      <c r="J541" s="41" t="s">
        <v>1259</v>
      </c>
      <c r="K541" s="42">
        <v>2020</v>
      </c>
    </row>
    <row r="542" spans="1:11" ht="15" customHeight="1" x14ac:dyDescent="0.3">
      <c r="A542" s="31">
        <v>537</v>
      </c>
      <c r="B542" s="32" t="s">
        <v>1039</v>
      </c>
      <c r="C542" s="32" t="s">
        <v>1294</v>
      </c>
      <c r="D542" s="32" t="s">
        <v>1149</v>
      </c>
      <c r="E542" s="32" t="s">
        <v>37</v>
      </c>
      <c r="F542" s="32" t="s">
        <v>276</v>
      </c>
      <c r="G542" s="33">
        <v>88</v>
      </c>
      <c r="H542" s="34">
        <v>0.11</v>
      </c>
      <c r="I542" s="31">
        <v>137260</v>
      </c>
      <c r="J542" s="35" t="s">
        <v>1259</v>
      </c>
      <c r="K542" s="36">
        <v>2020</v>
      </c>
    </row>
    <row r="543" spans="1:11" ht="15" customHeight="1" x14ac:dyDescent="0.3">
      <c r="A543" s="37">
        <v>538</v>
      </c>
      <c r="B543" s="38" t="s">
        <v>1039</v>
      </c>
      <c r="C543" s="38" t="s">
        <v>1295</v>
      </c>
      <c r="D543" s="38" t="s">
        <v>538</v>
      </c>
      <c r="E543" s="38" t="s">
        <v>41</v>
      </c>
      <c r="F543" s="38" t="s">
        <v>276</v>
      </c>
      <c r="G543" s="39">
        <v>203</v>
      </c>
      <c r="H543" s="40">
        <v>0.51</v>
      </c>
      <c r="I543" s="37">
        <v>137260</v>
      </c>
      <c r="J543" s="41" t="s">
        <v>1259</v>
      </c>
      <c r="K543" s="42">
        <v>2020</v>
      </c>
    </row>
    <row r="544" spans="1:11" ht="15" customHeight="1" x14ac:dyDescent="0.3">
      <c r="A544" s="31">
        <v>539</v>
      </c>
      <c r="B544" s="32" t="s">
        <v>1039</v>
      </c>
      <c r="C544" s="32" t="s">
        <v>1296</v>
      </c>
      <c r="D544" s="32" t="s">
        <v>1297</v>
      </c>
      <c r="E544" s="32" t="s">
        <v>215</v>
      </c>
      <c r="F544" s="32" t="s">
        <v>846</v>
      </c>
      <c r="G544" s="33">
        <v>718</v>
      </c>
      <c r="H544" s="34">
        <v>3</v>
      </c>
      <c r="I544" s="31">
        <v>181000</v>
      </c>
      <c r="J544" s="35" t="s">
        <v>1259</v>
      </c>
      <c r="K544" s="36">
        <v>2020</v>
      </c>
    </row>
    <row r="545" spans="1:11" ht="15" customHeight="1" x14ac:dyDescent="0.3">
      <c r="A545" s="37">
        <v>540</v>
      </c>
      <c r="B545" s="38" t="s">
        <v>1039</v>
      </c>
      <c r="C545" s="38" t="s">
        <v>1298</v>
      </c>
      <c r="D545" s="38" t="s">
        <v>450</v>
      </c>
      <c r="E545" s="38" t="s">
        <v>35</v>
      </c>
      <c r="F545" s="38" t="s">
        <v>846</v>
      </c>
      <c r="G545" s="39">
        <v>142</v>
      </c>
      <c r="H545" s="40">
        <v>1.1599999999999999</v>
      </c>
      <c r="I545" s="37">
        <v>137260</v>
      </c>
      <c r="J545" s="41" t="s">
        <v>1259</v>
      </c>
      <c r="K545" s="42">
        <v>2020</v>
      </c>
    </row>
    <row r="546" spans="1:11" ht="15" customHeight="1" x14ac:dyDescent="0.3">
      <c r="A546" s="31">
        <v>541</v>
      </c>
      <c r="B546" s="32" t="s">
        <v>1039</v>
      </c>
      <c r="C546" s="32" t="s">
        <v>1299</v>
      </c>
      <c r="D546" s="32" t="s">
        <v>48</v>
      </c>
      <c r="E546" s="32" t="s">
        <v>35</v>
      </c>
      <c r="F546" s="32" t="s">
        <v>316</v>
      </c>
      <c r="G546" s="33">
        <v>509</v>
      </c>
      <c r="H546" s="34">
        <v>0.91</v>
      </c>
      <c r="I546" s="31">
        <v>137260</v>
      </c>
      <c r="J546" s="35" t="s">
        <v>1259</v>
      </c>
      <c r="K546" s="36">
        <v>2020</v>
      </c>
    </row>
    <row r="547" spans="1:11" ht="15" customHeight="1" x14ac:dyDescent="0.3">
      <c r="A547" s="37">
        <v>542</v>
      </c>
      <c r="B547" s="38" t="s">
        <v>1039</v>
      </c>
      <c r="C547" s="38" t="s">
        <v>1300</v>
      </c>
      <c r="D547" s="38" t="s">
        <v>936</v>
      </c>
      <c r="E547" s="38" t="s">
        <v>35</v>
      </c>
      <c r="F547" s="38" t="s">
        <v>1301</v>
      </c>
      <c r="G547" s="39">
        <v>390</v>
      </c>
      <c r="H547" s="40">
        <v>1.04</v>
      </c>
      <c r="I547" s="37">
        <v>137260</v>
      </c>
      <c r="J547" s="41" t="s">
        <v>1259</v>
      </c>
      <c r="K547" s="42">
        <v>2020</v>
      </c>
    </row>
    <row r="548" spans="1:11" ht="15" customHeight="1" x14ac:dyDescent="0.3">
      <c r="A548" s="31">
        <v>543</v>
      </c>
      <c r="B548" s="32" t="s">
        <v>1039</v>
      </c>
      <c r="C548" s="32" t="s">
        <v>1302</v>
      </c>
      <c r="D548" s="32" t="s">
        <v>1303</v>
      </c>
      <c r="E548" s="32" t="s">
        <v>1304</v>
      </c>
      <c r="F548" s="32" t="s">
        <v>1305</v>
      </c>
      <c r="G548" s="33">
        <v>464</v>
      </c>
      <c r="H548" s="34">
        <v>0.34</v>
      </c>
      <c r="I548" s="31">
        <v>127000</v>
      </c>
      <c r="J548" s="35" t="s">
        <v>1259</v>
      </c>
      <c r="K548" s="36">
        <v>2020</v>
      </c>
    </row>
    <row r="549" spans="1:11" ht="15" customHeight="1" x14ac:dyDescent="0.3">
      <c r="A549" s="37">
        <v>544</v>
      </c>
      <c r="B549" s="38" t="s">
        <v>1039</v>
      </c>
      <c r="C549" s="38" t="s">
        <v>1306</v>
      </c>
      <c r="D549" s="38" t="s">
        <v>1307</v>
      </c>
      <c r="E549" s="38" t="s">
        <v>1308</v>
      </c>
      <c r="F549" s="38" t="s">
        <v>402</v>
      </c>
      <c r="G549" s="39">
        <v>700</v>
      </c>
      <c r="H549" s="40">
        <v>5</v>
      </c>
      <c r="I549" s="37">
        <v>237000</v>
      </c>
      <c r="J549" s="41" t="s">
        <v>1259</v>
      </c>
      <c r="K549" s="42">
        <v>2020</v>
      </c>
    </row>
    <row r="550" spans="1:11" ht="15" customHeight="1" x14ac:dyDescent="0.3">
      <c r="A550" s="31">
        <v>545</v>
      </c>
      <c r="B550" s="32" t="s">
        <v>1039</v>
      </c>
      <c r="C550" s="32" t="s">
        <v>1309</v>
      </c>
      <c r="D550" s="32" t="s">
        <v>874</v>
      </c>
      <c r="E550" s="32" t="s">
        <v>427</v>
      </c>
      <c r="F550" s="32" t="s">
        <v>1310</v>
      </c>
      <c r="G550" s="33">
        <v>48</v>
      </c>
      <c r="H550" s="34">
        <v>0.67</v>
      </c>
      <c r="I550" s="31">
        <v>127000</v>
      </c>
      <c r="J550" s="35" t="s">
        <v>1259</v>
      </c>
      <c r="K550" s="36">
        <v>2020</v>
      </c>
    </row>
    <row r="551" spans="1:11" ht="15" customHeight="1" x14ac:dyDescent="0.3">
      <c r="A551" s="37">
        <v>546</v>
      </c>
      <c r="B551" s="38" t="s">
        <v>1039</v>
      </c>
      <c r="C551" s="38" t="s">
        <v>1311</v>
      </c>
      <c r="D551" s="38" t="s">
        <v>1094</v>
      </c>
      <c r="E551" s="38" t="s">
        <v>857</v>
      </c>
      <c r="F551" s="38" t="s">
        <v>1312</v>
      </c>
      <c r="G551" s="39">
        <v>1681</v>
      </c>
      <c r="H551" s="40">
        <v>4.6500000000000004</v>
      </c>
      <c r="I551" s="37">
        <v>247260</v>
      </c>
      <c r="J551" s="41" t="s">
        <v>1259</v>
      </c>
      <c r="K551" s="42">
        <v>2020</v>
      </c>
    </row>
    <row r="552" spans="1:11" ht="15" customHeight="1" x14ac:dyDescent="0.3">
      <c r="A552" s="31">
        <v>547</v>
      </c>
      <c r="B552" s="32" t="s">
        <v>1059</v>
      </c>
      <c r="C552" s="32" t="s">
        <v>1313</v>
      </c>
      <c r="D552" s="32" t="s">
        <v>60</v>
      </c>
      <c r="E552" s="32" t="s">
        <v>37</v>
      </c>
      <c r="F552" s="32" t="s">
        <v>1314</v>
      </c>
      <c r="G552" s="33">
        <v>500</v>
      </c>
      <c r="H552" s="34">
        <v>5</v>
      </c>
      <c r="I552" s="31">
        <v>247260</v>
      </c>
      <c r="J552" s="35" t="s">
        <v>1259</v>
      </c>
      <c r="K552" s="36">
        <v>2020</v>
      </c>
    </row>
    <row r="553" spans="1:11" ht="15" customHeight="1" x14ac:dyDescent="0.3">
      <c r="A553" s="37">
        <v>548</v>
      </c>
      <c r="B553" s="38" t="s">
        <v>1059</v>
      </c>
      <c r="C553" s="38" t="s">
        <v>1315</v>
      </c>
      <c r="D553" s="38" t="s">
        <v>1316</v>
      </c>
      <c r="E553" s="38" t="s">
        <v>1317</v>
      </c>
      <c r="F553" s="38" t="s">
        <v>1318</v>
      </c>
      <c r="G553" s="39">
        <v>237.9</v>
      </c>
      <c r="H553" s="40">
        <v>0.128</v>
      </c>
      <c r="I553" s="37">
        <v>137260</v>
      </c>
      <c r="J553" s="41" t="s">
        <v>1259</v>
      </c>
      <c r="K553" s="42">
        <v>2020</v>
      </c>
    </row>
    <row r="554" spans="1:11" ht="15" customHeight="1" x14ac:dyDescent="0.3">
      <c r="A554" s="31">
        <v>549</v>
      </c>
      <c r="B554" s="32" t="s">
        <v>1059</v>
      </c>
      <c r="C554" s="32" t="s">
        <v>1319</v>
      </c>
      <c r="D554" s="32" t="s">
        <v>859</v>
      </c>
      <c r="E554" s="32" t="s">
        <v>638</v>
      </c>
      <c r="F554" s="32" t="s">
        <v>287</v>
      </c>
      <c r="G554" s="33">
        <v>1530</v>
      </c>
      <c r="H554" s="34">
        <v>3</v>
      </c>
      <c r="I554" s="31">
        <v>181000</v>
      </c>
      <c r="J554" s="35" t="s">
        <v>1259</v>
      </c>
      <c r="K554" s="36">
        <v>2020</v>
      </c>
    </row>
    <row r="555" spans="1:11" ht="15" customHeight="1" x14ac:dyDescent="0.3">
      <c r="A555" s="37">
        <v>550</v>
      </c>
      <c r="B555" s="38" t="s">
        <v>1059</v>
      </c>
      <c r="C555" s="38" t="s">
        <v>1320</v>
      </c>
      <c r="D555" s="38" t="s">
        <v>325</v>
      </c>
      <c r="E555" s="38" t="s">
        <v>59</v>
      </c>
      <c r="F555" s="38" t="s">
        <v>276</v>
      </c>
      <c r="G555" s="39">
        <v>254.47</v>
      </c>
      <c r="H555" s="40">
        <v>0.313</v>
      </c>
      <c r="I555" s="37">
        <v>127000</v>
      </c>
      <c r="J555" s="41" t="s">
        <v>1259</v>
      </c>
      <c r="K555" s="42">
        <v>2020</v>
      </c>
    </row>
    <row r="556" spans="1:11" ht="15" customHeight="1" x14ac:dyDescent="0.3">
      <c r="A556" s="31">
        <v>551</v>
      </c>
      <c r="B556" s="32" t="s">
        <v>1059</v>
      </c>
      <c r="C556" s="32"/>
      <c r="D556" s="32" t="s">
        <v>325</v>
      </c>
      <c r="E556" s="32" t="s">
        <v>1321</v>
      </c>
      <c r="F556" s="32" t="s">
        <v>276</v>
      </c>
      <c r="G556" s="33">
        <v>360</v>
      </c>
      <c r="H556" s="34">
        <v>2</v>
      </c>
      <c r="I556" s="31">
        <v>163260</v>
      </c>
      <c r="J556" s="35" t="s">
        <v>1259</v>
      </c>
      <c r="K556" s="36">
        <v>2020</v>
      </c>
    </row>
    <row r="557" spans="1:11" ht="15" customHeight="1" x14ac:dyDescent="0.3">
      <c r="A557" s="37">
        <v>552</v>
      </c>
      <c r="B557" s="38" t="s">
        <v>1059</v>
      </c>
      <c r="C557" s="38"/>
      <c r="D557" s="38" t="s">
        <v>325</v>
      </c>
      <c r="E557" s="38" t="s">
        <v>1322</v>
      </c>
      <c r="F557" s="38" t="s">
        <v>276</v>
      </c>
      <c r="G557" s="39">
        <v>265</v>
      </c>
      <c r="H557" s="40">
        <v>2</v>
      </c>
      <c r="I557" s="37">
        <v>163260</v>
      </c>
      <c r="J557" s="41" t="s">
        <v>1259</v>
      </c>
      <c r="K557" s="42">
        <v>2020</v>
      </c>
    </row>
    <row r="558" spans="1:11" ht="15" customHeight="1" x14ac:dyDescent="0.3">
      <c r="A558" s="31">
        <v>553</v>
      </c>
      <c r="B558" s="32" t="s">
        <v>1059</v>
      </c>
      <c r="C558" s="32"/>
      <c r="D558" s="32" t="s">
        <v>325</v>
      </c>
      <c r="E558" s="32" t="s">
        <v>1323</v>
      </c>
      <c r="F558" s="32" t="s">
        <v>402</v>
      </c>
      <c r="G558" s="33">
        <v>5140</v>
      </c>
      <c r="H558" s="34">
        <v>6</v>
      </c>
      <c r="I558" s="31">
        <v>265000</v>
      </c>
      <c r="J558" s="35" t="s">
        <v>1259</v>
      </c>
      <c r="K558" s="36">
        <v>2020</v>
      </c>
    </row>
    <row r="559" spans="1:11" ht="15" customHeight="1" x14ac:dyDescent="0.3">
      <c r="A559" s="37">
        <v>554</v>
      </c>
      <c r="B559" s="38" t="s">
        <v>1059</v>
      </c>
      <c r="C559" s="38" t="s">
        <v>1324</v>
      </c>
      <c r="D559" s="38" t="s">
        <v>1325</v>
      </c>
      <c r="E559" s="38" t="s">
        <v>1326</v>
      </c>
      <c r="F559" s="38" t="s">
        <v>406</v>
      </c>
      <c r="G559" s="39">
        <v>1170</v>
      </c>
      <c r="H559" s="40">
        <v>4</v>
      </c>
      <c r="I559" s="37">
        <v>219260</v>
      </c>
      <c r="J559" s="41" t="s">
        <v>1259</v>
      </c>
      <c r="K559" s="42">
        <v>2020</v>
      </c>
    </row>
    <row r="560" spans="1:11" ht="15" customHeight="1" x14ac:dyDescent="0.3">
      <c r="A560" s="31">
        <v>555</v>
      </c>
      <c r="B560" s="32" t="s">
        <v>1059</v>
      </c>
      <c r="C560" s="32" t="s">
        <v>1327</v>
      </c>
      <c r="D560" s="32" t="s">
        <v>811</v>
      </c>
      <c r="E560" s="32" t="s">
        <v>1328</v>
      </c>
      <c r="F560" s="32" t="s">
        <v>306</v>
      </c>
      <c r="G560" s="33">
        <v>373</v>
      </c>
      <c r="H560" s="34">
        <v>0.754</v>
      </c>
      <c r="I560" s="31">
        <v>127000</v>
      </c>
      <c r="J560" s="35" t="s">
        <v>1259</v>
      </c>
      <c r="K560" s="36">
        <v>2020</v>
      </c>
    </row>
    <row r="561" spans="1:11" ht="15" customHeight="1" x14ac:dyDescent="0.3">
      <c r="A561" s="37">
        <v>556</v>
      </c>
      <c r="B561" s="38" t="s">
        <v>1059</v>
      </c>
      <c r="C561" s="38" t="s">
        <v>1329</v>
      </c>
      <c r="D561" s="38" t="s">
        <v>1330</v>
      </c>
      <c r="E561" s="38" t="s">
        <v>1331</v>
      </c>
      <c r="F561" s="38" t="s">
        <v>517</v>
      </c>
      <c r="G561" s="39">
        <v>2785</v>
      </c>
      <c r="H561" s="40">
        <v>3</v>
      </c>
      <c r="I561" s="37">
        <v>181000</v>
      </c>
      <c r="J561" s="41" t="s">
        <v>1259</v>
      </c>
      <c r="K561" s="42">
        <v>2020</v>
      </c>
    </row>
    <row r="562" spans="1:11" ht="15" customHeight="1" x14ac:dyDescent="0.3">
      <c r="A562" s="31">
        <v>557</v>
      </c>
      <c r="B562" s="32" t="s">
        <v>1059</v>
      </c>
      <c r="C562" s="32" t="s">
        <v>1332</v>
      </c>
      <c r="D562" s="32" t="s">
        <v>1333</v>
      </c>
      <c r="E562" s="32" t="s">
        <v>1334</v>
      </c>
      <c r="F562" s="32" t="s">
        <v>276</v>
      </c>
      <c r="G562" s="33">
        <v>150</v>
      </c>
      <c r="H562" s="34">
        <v>0.89400000000000002</v>
      </c>
      <c r="I562" s="31">
        <v>137260</v>
      </c>
      <c r="J562" s="35" t="s">
        <v>1259</v>
      </c>
      <c r="K562" s="36">
        <v>2020</v>
      </c>
    </row>
    <row r="563" spans="1:11" ht="15" customHeight="1" x14ac:dyDescent="0.3">
      <c r="A563" s="37">
        <v>558</v>
      </c>
      <c r="B563" s="38" t="s">
        <v>1059</v>
      </c>
      <c r="C563" s="38" t="s">
        <v>1335</v>
      </c>
      <c r="D563" s="38" t="s">
        <v>1336</v>
      </c>
      <c r="E563" s="38" t="s">
        <v>1337</v>
      </c>
      <c r="F563" s="38" t="s">
        <v>1031</v>
      </c>
      <c r="G563" s="39">
        <v>485</v>
      </c>
      <c r="H563" s="40">
        <v>0.82799999999999996</v>
      </c>
      <c r="I563" s="37">
        <v>127000</v>
      </c>
      <c r="J563" s="41" t="s">
        <v>1259</v>
      </c>
      <c r="K563" s="42">
        <v>2020</v>
      </c>
    </row>
    <row r="564" spans="1:11" ht="15" customHeight="1" x14ac:dyDescent="0.3">
      <c r="A564" s="31">
        <v>559</v>
      </c>
      <c r="B564" s="32" t="s">
        <v>1059</v>
      </c>
      <c r="C564" s="32" t="s">
        <v>1338</v>
      </c>
      <c r="D564" s="32" t="s">
        <v>526</v>
      </c>
      <c r="E564" s="32" t="s">
        <v>477</v>
      </c>
      <c r="F564" s="32" t="s">
        <v>316</v>
      </c>
      <c r="G564" s="33">
        <v>480</v>
      </c>
      <c r="H564" s="34">
        <v>1.149</v>
      </c>
      <c r="I564" s="31">
        <v>137260</v>
      </c>
      <c r="J564" s="35" t="s">
        <v>1259</v>
      </c>
      <c r="K564" s="36">
        <v>2020</v>
      </c>
    </row>
    <row r="565" spans="1:11" ht="15" customHeight="1" x14ac:dyDescent="0.3">
      <c r="A565" s="37">
        <v>560</v>
      </c>
      <c r="B565" s="38" t="s">
        <v>1059</v>
      </c>
      <c r="C565" s="38" t="s">
        <v>1339</v>
      </c>
      <c r="D565" s="38" t="s">
        <v>526</v>
      </c>
      <c r="E565" s="38" t="s">
        <v>49</v>
      </c>
      <c r="F565" s="38" t="s">
        <v>316</v>
      </c>
      <c r="G565" s="39">
        <v>405</v>
      </c>
      <c r="H565" s="40">
        <v>2</v>
      </c>
      <c r="I565" s="37">
        <v>153000</v>
      </c>
      <c r="J565" s="41" t="s">
        <v>1259</v>
      </c>
      <c r="K565" s="42">
        <v>2020</v>
      </c>
    </row>
    <row r="566" spans="1:11" ht="15" customHeight="1" x14ac:dyDescent="0.3">
      <c r="A566" s="31">
        <v>561</v>
      </c>
      <c r="B566" s="32" t="s">
        <v>1059</v>
      </c>
      <c r="C566" s="32" t="s">
        <v>1340</v>
      </c>
      <c r="D566" s="32" t="s">
        <v>1341</v>
      </c>
      <c r="E566" s="32" t="s">
        <v>47</v>
      </c>
      <c r="F566" s="32" t="s">
        <v>406</v>
      </c>
      <c r="G566" s="33">
        <v>784</v>
      </c>
      <c r="H566" s="34">
        <v>1.095</v>
      </c>
      <c r="I566" s="31">
        <v>137260</v>
      </c>
      <c r="J566" s="35" t="s">
        <v>1259</v>
      </c>
      <c r="K566" s="36">
        <v>2020</v>
      </c>
    </row>
    <row r="567" spans="1:11" ht="15" customHeight="1" x14ac:dyDescent="0.3">
      <c r="A567" s="37">
        <v>562</v>
      </c>
      <c r="B567" s="38" t="s">
        <v>1059</v>
      </c>
      <c r="C567" s="38" t="s">
        <v>1342</v>
      </c>
      <c r="D567" s="38" t="s">
        <v>691</v>
      </c>
      <c r="E567" s="38" t="s">
        <v>1343</v>
      </c>
      <c r="F567" s="38" t="s">
        <v>375</v>
      </c>
      <c r="G567" s="39">
        <v>165</v>
      </c>
      <c r="H567" s="40">
        <v>2</v>
      </c>
      <c r="I567" s="37">
        <v>153000</v>
      </c>
      <c r="J567" s="41" t="s">
        <v>1259</v>
      </c>
      <c r="K567" s="42">
        <v>2020</v>
      </c>
    </row>
    <row r="568" spans="1:11" ht="15" customHeight="1" x14ac:dyDescent="0.3">
      <c r="A568" s="31">
        <v>563</v>
      </c>
      <c r="B568" s="32" t="s">
        <v>1344</v>
      </c>
      <c r="C568" s="32" t="s">
        <v>1345</v>
      </c>
      <c r="D568" s="32" t="s">
        <v>707</v>
      </c>
      <c r="E568" s="32" t="s">
        <v>47</v>
      </c>
      <c r="F568" s="32" t="s">
        <v>1346</v>
      </c>
      <c r="G568" s="33">
        <v>2101</v>
      </c>
      <c r="H568" s="34">
        <v>15</v>
      </c>
      <c r="I568" s="31">
        <v>634625</v>
      </c>
      <c r="J568" s="35" t="s">
        <v>1259</v>
      </c>
      <c r="K568" s="36">
        <v>2020</v>
      </c>
    </row>
    <row r="569" spans="1:11" ht="15" customHeight="1" x14ac:dyDescent="0.3">
      <c r="A569" s="37">
        <v>564</v>
      </c>
      <c r="B569" s="38" t="s">
        <v>1344</v>
      </c>
      <c r="C569" s="38" t="s">
        <v>1347</v>
      </c>
      <c r="D569" s="38" t="s">
        <v>707</v>
      </c>
      <c r="E569" s="38" t="s">
        <v>49</v>
      </c>
      <c r="F569" s="38" t="s">
        <v>1348</v>
      </c>
      <c r="G569" s="39">
        <v>2563</v>
      </c>
      <c r="H569" s="40">
        <v>9</v>
      </c>
      <c r="I569" s="37">
        <v>418289</v>
      </c>
      <c r="J569" s="41" t="s">
        <v>1259</v>
      </c>
      <c r="K569" s="42">
        <v>2020</v>
      </c>
    </row>
    <row r="570" spans="1:11" ht="15" customHeight="1" x14ac:dyDescent="0.3">
      <c r="A570" s="31">
        <v>565</v>
      </c>
      <c r="B570" s="32" t="s">
        <v>313</v>
      </c>
      <c r="C570" s="32" t="s">
        <v>1349</v>
      </c>
      <c r="D570" s="32" t="s">
        <v>60</v>
      </c>
      <c r="E570" s="32" t="s">
        <v>35</v>
      </c>
      <c r="F570" s="32" t="s">
        <v>276</v>
      </c>
      <c r="G570" s="33">
        <v>600</v>
      </c>
      <c r="H570" s="34">
        <v>0.86399999999999999</v>
      </c>
      <c r="I570" s="31">
        <v>137000</v>
      </c>
      <c r="J570" s="35" t="s">
        <v>1259</v>
      </c>
      <c r="K570" s="36">
        <v>2020</v>
      </c>
    </row>
    <row r="571" spans="1:11" ht="15" customHeight="1" x14ac:dyDescent="0.3">
      <c r="A571" s="37">
        <v>566</v>
      </c>
      <c r="B571" s="38" t="s">
        <v>313</v>
      </c>
      <c r="C571" s="38" t="s">
        <v>1350</v>
      </c>
      <c r="D571" s="38" t="s">
        <v>1351</v>
      </c>
      <c r="E571" s="38" t="s">
        <v>1352</v>
      </c>
      <c r="F571" s="38" t="s">
        <v>435</v>
      </c>
      <c r="G571" s="39">
        <v>3320</v>
      </c>
      <c r="H571" s="40">
        <v>6</v>
      </c>
      <c r="I571" s="37">
        <v>265000</v>
      </c>
      <c r="J571" s="41" t="s">
        <v>1259</v>
      </c>
      <c r="K571" s="42">
        <v>2020</v>
      </c>
    </row>
    <row r="572" spans="1:11" ht="15" customHeight="1" x14ac:dyDescent="0.3">
      <c r="A572" s="31">
        <v>567</v>
      </c>
      <c r="B572" s="32" t="s">
        <v>313</v>
      </c>
      <c r="C572" s="32" t="s">
        <v>1353</v>
      </c>
      <c r="D572" s="32" t="s">
        <v>54</v>
      </c>
      <c r="E572" s="32" t="s">
        <v>35</v>
      </c>
      <c r="F572" s="32" t="s">
        <v>276</v>
      </c>
      <c r="G572" s="33">
        <v>160</v>
      </c>
      <c r="H572" s="34">
        <v>0.48</v>
      </c>
      <c r="I572" s="31">
        <v>137260</v>
      </c>
      <c r="J572" s="35" t="s">
        <v>1259</v>
      </c>
      <c r="K572" s="36">
        <v>2020</v>
      </c>
    </row>
    <row r="573" spans="1:11" ht="15" customHeight="1" x14ac:dyDescent="0.3">
      <c r="A573" s="37">
        <v>568</v>
      </c>
      <c r="B573" s="38" t="s">
        <v>313</v>
      </c>
      <c r="C573" s="38" t="s">
        <v>1354</v>
      </c>
      <c r="D573" s="38" t="s">
        <v>1330</v>
      </c>
      <c r="E573" s="38" t="s">
        <v>39</v>
      </c>
      <c r="F573" s="38" t="s">
        <v>312</v>
      </c>
      <c r="G573" s="39">
        <v>70</v>
      </c>
      <c r="H573" s="40">
        <v>0.8</v>
      </c>
      <c r="I573" s="37">
        <v>137260</v>
      </c>
      <c r="J573" s="41" t="s">
        <v>1259</v>
      </c>
      <c r="K573" s="42">
        <v>2020</v>
      </c>
    </row>
    <row r="574" spans="1:11" ht="15" customHeight="1" x14ac:dyDescent="0.3">
      <c r="A574" s="31">
        <v>569</v>
      </c>
      <c r="B574" s="32" t="s">
        <v>313</v>
      </c>
      <c r="C574" s="32" t="s">
        <v>1355</v>
      </c>
      <c r="D574" s="32" t="s">
        <v>89</v>
      </c>
      <c r="E574" s="32" t="s">
        <v>43</v>
      </c>
      <c r="F574" s="32" t="s">
        <v>435</v>
      </c>
      <c r="G574" s="33">
        <v>1280</v>
      </c>
      <c r="H574" s="34">
        <v>3</v>
      </c>
      <c r="I574" s="31">
        <v>191260</v>
      </c>
      <c r="J574" s="35" t="s">
        <v>1259</v>
      </c>
      <c r="K574" s="36">
        <v>2020</v>
      </c>
    </row>
    <row r="575" spans="1:11" ht="15" customHeight="1" x14ac:dyDescent="0.3">
      <c r="A575" s="37">
        <v>570</v>
      </c>
      <c r="B575" s="38" t="s">
        <v>313</v>
      </c>
      <c r="C575" s="38" t="s">
        <v>1356</v>
      </c>
      <c r="D575" s="38" t="s">
        <v>1357</v>
      </c>
      <c r="E575" s="38" t="s">
        <v>1358</v>
      </c>
      <c r="F575" s="38" t="s">
        <v>1359</v>
      </c>
      <c r="G575" s="39">
        <v>1188</v>
      </c>
      <c r="H575" s="40">
        <v>2.0089999999999999</v>
      </c>
      <c r="I575" s="37">
        <v>163260</v>
      </c>
      <c r="J575" s="41" t="s">
        <v>1259</v>
      </c>
      <c r="K575" s="42">
        <v>2020</v>
      </c>
    </row>
    <row r="576" spans="1:11" ht="15" customHeight="1" x14ac:dyDescent="0.3">
      <c r="A576" s="31">
        <v>571</v>
      </c>
      <c r="B576" s="32" t="s">
        <v>313</v>
      </c>
      <c r="C576" s="32" t="s">
        <v>1360</v>
      </c>
      <c r="D576" s="32" t="s">
        <v>571</v>
      </c>
      <c r="E576" s="32" t="s">
        <v>35</v>
      </c>
      <c r="F576" s="32" t="s">
        <v>276</v>
      </c>
      <c r="G576" s="33">
        <v>947.5</v>
      </c>
      <c r="H576" s="34">
        <v>0.96799999999999997</v>
      </c>
      <c r="I576" s="31">
        <v>137260</v>
      </c>
      <c r="J576" s="35" t="s">
        <v>1259</v>
      </c>
      <c r="K576" s="36">
        <v>2020</v>
      </c>
    </row>
    <row r="577" spans="1:11" ht="15" customHeight="1" x14ac:dyDescent="0.3">
      <c r="A577" s="37">
        <v>572</v>
      </c>
      <c r="B577" s="38" t="s">
        <v>313</v>
      </c>
      <c r="C577" s="38" t="s">
        <v>1361</v>
      </c>
      <c r="D577" s="38" t="s">
        <v>817</v>
      </c>
      <c r="E577" s="38" t="s">
        <v>55</v>
      </c>
      <c r="F577" s="38" t="s">
        <v>276</v>
      </c>
      <c r="G577" s="39">
        <v>91</v>
      </c>
      <c r="H577" s="40">
        <v>0.76800000000000002</v>
      </c>
      <c r="I577" s="37">
        <v>127000</v>
      </c>
      <c r="J577" s="41" t="s">
        <v>1259</v>
      </c>
      <c r="K577" s="42">
        <v>2020</v>
      </c>
    </row>
    <row r="578" spans="1:11" ht="15" customHeight="1" x14ac:dyDescent="0.3">
      <c r="A578" s="31">
        <v>573</v>
      </c>
      <c r="B578" s="32" t="s">
        <v>313</v>
      </c>
      <c r="C578" s="32" t="s">
        <v>1362</v>
      </c>
      <c r="D578" s="32" t="s">
        <v>817</v>
      </c>
      <c r="E578" s="32" t="s">
        <v>764</v>
      </c>
      <c r="F578" s="32" t="s">
        <v>276</v>
      </c>
      <c r="G578" s="33">
        <v>199.22</v>
      </c>
      <c r="H578" s="34">
        <v>1.056</v>
      </c>
      <c r="I578" s="31">
        <v>127000</v>
      </c>
      <c r="J578" s="35" t="s">
        <v>1259</v>
      </c>
      <c r="K578" s="36">
        <v>2020</v>
      </c>
    </row>
    <row r="579" spans="1:11" ht="15" customHeight="1" x14ac:dyDescent="0.3">
      <c r="A579" s="37">
        <v>574</v>
      </c>
      <c r="B579" s="38" t="s">
        <v>313</v>
      </c>
      <c r="C579" s="38" t="s">
        <v>1363</v>
      </c>
      <c r="D579" s="38" t="s">
        <v>1364</v>
      </c>
      <c r="E579" s="38" t="s">
        <v>1365</v>
      </c>
      <c r="F579" s="38" t="s">
        <v>276</v>
      </c>
      <c r="G579" s="39">
        <v>195.4</v>
      </c>
      <c r="H579" s="40">
        <v>1.1140000000000001</v>
      </c>
      <c r="I579" s="37">
        <v>137260</v>
      </c>
      <c r="J579" s="41" t="s">
        <v>1259</v>
      </c>
      <c r="K579" s="42">
        <v>2020</v>
      </c>
    </row>
    <row r="580" spans="1:11" ht="15" customHeight="1" x14ac:dyDescent="0.3">
      <c r="A580" s="31">
        <v>575</v>
      </c>
      <c r="B580" s="32" t="s">
        <v>313</v>
      </c>
      <c r="C580" s="32" t="s">
        <v>1366</v>
      </c>
      <c r="D580" s="32" t="s">
        <v>1367</v>
      </c>
      <c r="E580" s="32" t="s">
        <v>1368</v>
      </c>
      <c r="F580" s="32" t="s">
        <v>287</v>
      </c>
      <c r="G580" s="33">
        <v>1862.96</v>
      </c>
      <c r="H580" s="34">
        <v>3</v>
      </c>
      <c r="I580" s="31">
        <v>181000</v>
      </c>
      <c r="J580" s="35" t="s">
        <v>1259</v>
      </c>
      <c r="K580" s="36">
        <v>2020</v>
      </c>
    </row>
    <row r="581" spans="1:11" ht="15" customHeight="1" x14ac:dyDescent="0.3">
      <c r="A581" s="37">
        <v>576</v>
      </c>
      <c r="B581" s="38" t="s">
        <v>336</v>
      </c>
      <c r="C581" s="38" t="s">
        <v>1369</v>
      </c>
      <c r="D581" s="38" t="s">
        <v>1370</v>
      </c>
      <c r="E581" s="38" t="s">
        <v>1177</v>
      </c>
      <c r="F581" s="38" t="s">
        <v>316</v>
      </c>
      <c r="G581" s="39">
        <v>2300</v>
      </c>
      <c r="H581" s="40">
        <v>5</v>
      </c>
      <c r="I581" s="37">
        <v>247260</v>
      </c>
      <c r="J581" s="41" t="s">
        <v>1371</v>
      </c>
      <c r="K581" s="42">
        <v>2020</v>
      </c>
    </row>
    <row r="582" spans="1:11" ht="15" customHeight="1" x14ac:dyDescent="0.3">
      <c r="A582" s="31">
        <v>577</v>
      </c>
      <c r="B582" s="32" t="s">
        <v>336</v>
      </c>
      <c r="C582" s="32" t="s">
        <v>1372</v>
      </c>
      <c r="D582" s="32" t="s">
        <v>841</v>
      </c>
      <c r="E582" s="32" t="s">
        <v>37</v>
      </c>
      <c r="F582" s="32" t="s">
        <v>312</v>
      </c>
      <c r="G582" s="33">
        <v>350</v>
      </c>
      <c r="H582" s="34">
        <v>1.03</v>
      </c>
      <c r="I582" s="31">
        <v>137260</v>
      </c>
      <c r="J582" s="35" t="s">
        <v>1371</v>
      </c>
      <c r="K582" s="36">
        <v>2020</v>
      </c>
    </row>
    <row r="583" spans="1:11" ht="15" customHeight="1" x14ac:dyDescent="0.3">
      <c r="A583" s="37">
        <v>578</v>
      </c>
      <c r="B583" s="38" t="s">
        <v>336</v>
      </c>
      <c r="C583" s="38" t="s">
        <v>1373</v>
      </c>
      <c r="D583" s="38" t="s">
        <v>807</v>
      </c>
      <c r="E583" s="38" t="s">
        <v>638</v>
      </c>
      <c r="F583" s="38" t="s">
        <v>435</v>
      </c>
      <c r="G583" s="39">
        <v>1688.9</v>
      </c>
      <c r="H583" s="40">
        <v>3</v>
      </c>
      <c r="I583" s="37">
        <v>181000</v>
      </c>
      <c r="J583" s="41" t="s">
        <v>1371</v>
      </c>
      <c r="K583" s="42">
        <v>2020</v>
      </c>
    </row>
    <row r="584" spans="1:11" ht="15" customHeight="1" x14ac:dyDescent="0.3">
      <c r="A584" s="31">
        <v>579</v>
      </c>
      <c r="B584" s="32" t="s">
        <v>336</v>
      </c>
      <c r="C584" s="32" t="s">
        <v>1374</v>
      </c>
      <c r="D584" s="32" t="s">
        <v>44</v>
      </c>
      <c r="E584" s="32" t="s">
        <v>35</v>
      </c>
      <c r="F584" s="32" t="s">
        <v>1375</v>
      </c>
      <c r="G584" s="33">
        <v>2660</v>
      </c>
      <c r="H584" s="34">
        <v>6</v>
      </c>
      <c r="I584" s="31">
        <v>275260</v>
      </c>
      <c r="J584" s="35" t="s">
        <v>1371</v>
      </c>
      <c r="K584" s="36">
        <v>2020</v>
      </c>
    </row>
    <row r="585" spans="1:11" ht="15" customHeight="1" x14ac:dyDescent="0.3">
      <c r="A585" s="37">
        <v>580</v>
      </c>
      <c r="B585" s="38" t="s">
        <v>336</v>
      </c>
      <c r="C585" s="38" t="s">
        <v>1376</v>
      </c>
      <c r="D585" s="38" t="s">
        <v>1377</v>
      </c>
      <c r="E585" s="38" t="s">
        <v>57</v>
      </c>
      <c r="F585" s="38" t="s">
        <v>900</v>
      </c>
      <c r="G585" s="39">
        <v>779.73</v>
      </c>
      <c r="H585" s="40">
        <v>10</v>
      </c>
      <c r="I585" s="37">
        <v>367000</v>
      </c>
      <c r="J585" s="41" t="s">
        <v>1371</v>
      </c>
      <c r="K585" s="42">
        <v>2020</v>
      </c>
    </row>
    <row r="586" spans="1:11" ht="15" customHeight="1" x14ac:dyDescent="0.3">
      <c r="A586" s="31">
        <v>581</v>
      </c>
      <c r="B586" s="32" t="s">
        <v>336</v>
      </c>
      <c r="C586" s="32" t="s">
        <v>1378</v>
      </c>
      <c r="D586" s="32" t="s">
        <v>1379</v>
      </c>
      <c r="E586" s="32" t="s">
        <v>37</v>
      </c>
      <c r="F586" s="32" t="s">
        <v>406</v>
      </c>
      <c r="G586" s="33">
        <v>869</v>
      </c>
      <c r="H586" s="34">
        <v>2</v>
      </c>
      <c r="I586" s="31">
        <v>153000</v>
      </c>
      <c r="J586" s="35" t="s">
        <v>1371</v>
      </c>
      <c r="K586" s="36">
        <v>2020</v>
      </c>
    </row>
    <row r="587" spans="1:11" ht="15" customHeight="1" x14ac:dyDescent="0.3">
      <c r="A587" s="37">
        <v>582</v>
      </c>
      <c r="B587" s="38" t="s">
        <v>336</v>
      </c>
      <c r="C587" s="38" t="s">
        <v>1380</v>
      </c>
      <c r="D587" s="38" t="s">
        <v>919</v>
      </c>
      <c r="E587" s="38" t="s">
        <v>37</v>
      </c>
      <c r="F587" s="38" t="s">
        <v>312</v>
      </c>
      <c r="G587" s="39">
        <v>440</v>
      </c>
      <c r="H587" s="40">
        <v>0.7</v>
      </c>
      <c r="I587" s="37">
        <v>137260</v>
      </c>
      <c r="J587" s="41" t="s">
        <v>1371</v>
      </c>
      <c r="K587" s="42">
        <v>2020</v>
      </c>
    </row>
    <row r="588" spans="1:11" ht="15" customHeight="1" x14ac:dyDescent="0.3">
      <c r="A588" s="31">
        <v>583</v>
      </c>
      <c r="B588" s="32" t="s">
        <v>336</v>
      </c>
      <c r="C588" s="32" t="s">
        <v>1381</v>
      </c>
      <c r="D588" s="32" t="s">
        <v>48</v>
      </c>
      <c r="E588" s="32" t="s">
        <v>35</v>
      </c>
      <c r="F588" s="32" t="s">
        <v>406</v>
      </c>
      <c r="G588" s="33">
        <v>696</v>
      </c>
      <c r="H588" s="34">
        <v>1.48</v>
      </c>
      <c r="I588" s="31">
        <v>137260</v>
      </c>
      <c r="J588" s="35" t="s">
        <v>1371</v>
      </c>
      <c r="K588" s="36">
        <v>2020</v>
      </c>
    </row>
    <row r="589" spans="1:11" ht="15" customHeight="1" x14ac:dyDescent="0.3">
      <c r="A589" s="37">
        <v>584</v>
      </c>
      <c r="B589" s="38" t="s">
        <v>336</v>
      </c>
      <c r="C589" s="38" t="s">
        <v>1382</v>
      </c>
      <c r="D589" s="38" t="s">
        <v>1383</v>
      </c>
      <c r="E589" s="38" t="s">
        <v>1384</v>
      </c>
      <c r="F589" s="38" t="s">
        <v>693</v>
      </c>
      <c r="G589" s="39">
        <v>420</v>
      </c>
      <c r="H589" s="40">
        <v>1.1200000000000001</v>
      </c>
      <c r="I589" s="37">
        <v>137260</v>
      </c>
      <c r="J589" s="41" t="s">
        <v>1371</v>
      </c>
      <c r="K589" s="42">
        <v>2020</v>
      </c>
    </row>
    <row r="590" spans="1:11" ht="15" customHeight="1" x14ac:dyDescent="0.3">
      <c r="A590" s="31">
        <v>585</v>
      </c>
      <c r="B590" s="32" t="s">
        <v>336</v>
      </c>
      <c r="C590" s="32" t="s">
        <v>1385</v>
      </c>
      <c r="D590" s="32" t="s">
        <v>1386</v>
      </c>
      <c r="E590" s="32" t="s">
        <v>1387</v>
      </c>
      <c r="F590" s="32" t="s">
        <v>1388</v>
      </c>
      <c r="G590" s="33">
        <v>510</v>
      </c>
      <c r="H590" s="34">
        <v>1.32</v>
      </c>
      <c r="I590" s="31">
        <v>127000</v>
      </c>
      <c r="J590" s="35" t="s">
        <v>1371</v>
      </c>
      <c r="K590" s="36">
        <v>2020</v>
      </c>
    </row>
    <row r="591" spans="1:11" ht="15" customHeight="1" x14ac:dyDescent="0.3">
      <c r="A591" s="37">
        <v>586</v>
      </c>
      <c r="B591" s="38" t="s">
        <v>336</v>
      </c>
      <c r="C591" s="38" t="s">
        <v>1389</v>
      </c>
      <c r="D591" s="38" t="s">
        <v>1390</v>
      </c>
      <c r="E591" s="38" t="s">
        <v>1391</v>
      </c>
      <c r="F591" s="38" t="s">
        <v>312</v>
      </c>
      <c r="G591" s="39">
        <v>162</v>
      </c>
      <c r="H591" s="40">
        <v>0.54</v>
      </c>
      <c r="I591" s="37">
        <v>127000</v>
      </c>
      <c r="J591" s="41" t="s">
        <v>1371</v>
      </c>
      <c r="K591" s="42">
        <v>2020</v>
      </c>
    </row>
    <row r="592" spans="1:11" ht="15" customHeight="1" x14ac:dyDescent="0.3">
      <c r="A592" s="31">
        <v>587</v>
      </c>
      <c r="B592" s="32" t="s">
        <v>336</v>
      </c>
      <c r="C592" s="32" t="s">
        <v>1392</v>
      </c>
      <c r="D592" s="32" t="s">
        <v>573</v>
      </c>
      <c r="E592" s="32" t="s">
        <v>574</v>
      </c>
      <c r="F592" s="32" t="s">
        <v>1393</v>
      </c>
      <c r="G592" s="33">
        <v>4580</v>
      </c>
      <c r="H592" s="34">
        <v>3.9</v>
      </c>
      <c r="I592" s="31">
        <v>237000</v>
      </c>
      <c r="J592" s="35" t="s">
        <v>1371</v>
      </c>
      <c r="K592" s="36">
        <v>2020</v>
      </c>
    </row>
    <row r="593" spans="1:11" ht="15" customHeight="1" x14ac:dyDescent="0.3">
      <c r="A593" s="37">
        <v>588</v>
      </c>
      <c r="B593" s="38" t="s">
        <v>336</v>
      </c>
      <c r="C593" s="38" t="s">
        <v>1394</v>
      </c>
      <c r="D593" s="38" t="s">
        <v>1395</v>
      </c>
      <c r="E593" s="38" t="s">
        <v>1396</v>
      </c>
      <c r="F593" s="38" t="s">
        <v>312</v>
      </c>
      <c r="G593" s="39">
        <v>156</v>
      </c>
      <c r="H593" s="40">
        <v>1.19</v>
      </c>
      <c r="I593" s="37">
        <v>127000</v>
      </c>
      <c r="J593" s="41" t="s">
        <v>1371</v>
      </c>
      <c r="K593" s="42">
        <v>2020</v>
      </c>
    </row>
    <row r="594" spans="1:11" ht="15" customHeight="1" x14ac:dyDescent="0.3">
      <c r="A594" s="31">
        <v>589</v>
      </c>
      <c r="B594" s="32" t="s">
        <v>336</v>
      </c>
      <c r="C594" s="32" t="s">
        <v>1397</v>
      </c>
      <c r="D594" s="32" t="s">
        <v>691</v>
      </c>
      <c r="E594" s="32" t="s">
        <v>1398</v>
      </c>
      <c r="F594" s="32" t="s">
        <v>276</v>
      </c>
      <c r="G594" s="33">
        <v>223</v>
      </c>
      <c r="H594" s="34">
        <v>2</v>
      </c>
      <c r="I594" s="31">
        <v>163260</v>
      </c>
      <c r="J594" s="35" t="s">
        <v>1371</v>
      </c>
      <c r="K594" s="36">
        <v>2020</v>
      </c>
    </row>
    <row r="595" spans="1:11" ht="15" customHeight="1" x14ac:dyDescent="0.3">
      <c r="A595" s="37">
        <v>590</v>
      </c>
      <c r="B595" s="38" t="s">
        <v>336</v>
      </c>
      <c r="C595" s="38" t="s">
        <v>1399</v>
      </c>
      <c r="D595" s="38" t="s">
        <v>89</v>
      </c>
      <c r="E595" s="38" t="s">
        <v>43</v>
      </c>
      <c r="F595" s="38" t="s">
        <v>386</v>
      </c>
      <c r="G595" s="39">
        <v>1940</v>
      </c>
      <c r="H595" s="40">
        <v>2.52</v>
      </c>
      <c r="I595" s="37">
        <v>191260</v>
      </c>
      <c r="J595" s="41" t="s">
        <v>1371</v>
      </c>
      <c r="K595" s="42">
        <v>2020</v>
      </c>
    </row>
    <row r="596" spans="1:11" ht="15" customHeight="1" x14ac:dyDescent="0.3">
      <c r="A596" s="31">
        <v>591</v>
      </c>
      <c r="B596" s="32" t="s">
        <v>336</v>
      </c>
      <c r="C596" s="32" t="s">
        <v>1400</v>
      </c>
      <c r="D596" s="32" t="s">
        <v>1401</v>
      </c>
      <c r="E596" s="32" t="s">
        <v>1402</v>
      </c>
      <c r="F596" s="32" t="s">
        <v>373</v>
      </c>
      <c r="G596" s="33">
        <v>190</v>
      </c>
      <c r="H596" s="34">
        <v>1.24</v>
      </c>
      <c r="I596" s="31">
        <v>137260</v>
      </c>
      <c r="J596" s="35" t="s">
        <v>1371</v>
      </c>
      <c r="K596" s="36">
        <v>2020</v>
      </c>
    </row>
    <row r="597" spans="1:11" ht="15" customHeight="1" x14ac:dyDescent="0.3">
      <c r="A597" s="37">
        <v>592</v>
      </c>
      <c r="B597" s="38" t="s">
        <v>1039</v>
      </c>
      <c r="C597" s="38" t="s">
        <v>1403</v>
      </c>
      <c r="D597" s="38" t="s">
        <v>393</v>
      </c>
      <c r="E597" s="38" t="s">
        <v>394</v>
      </c>
      <c r="F597" s="38" t="s">
        <v>312</v>
      </c>
      <c r="G597" s="39">
        <v>655</v>
      </c>
      <c r="H597" s="40">
        <v>2.2570000000000001</v>
      </c>
      <c r="I597" s="37">
        <v>163260</v>
      </c>
      <c r="J597" s="41" t="s">
        <v>1404</v>
      </c>
      <c r="K597" s="42">
        <v>2020</v>
      </c>
    </row>
    <row r="598" spans="1:11" ht="15" customHeight="1" x14ac:dyDescent="0.3">
      <c r="A598" s="31">
        <v>593</v>
      </c>
      <c r="B598" s="32" t="s">
        <v>1039</v>
      </c>
      <c r="C598" s="32" t="s">
        <v>1405</v>
      </c>
      <c r="D598" s="32" t="s">
        <v>1406</v>
      </c>
      <c r="E598" s="32" t="s">
        <v>1407</v>
      </c>
      <c r="F598" s="32" t="s">
        <v>689</v>
      </c>
      <c r="G598" s="33">
        <v>1277</v>
      </c>
      <c r="H598" s="34">
        <v>12.672000000000001</v>
      </c>
      <c r="I598" s="31">
        <v>377260</v>
      </c>
      <c r="J598" s="35" t="s">
        <v>1404</v>
      </c>
      <c r="K598" s="36">
        <v>2020</v>
      </c>
    </row>
    <row r="599" spans="1:11" ht="15" customHeight="1" x14ac:dyDescent="0.3">
      <c r="A599" s="37">
        <v>594</v>
      </c>
      <c r="B599" s="38" t="s">
        <v>1039</v>
      </c>
      <c r="C599" s="38" t="s">
        <v>1408</v>
      </c>
      <c r="D599" s="38" t="s">
        <v>1409</v>
      </c>
      <c r="E599" s="38" t="s">
        <v>1410</v>
      </c>
      <c r="F599" s="38" t="s">
        <v>276</v>
      </c>
      <c r="G599" s="39">
        <v>129.33000000000001</v>
      </c>
      <c r="H599" s="40">
        <v>0.59799999999999998</v>
      </c>
      <c r="I599" s="37">
        <v>137260</v>
      </c>
      <c r="J599" s="41" t="s">
        <v>1404</v>
      </c>
      <c r="K599" s="42">
        <v>2020</v>
      </c>
    </row>
    <row r="600" spans="1:11" ht="15" customHeight="1" x14ac:dyDescent="0.3">
      <c r="A600" s="31">
        <v>595</v>
      </c>
      <c r="B600" s="32" t="s">
        <v>1039</v>
      </c>
      <c r="C600" s="32" t="s">
        <v>1411</v>
      </c>
      <c r="D600" s="32" t="s">
        <v>1412</v>
      </c>
      <c r="E600" s="32" t="s">
        <v>1413</v>
      </c>
      <c r="F600" s="32" t="s">
        <v>276</v>
      </c>
      <c r="G600" s="33">
        <v>1200</v>
      </c>
      <c r="H600" s="34">
        <v>2</v>
      </c>
      <c r="I600" s="31">
        <v>163260</v>
      </c>
      <c r="J600" s="35" t="s">
        <v>1404</v>
      </c>
      <c r="K600" s="36">
        <v>2020</v>
      </c>
    </row>
    <row r="601" spans="1:11" ht="15" customHeight="1" x14ac:dyDescent="0.3">
      <c r="A601" s="37">
        <v>596</v>
      </c>
      <c r="B601" s="38" t="s">
        <v>1039</v>
      </c>
      <c r="C601" s="38" t="s">
        <v>1414</v>
      </c>
      <c r="D601" s="38" t="s">
        <v>1316</v>
      </c>
      <c r="E601" s="38" t="s">
        <v>1415</v>
      </c>
      <c r="F601" s="38" t="s">
        <v>1388</v>
      </c>
      <c r="G601" s="39">
        <v>105</v>
      </c>
      <c r="H601" s="40">
        <v>0.91200000000000003</v>
      </c>
      <c r="I601" s="37">
        <v>127000</v>
      </c>
      <c r="J601" s="41" t="s">
        <v>1404</v>
      </c>
      <c r="K601" s="42">
        <v>2020</v>
      </c>
    </row>
    <row r="602" spans="1:11" ht="15" customHeight="1" x14ac:dyDescent="0.3">
      <c r="A602" s="31">
        <v>597</v>
      </c>
      <c r="B602" s="32" t="s">
        <v>1039</v>
      </c>
      <c r="C602" s="32" t="s">
        <v>1416</v>
      </c>
      <c r="D602" s="32" t="s">
        <v>1216</v>
      </c>
      <c r="E602" s="32" t="s">
        <v>776</v>
      </c>
      <c r="F602" s="32" t="s">
        <v>276</v>
      </c>
      <c r="G602" s="33">
        <v>1268</v>
      </c>
      <c r="H602" s="34">
        <v>4</v>
      </c>
      <c r="I602" s="31">
        <v>219260</v>
      </c>
      <c r="J602" s="35" t="s">
        <v>1404</v>
      </c>
      <c r="K602" s="36">
        <v>2020</v>
      </c>
    </row>
    <row r="603" spans="1:11" ht="15" customHeight="1" x14ac:dyDescent="0.3">
      <c r="A603" s="37">
        <v>598</v>
      </c>
      <c r="B603" s="38" t="s">
        <v>1039</v>
      </c>
      <c r="C603" s="38" t="s">
        <v>1417</v>
      </c>
      <c r="D603" s="38" t="s">
        <v>1418</v>
      </c>
      <c r="E603" s="38" t="s">
        <v>39</v>
      </c>
      <c r="F603" s="38" t="s">
        <v>373</v>
      </c>
      <c r="G603" s="39">
        <v>1245</v>
      </c>
      <c r="H603" s="40">
        <v>4</v>
      </c>
      <c r="I603" s="37">
        <v>219260</v>
      </c>
      <c r="J603" s="41" t="s">
        <v>1404</v>
      </c>
      <c r="K603" s="42">
        <v>2020</v>
      </c>
    </row>
    <row r="604" spans="1:11" ht="15" customHeight="1" x14ac:dyDescent="0.3">
      <c r="A604" s="31">
        <v>599</v>
      </c>
      <c r="B604" s="32" t="s">
        <v>1039</v>
      </c>
      <c r="C604" s="32" t="s">
        <v>1419</v>
      </c>
      <c r="D604" s="32" t="s">
        <v>573</v>
      </c>
      <c r="E604" s="32" t="s">
        <v>574</v>
      </c>
      <c r="F604" s="32" t="s">
        <v>312</v>
      </c>
      <c r="G604" s="33">
        <v>1055</v>
      </c>
      <c r="H604" s="34">
        <v>1.0920000000000001</v>
      </c>
      <c r="I604" s="31">
        <v>127000</v>
      </c>
      <c r="J604" s="35" t="s">
        <v>1404</v>
      </c>
      <c r="K604" s="36">
        <v>2020</v>
      </c>
    </row>
    <row r="605" spans="1:11" ht="15" customHeight="1" x14ac:dyDescent="0.3">
      <c r="A605" s="37">
        <v>600</v>
      </c>
      <c r="B605" s="38" t="s">
        <v>1039</v>
      </c>
      <c r="C605" s="38" t="s">
        <v>1420</v>
      </c>
      <c r="D605" s="38" t="s">
        <v>64</v>
      </c>
      <c r="E605" s="38" t="s">
        <v>47</v>
      </c>
      <c r="F605" s="38" t="s">
        <v>276</v>
      </c>
      <c r="G605" s="39">
        <v>1140</v>
      </c>
      <c r="H605" s="40">
        <v>1.375</v>
      </c>
      <c r="I605" s="37">
        <v>127000</v>
      </c>
      <c r="J605" s="41" t="s">
        <v>1404</v>
      </c>
      <c r="K605" s="42">
        <v>2020</v>
      </c>
    </row>
    <row r="606" spans="1:11" ht="15" customHeight="1" x14ac:dyDescent="0.3">
      <c r="A606" s="31">
        <v>601</v>
      </c>
      <c r="B606" s="32" t="s">
        <v>1039</v>
      </c>
      <c r="C606" s="32" t="s">
        <v>1421</v>
      </c>
      <c r="D606" s="32" t="s">
        <v>38</v>
      </c>
      <c r="E606" s="32" t="s">
        <v>51</v>
      </c>
      <c r="F606" s="32" t="s">
        <v>373</v>
      </c>
      <c r="G606" s="33">
        <v>310</v>
      </c>
      <c r="H606" s="34">
        <v>1.044</v>
      </c>
      <c r="I606" s="31">
        <v>127000</v>
      </c>
      <c r="J606" s="35" t="s">
        <v>1404</v>
      </c>
      <c r="K606" s="36">
        <v>2020</v>
      </c>
    </row>
    <row r="607" spans="1:11" ht="15" customHeight="1" x14ac:dyDescent="0.3">
      <c r="A607" s="37">
        <v>602</v>
      </c>
      <c r="B607" s="38" t="s">
        <v>1059</v>
      </c>
      <c r="C607" s="38" t="s">
        <v>1422</v>
      </c>
      <c r="D607" s="38" t="s">
        <v>841</v>
      </c>
      <c r="E607" s="38" t="s">
        <v>37</v>
      </c>
      <c r="F607" s="38" t="s">
        <v>693</v>
      </c>
      <c r="G607" s="39">
        <v>1867</v>
      </c>
      <c r="H607" s="40">
        <v>8.2460000000000004</v>
      </c>
      <c r="I607" s="37">
        <v>323260</v>
      </c>
      <c r="J607" s="41" t="s">
        <v>1404</v>
      </c>
      <c r="K607" s="42">
        <v>2020</v>
      </c>
    </row>
    <row r="608" spans="1:11" ht="15" customHeight="1" x14ac:dyDescent="0.3">
      <c r="A608" s="31">
        <v>603</v>
      </c>
      <c r="B608" s="32" t="s">
        <v>1059</v>
      </c>
      <c r="C608" s="32" t="s">
        <v>1423</v>
      </c>
      <c r="D608" s="32" t="s">
        <v>1424</v>
      </c>
      <c r="E608" s="32" t="s">
        <v>1425</v>
      </c>
      <c r="F608" s="32" t="s">
        <v>406</v>
      </c>
      <c r="G608" s="33">
        <v>243</v>
      </c>
      <c r="H608" s="34">
        <v>1.18</v>
      </c>
      <c r="I608" s="31">
        <v>137260</v>
      </c>
      <c r="J608" s="35" t="s">
        <v>1404</v>
      </c>
      <c r="K608" s="36">
        <v>2020</v>
      </c>
    </row>
    <row r="609" spans="1:11" ht="15" customHeight="1" x14ac:dyDescent="0.3">
      <c r="A609" s="37">
        <v>604</v>
      </c>
      <c r="B609" s="38" t="s">
        <v>1059</v>
      </c>
      <c r="C609" s="38" t="s">
        <v>1426</v>
      </c>
      <c r="D609" s="38" t="s">
        <v>60</v>
      </c>
      <c r="E609" s="38" t="s">
        <v>37</v>
      </c>
      <c r="F609" s="38" t="s">
        <v>276</v>
      </c>
      <c r="G609" s="39">
        <v>174</v>
      </c>
      <c r="H609" s="40">
        <v>0.21</v>
      </c>
      <c r="I609" s="37">
        <v>137260</v>
      </c>
      <c r="J609" s="41" t="s">
        <v>1404</v>
      </c>
      <c r="K609" s="42">
        <v>2020</v>
      </c>
    </row>
    <row r="610" spans="1:11" ht="15" customHeight="1" x14ac:dyDescent="0.3">
      <c r="A610" s="31">
        <v>605</v>
      </c>
      <c r="B610" s="32" t="s">
        <v>1059</v>
      </c>
      <c r="C610" s="32" t="s">
        <v>1427</v>
      </c>
      <c r="D610" s="32" t="s">
        <v>1428</v>
      </c>
      <c r="E610" s="32" t="s">
        <v>1429</v>
      </c>
      <c r="F610" s="32" t="s">
        <v>276</v>
      </c>
      <c r="G610" s="33">
        <v>118.84</v>
      </c>
      <c r="H610" s="34">
        <v>1.07</v>
      </c>
      <c r="I610" s="31">
        <v>137260</v>
      </c>
      <c r="J610" s="35" t="s">
        <v>1404</v>
      </c>
      <c r="K610" s="36">
        <v>2020</v>
      </c>
    </row>
    <row r="611" spans="1:11" ht="15" customHeight="1" x14ac:dyDescent="0.3">
      <c r="A611" s="37">
        <v>606</v>
      </c>
      <c r="B611" s="38" t="s">
        <v>1059</v>
      </c>
      <c r="C611" s="38" t="s">
        <v>1430</v>
      </c>
      <c r="D611" s="38" t="s">
        <v>647</v>
      </c>
      <c r="E611" s="38" t="s">
        <v>648</v>
      </c>
      <c r="F611" s="38" t="s">
        <v>312</v>
      </c>
      <c r="G611" s="39">
        <v>336</v>
      </c>
      <c r="H611" s="40">
        <v>3</v>
      </c>
      <c r="I611" s="37">
        <v>191260</v>
      </c>
      <c r="J611" s="41" t="s">
        <v>1404</v>
      </c>
      <c r="K611" s="42">
        <v>2020</v>
      </c>
    </row>
    <row r="612" spans="1:11" ht="15" customHeight="1" x14ac:dyDescent="0.3">
      <c r="A612" s="31">
        <v>607</v>
      </c>
      <c r="B612" s="32" t="s">
        <v>1059</v>
      </c>
      <c r="C612" s="32" t="s">
        <v>1431</v>
      </c>
      <c r="D612" s="32" t="s">
        <v>1432</v>
      </c>
      <c r="E612" s="32" t="s">
        <v>1433</v>
      </c>
      <c r="F612" s="32" t="s">
        <v>306</v>
      </c>
      <c r="G612" s="33">
        <v>220</v>
      </c>
      <c r="H612" s="34">
        <v>1.3</v>
      </c>
      <c r="I612" s="31">
        <v>137260</v>
      </c>
      <c r="J612" s="35" t="s">
        <v>1404</v>
      </c>
      <c r="K612" s="36">
        <v>2020</v>
      </c>
    </row>
    <row r="613" spans="1:11" ht="15" customHeight="1" x14ac:dyDescent="0.3">
      <c r="A613" s="37">
        <v>608</v>
      </c>
      <c r="B613" s="38" t="s">
        <v>1059</v>
      </c>
      <c r="C613" s="38" t="s">
        <v>1434</v>
      </c>
      <c r="D613" s="38" t="s">
        <v>1435</v>
      </c>
      <c r="E613" s="38" t="s">
        <v>39</v>
      </c>
      <c r="F613" s="38" t="s">
        <v>386</v>
      </c>
      <c r="G613" s="39">
        <v>2259</v>
      </c>
      <c r="H613" s="40">
        <v>6</v>
      </c>
      <c r="I613" s="37">
        <v>275260</v>
      </c>
      <c r="J613" s="41" t="s">
        <v>1404</v>
      </c>
      <c r="K613" s="42">
        <v>2020</v>
      </c>
    </row>
    <row r="614" spans="1:11" ht="15" customHeight="1" x14ac:dyDescent="0.3">
      <c r="A614" s="31">
        <v>609</v>
      </c>
      <c r="B614" s="32" t="s">
        <v>1059</v>
      </c>
      <c r="C614" s="32" t="s">
        <v>1436</v>
      </c>
      <c r="D614" s="32" t="s">
        <v>1437</v>
      </c>
      <c r="E614" s="32" t="s">
        <v>1438</v>
      </c>
      <c r="F614" s="32" t="s">
        <v>316</v>
      </c>
      <c r="G614" s="33">
        <v>1034</v>
      </c>
      <c r="H614" s="34">
        <v>2</v>
      </c>
      <c r="I614" s="31">
        <v>163260</v>
      </c>
      <c r="J614" s="35" t="s">
        <v>1404</v>
      </c>
      <c r="K614" s="36">
        <v>2020</v>
      </c>
    </row>
    <row r="615" spans="1:11" ht="15" customHeight="1" x14ac:dyDescent="0.3">
      <c r="A615" s="37">
        <v>610</v>
      </c>
      <c r="B615" s="38" t="s">
        <v>1059</v>
      </c>
      <c r="C615" s="38" t="s">
        <v>1439</v>
      </c>
      <c r="D615" s="38" t="s">
        <v>1440</v>
      </c>
      <c r="E615" s="38" t="s">
        <v>39</v>
      </c>
      <c r="F615" s="38" t="s">
        <v>312</v>
      </c>
      <c r="G615" s="39">
        <v>280</v>
      </c>
      <c r="H615" s="40">
        <v>0.39</v>
      </c>
      <c r="I615" s="37">
        <v>137260</v>
      </c>
      <c r="J615" s="41" t="s">
        <v>1404</v>
      </c>
      <c r="K615" s="42">
        <v>2020</v>
      </c>
    </row>
    <row r="616" spans="1:11" ht="15" customHeight="1" x14ac:dyDescent="0.3">
      <c r="A616" s="31">
        <v>611</v>
      </c>
      <c r="B616" s="32" t="s">
        <v>1059</v>
      </c>
      <c r="C616" s="32" t="s">
        <v>1441</v>
      </c>
      <c r="D616" s="32" t="s">
        <v>89</v>
      </c>
      <c r="E616" s="32" t="s">
        <v>43</v>
      </c>
      <c r="F616" s="32" t="s">
        <v>287</v>
      </c>
      <c r="G616" s="33">
        <v>580</v>
      </c>
      <c r="H616" s="34">
        <v>5</v>
      </c>
      <c r="I616" s="31">
        <v>247260</v>
      </c>
      <c r="J616" s="35" t="s">
        <v>1404</v>
      </c>
      <c r="K616" s="36">
        <v>2020</v>
      </c>
    </row>
    <row r="617" spans="1:11" ht="15" customHeight="1" x14ac:dyDescent="0.3">
      <c r="A617" s="37">
        <v>612</v>
      </c>
      <c r="B617" s="38" t="s">
        <v>1059</v>
      </c>
      <c r="C617" s="38" t="s">
        <v>1442</v>
      </c>
      <c r="D617" s="38" t="s">
        <v>679</v>
      </c>
      <c r="E617" s="38" t="s">
        <v>1443</v>
      </c>
      <c r="F617" s="38" t="s">
        <v>287</v>
      </c>
      <c r="G617" s="39">
        <v>1260</v>
      </c>
      <c r="H617" s="40">
        <v>5</v>
      </c>
      <c r="I617" s="37">
        <v>247260</v>
      </c>
      <c r="J617" s="41" t="s">
        <v>1404</v>
      </c>
      <c r="K617" s="42">
        <v>2020</v>
      </c>
    </row>
    <row r="618" spans="1:11" ht="15" customHeight="1" x14ac:dyDescent="0.3">
      <c r="A618" s="31">
        <v>613</v>
      </c>
      <c r="B618" s="32" t="s">
        <v>1059</v>
      </c>
      <c r="C618" s="32" t="s">
        <v>1444</v>
      </c>
      <c r="D618" s="32" t="s">
        <v>1445</v>
      </c>
      <c r="E618" s="32" t="s">
        <v>1446</v>
      </c>
      <c r="F618" s="32" t="s">
        <v>373</v>
      </c>
      <c r="G618" s="33">
        <v>1830</v>
      </c>
      <c r="H618" s="34">
        <v>6</v>
      </c>
      <c r="I618" s="31">
        <v>275260</v>
      </c>
      <c r="J618" s="35" t="s">
        <v>1404</v>
      </c>
      <c r="K618" s="36">
        <v>2020</v>
      </c>
    </row>
    <row r="619" spans="1:11" ht="15" customHeight="1" x14ac:dyDescent="0.3">
      <c r="A619" s="37">
        <v>614</v>
      </c>
      <c r="B619" s="38" t="s">
        <v>1059</v>
      </c>
      <c r="C619" s="38" t="s">
        <v>1447</v>
      </c>
      <c r="D619" s="38" t="s">
        <v>1448</v>
      </c>
      <c r="E619" s="38" t="s">
        <v>47</v>
      </c>
      <c r="F619" s="38" t="s">
        <v>276</v>
      </c>
      <c r="G619" s="39">
        <v>352</v>
      </c>
      <c r="H619" s="40">
        <v>1.07</v>
      </c>
      <c r="I619" s="37">
        <v>127000</v>
      </c>
      <c r="J619" s="41" t="s">
        <v>1404</v>
      </c>
      <c r="K619" s="42">
        <v>2020</v>
      </c>
    </row>
    <row r="620" spans="1:11" ht="15" customHeight="1" x14ac:dyDescent="0.3">
      <c r="A620" s="31">
        <v>615</v>
      </c>
      <c r="B620" s="32" t="s">
        <v>1059</v>
      </c>
      <c r="C620" s="32" t="s">
        <v>1449</v>
      </c>
      <c r="D620" s="32" t="s">
        <v>1450</v>
      </c>
      <c r="E620" s="32" t="s">
        <v>1451</v>
      </c>
      <c r="F620" s="32" t="s">
        <v>312</v>
      </c>
      <c r="G620" s="33">
        <v>412</v>
      </c>
      <c r="H620" s="34">
        <v>0.72</v>
      </c>
      <c r="I620" s="31">
        <v>137260</v>
      </c>
      <c r="J620" s="35" t="s">
        <v>1404</v>
      </c>
      <c r="K620" s="36">
        <v>2020</v>
      </c>
    </row>
    <row r="621" spans="1:11" ht="15" customHeight="1" x14ac:dyDescent="0.3">
      <c r="A621" s="37">
        <v>616</v>
      </c>
      <c r="B621" s="38" t="s">
        <v>1059</v>
      </c>
      <c r="C621" s="38" t="s">
        <v>1452</v>
      </c>
      <c r="D621" s="38" t="s">
        <v>793</v>
      </c>
      <c r="E621" s="38" t="s">
        <v>215</v>
      </c>
      <c r="F621" s="38" t="s">
        <v>276</v>
      </c>
      <c r="G621" s="39">
        <v>109.6</v>
      </c>
      <c r="H621" s="40">
        <v>0.28000000000000003</v>
      </c>
      <c r="I621" s="37">
        <v>127000</v>
      </c>
      <c r="J621" s="41" t="s">
        <v>1404</v>
      </c>
      <c r="K621" s="42">
        <v>2020</v>
      </c>
    </row>
    <row r="622" spans="1:11" ht="15" customHeight="1" x14ac:dyDescent="0.3">
      <c r="A622" s="31">
        <v>617</v>
      </c>
      <c r="B622" s="32" t="s">
        <v>1059</v>
      </c>
      <c r="C622" s="32" t="s">
        <v>1453</v>
      </c>
      <c r="D622" s="32" t="s">
        <v>1454</v>
      </c>
      <c r="E622" s="32" t="s">
        <v>1455</v>
      </c>
      <c r="F622" s="32" t="s">
        <v>306</v>
      </c>
      <c r="G622" s="33">
        <v>636</v>
      </c>
      <c r="H622" s="34">
        <v>1.02</v>
      </c>
      <c r="I622" s="31">
        <v>127000</v>
      </c>
      <c r="J622" s="35" t="s">
        <v>1404</v>
      </c>
      <c r="K622" s="36">
        <v>2020</v>
      </c>
    </row>
    <row r="623" spans="1:11" ht="15" customHeight="1" x14ac:dyDescent="0.3">
      <c r="A623" s="37">
        <v>618</v>
      </c>
      <c r="B623" s="38" t="s">
        <v>313</v>
      </c>
      <c r="C623" s="38" t="s">
        <v>1456</v>
      </c>
      <c r="D623" s="38" t="s">
        <v>1457</v>
      </c>
      <c r="E623" s="38" t="s">
        <v>1458</v>
      </c>
      <c r="F623" s="38" t="s">
        <v>276</v>
      </c>
      <c r="G623" s="39">
        <v>319</v>
      </c>
      <c r="H623" s="40">
        <v>1.1040000000000001</v>
      </c>
      <c r="I623" s="37">
        <v>127000</v>
      </c>
      <c r="J623" s="41" t="s">
        <v>1404</v>
      </c>
      <c r="K623" s="42">
        <v>2020</v>
      </c>
    </row>
    <row r="624" spans="1:11" ht="15" customHeight="1" x14ac:dyDescent="0.3">
      <c r="A624" s="31">
        <v>619</v>
      </c>
      <c r="B624" s="32" t="s">
        <v>313</v>
      </c>
      <c r="C624" s="32" t="s">
        <v>1459</v>
      </c>
      <c r="D624" s="32" t="s">
        <v>855</v>
      </c>
      <c r="E624" s="32" t="s">
        <v>35</v>
      </c>
      <c r="F624" s="32" t="s">
        <v>335</v>
      </c>
      <c r="G624" s="33">
        <v>6234</v>
      </c>
      <c r="H624" s="34">
        <v>1.0760000000000001</v>
      </c>
      <c r="I624" s="31">
        <v>275260</v>
      </c>
      <c r="J624" s="35" t="s">
        <v>1404</v>
      </c>
      <c r="K624" s="36">
        <v>2020</v>
      </c>
    </row>
    <row r="625" spans="1:11" ht="15" customHeight="1" x14ac:dyDescent="0.3">
      <c r="A625" s="37">
        <v>620</v>
      </c>
      <c r="B625" s="38" t="s">
        <v>313</v>
      </c>
      <c r="C625" s="38" t="s">
        <v>1460</v>
      </c>
      <c r="D625" s="38" t="s">
        <v>803</v>
      </c>
      <c r="E625" s="38" t="s">
        <v>804</v>
      </c>
      <c r="F625" s="38" t="s">
        <v>402</v>
      </c>
      <c r="G625" s="39">
        <v>2556.92</v>
      </c>
      <c r="H625" s="40">
        <v>4</v>
      </c>
      <c r="I625" s="37">
        <v>209000</v>
      </c>
      <c r="J625" s="41" t="s">
        <v>1404</v>
      </c>
      <c r="K625" s="42">
        <v>2020</v>
      </c>
    </row>
    <row r="626" spans="1:11" ht="15" customHeight="1" x14ac:dyDescent="0.3">
      <c r="A626" s="31">
        <v>621</v>
      </c>
      <c r="B626" s="32" t="s">
        <v>313</v>
      </c>
      <c r="C626" s="32" t="s">
        <v>1461</v>
      </c>
      <c r="D626" s="32" t="s">
        <v>978</v>
      </c>
      <c r="E626" s="32" t="s">
        <v>979</v>
      </c>
      <c r="F626" s="32" t="s">
        <v>395</v>
      </c>
      <c r="G626" s="33">
        <v>3823</v>
      </c>
      <c r="H626" s="34">
        <v>16.32</v>
      </c>
      <c r="I626" s="31">
        <v>377260</v>
      </c>
      <c r="J626" s="35" t="s">
        <v>1404</v>
      </c>
      <c r="K626" s="36">
        <v>2020</v>
      </c>
    </row>
    <row r="627" spans="1:11" ht="15" customHeight="1" x14ac:dyDescent="0.3">
      <c r="A627" s="37">
        <v>622</v>
      </c>
      <c r="B627" s="38" t="s">
        <v>313</v>
      </c>
      <c r="C627" s="38" t="s">
        <v>1462</v>
      </c>
      <c r="D627" s="38" t="s">
        <v>859</v>
      </c>
      <c r="E627" s="38" t="s">
        <v>372</v>
      </c>
      <c r="F627" s="38" t="s">
        <v>1359</v>
      </c>
      <c r="G627" s="39">
        <v>535</v>
      </c>
      <c r="H627" s="40">
        <v>0.99</v>
      </c>
      <c r="I627" s="37">
        <v>137260</v>
      </c>
      <c r="J627" s="41" t="s">
        <v>1404</v>
      </c>
      <c r="K627" s="42">
        <v>2020</v>
      </c>
    </row>
    <row r="628" spans="1:11" ht="15" customHeight="1" x14ac:dyDescent="0.3">
      <c r="A628" s="31">
        <v>623</v>
      </c>
      <c r="B628" s="32" t="s">
        <v>313</v>
      </c>
      <c r="C628" s="32" t="s">
        <v>1463</v>
      </c>
      <c r="D628" s="32" t="s">
        <v>1464</v>
      </c>
      <c r="E628" s="32" t="s">
        <v>55</v>
      </c>
      <c r="F628" s="32" t="s">
        <v>316</v>
      </c>
      <c r="G628" s="33">
        <v>721</v>
      </c>
      <c r="H628" s="34">
        <v>2.46</v>
      </c>
      <c r="I628" s="31">
        <v>153000</v>
      </c>
      <c r="J628" s="35" t="s">
        <v>1404</v>
      </c>
      <c r="K628" s="36">
        <v>2020</v>
      </c>
    </row>
    <row r="629" spans="1:11" ht="15" customHeight="1" x14ac:dyDescent="0.3">
      <c r="A629" s="37">
        <v>624</v>
      </c>
      <c r="B629" s="38" t="s">
        <v>313</v>
      </c>
      <c r="C629" s="38" t="s">
        <v>1465</v>
      </c>
      <c r="D629" s="38" t="s">
        <v>691</v>
      </c>
      <c r="E629" s="38" t="s">
        <v>1466</v>
      </c>
      <c r="F629" s="38" t="s">
        <v>373</v>
      </c>
      <c r="G629" s="39">
        <v>1432.8</v>
      </c>
      <c r="H629" s="40">
        <v>0.74199999999999999</v>
      </c>
      <c r="I629" s="37">
        <v>127000</v>
      </c>
      <c r="J629" s="41" t="s">
        <v>1404</v>
      </c>
      <c r="K629" s="42">
        <v>2020</v>
      </c>
    </row>
    <row r="630" spans="1:11" ht="15" customHeight="1" x14ac:dyDescent="0.3">
      <c r="A630" s="31">
        <v>625</v>
      </c>
      <c r="B630" s="32" t="s">
        <v>313</v>
      </c>
      <c r="C630" s="32" t="s">
        <v>1467</v>
      </c>
      <c r="D630" s="32" t="s">
        <v>691</v>
      </c>
      <c r="E630" s="32" t="s">
        <v>1018</v>
      </c>
      <c r="F630" s="32" t="s">
        <v>276</v>
      </c>
      <c r="G630" s="33">
        <v>552</v>
      </c>
      <c r="H630" s="34">
        <v>0.67200000000000004</v>
      </c>
      <c r="I630" s="31">
        <v>127000</v>
      </c>
      <c r="J630" s="35" t="s">
        <v>1404</v>
      </c>
      <c r="K630" s="36">
        <v>2020</v>
      </c>
    </row>
    <row r="631" spans="1:11" ht="15" customHeight="1" x14ac:dyDescent="0.3">
      <c r="A631" s="37">
        <v>626</v>
      </c>
      <c r="B631" s="38" t="s">
        <v>313</v>
      </c>
      <c r="C631" s="38" t="s">
        <v>1468</v>
      </c>
      <c r="D631" s="38" t="s">
        <v>1280</v>
      </c>
      <c r="E631" s="38" t="s">
        <v>1469</v>
      </c>
      <c r="F631" s="38" t="s">
        <v>435</v>
      </c>
      <c r="G631" s="39">
        <v>3330.5</v>
      </c>
      <c r="H631" s="40">
        <v>5</v>
      </c>
      <c r="I631" s="37">
        <v>247260</v>
      </c>
      <c r="J631" s="41" t="s">
        <v>1404</v>
      </c>
      <c r="K631" s="42">
        <v>2020</v>
      </c>
    </row>
    <row r="632" spans="1:11" ht="15" customHeight="1" x14ac:dyDescent="0.3">
      <c r="A632" s="31">
        <v>627</v>
      </c>
      <c r="B632" s="32" t="s">
        <v>313</v>
      </c>
      <c r="C632" s="32" t="s">
        <v>1470</v>
      </c>
      <c r="D632" s="32" t="s">
        <v>538</v>
      </c>
      <c r="E632" s="32" t="s">
        <v>37</v>
      </c>
      <c r="F632" s="32" t="s">
        <v>287</v>
      </c>
      <c r="G632" s="33">
        <v>490</v>
      </c>
      <c r="H632" s="34">
        <v>1.488</v>
      </c>
      <c r="I632" s="31">
        <v>137260</v>
      </c>
      <c r="J632" s="35" t="s">
        <v>1404</v>
      </c>
      <c r="K632" s="36">
        <v>2020</v>
      </c>
    </row>
    <row r="633" spans="1:11" ht="15" customHeight="1" x14ac:dyDescent="0.3">
      <c r="A633" s="37">
        <v>628</v>
      </c>
      <c r="B633" s="38" t="s">
        <v>313</v>
      </c>
      <c r="C633" s="38" t="s">
        <v>1471</v>
      </c>
      <c r="D633" s="38" t="s">
        <v>1472</v>
      </c>
      <c r="E633" s="38" t="s">
        <v>1473</v>
      </c>
      <c r="F633" s="38" t="s">
        <v>364</v>
      </c>
      <c r="G633" s="39">
        <v>437</v>
      </c>
      <c r="H633" s="40">
        <v>2</v>
      </c>
      <c r="I633" s="37">
        <v>163260</v>
      </c>
      <c r="J633" s="41" t="s">
        <v>1404</v>
      </c>
      <c r="K633" s="42">
        <v>2020</v>
      </c>
    </row>
    <row r="634" spans="1:11" ht="15" customHeight="1" x14ac:dyDescent="0.3">
      <c r="A634" s="31">
        <v>629</v>
      </c>
      <c r="B634" s="32" t="s">
        <v>313</v>
      </c>
      <c r="C634" s="32" t="s">
        <v>1474</v>
      </c>
      <c r="D634" s="32" t="s">
        <v>1475</v>
      </c>
      <c r="E634" s="32" t="s">
        <v>39</v>
      </c>
      <c r="F634" s="32" t="s">
        <v>276</v>
      </c>
      <c r="G634" s="33">
        <v>232.5</v>
      </c>
      <c r="H634" s="34">
        <v>0.91200000000000003</v>
      </c>
      <c r="I634" s="31">
        <v>137260</v>
      </c>
      <c r="J634" s="35" t="s">
        <v>1404</v>
      </c>
      <c r="K634" s="36">
        <v>2020</v>
      </c>
    </row>
    <row r="635" spans="1:11" ht="15" customHeight="1" x14ac:dyDescent="0.3">
      <c r="A635" s="37">
        <v>630</v>
      </c>
      <c r="B635" s="38" t="s">
        <v>313</v>
      </c>
      <c r="C635" s="38" t="s">
        <v>1476</v>
      </c>
      <c r="D635" s="38" t="s">
        <v>1477</v>
      </c>
      <c r="E635" s="38" t="s">
        <v>1478</v>
      </c>
      <c r="F635" s="38" t="s">
        <v>316</v>
      </c>
      <c r="G635" s="39">
        <v>2085</v>
      </c>
      <c r="H635" s="40">
        <v>4</v>
      </c>
      <c r="I635" s="37">
        <v>219260</v>
      </c>
      <c r="J635" s="41" t="s">
        <v>1404</v>
      </c>
      <c r="K635" s="42">
        <v>2020</v>
      </c>
    </row>
    <row r="636" spans="1:11" ht="15" customHeight="1" x14ac:dyDescent="0.3">
      <c r="A636" s="31">
        <v>631</v>
      </c>
      <c r="B636" s="32" t="s">
        <v>313</v>
      </c>
      <c r="C636" s="32" t="s">
        <v>1479</v>
      </c>
      <c r="D636" s="32" t="s">
        <v>807</v>
      </c>
      <c r="E636" s="32" t="s">
        <v>1415</v>
      </c>
      <c r="F636" s="32" t="s">
        <v>287</v>
      </c>
      <c r="G636" s="33">
        <v>1583.1</v>
      </c>
      <c r="H636" s="34">
        <v>2</v>
      </c>
      <c r="I636" s="31">
        <v>161000</v>
      </c>
      <c r="J636" s="35" t="s">
        <v>1404</v>
      </c>
      <c r="K636" s="36">
        <v>2020</v>
      </c>
    </row>
    <row r="637" spans="1:11" ht="15" customHeight="1" x14ac:dyDescent="0.3">
      <c r="A637" s="37">
        <v>632</v>
      </c>
      <c r="B637" s="38" t="s">
        <v>313</v>
      </c>
      <c r="C637" s="38" t="s">
        <v>1480</v>
      </c>
      <c r="D637" s="38" t="s">
        <v>1481</v>
      </c>
      <c r="E637" s="38" t="s">
        <v>215</v>
      </c>
      <c r="F637" s="38" t="s">
        <v>316</v>
      </c>
      <c r="G637" s="39">
        <v>1542</v>
      </c>
      <c r="H637" s="40">
        <v>3</v>
      </c>
      <c r="I637" s="37">
        <v>189000</v>
      </c>
      <c r="J637" s="41" t="s">
        <v>1404</v>
      </c>
      <c r="K637" s="42">
        <v>2020</v>
      </c>
    </row>
    <row r="638" spans="1:11" ht="15" customHeight="1" x14ac:dyDescent="0.3">
      <c r="A638" s="31">
        <v>633</v>
      </c>
      <c r="B638" s="32" t="s">
        <v>313</v>
      </c>
      <c r="C638" s="32" t="s">
        <v>1482</v>
      </c>
      <c r="D638" s="32" t="s">
        <v>1483</v>
      </c>
      <c r="E638" s="32" t="s">
        <v>1484</v>
      </c>
      <c r="F638" s="32" t="s">
        <v>276</v>
      </c>
      <c r="G638" s="33">
        <v>176</v>
      </c>
      <c r="H638" s="34">
        <v>0.57599999999999996</v>
      </c>
      <c r="I638" s="31">
        <v>137260</v>
      </c>
      <c r="J638" s="35" t="s">
        <v>1404</v>
      </c>
      <c r="K638" s="36">
        <v>2020</v>
      </c>
    </row>
    <row r="639" spans="1:11" ht="15" customHeight="1" x14ac:dyDescent="0.3">
      <c r="A639" s="37">
        <v>634</v>
      </c>
      <c r="B639" s="38" t="s">
        <v>313</v>
      </c>
      <c r="C639" s="38" t="s">
        <v>1485</v>
      </c>
      <c r="D639" s="38" t="s">
        <v>1486</v>
      </c>
      <c r="E639" s="38" t="s">
        <v>1487</v>
      </c>
      <c r="F639" s="38" t="s">
        <v>312</v>
      </c>
      <c r="G639" s="39">
        <v>7570</v>
      </c>
      <c r="H639" s="40">
        <v>10</v>
      </c>
      <c r="I639" s="37">
        <v>377260</v>
      </c>
      <c r="J639" s="41" t="s">
        <v>1404</v>
      </c>
      <c r="K639" s="42">
        <v>2020</v>
      </c>
    </row>
    <row r="640" spans="1:11" ht="15" customHeight="1" x14ac:dyDescent="0.3">
      <c r="A640" s="31">
        <v>635</v>
      </c>
      <c r="B640" s="32" t="s">
        <v>313</v>
      </c>
      <c r="C640" s="32" t="s">
        <v>1488</v>
      </c>
      <c r="D640" s="32" t="s">
        <v>1440</v>
      </c>
      <c r="E640" s="32" t="s">
        <v>39</v>
      </c>
      <c r="F640" s="32" t="s">
        <v>386</v>
      </c>
      <c r="G640" s="33">
        <v>400</v>
      </c>
      <c r="H640" s="34">
        <v>0.90400000000000003</v>
      </c>
      <c r="I640" s="31">
        <v>137260</v>
      </c>
      <c r="J640" s="35" t="s">
        <v>1404</v>
      </c>
      <c r="K640" s="36">
        <v>2020</v>
      </c>
    </row>
    <row r="641" spans="1:11" ht="15" customHeight="1" x14ac:dyDescent="0.3">
      <c r="A641" s="37">
        <v>636</v>
      </c>
      <c r="B641" s="38" t="s">
        <v>313</v>
      </c>
      <c r="C641" s="38" t="s">
        <v>1489</v>
      </c>
      <c r="D641" s="38" t="s">
        <v>1490</v>
      </c>
      <c r="E641" s="38" t="s">
        <v>1491</v>
      </c>
      <c r="F641" s="38" t="s">
        <v>406</v>
      </c>
      <c r="G641" s="39">
        <v>279</v>
      </c>
      <c r="H641" s="40">
        <v>2</v>
      </c>
      <c r="I641" s="37">
        <v>163260</v>
      </c>
      <c r="J641" s="41" t="s">
        <v>1404</v>
      </c>
      <c r="K641" s="42">
        <v>2020</v>
      </c>
    </row>
    <row r="642" spans="1:11" ht="15" customHeight="1" x14ac:dyDescent="0.3">
      <c r="A642" s="31">
        <v>637</v>
      </c>
      <c r="B642" s="32" t="s">
        <v>313</v>
      </c>
      <c r="C642" s="32" t="s">
        <v>1492</v>
      </c>
      <c r="D642" s="32" t="s">
        <v>1493</v>
      </c>
      <c r="E642" s="32" t="s">
        <v>49</v>
      </c>
      <c r="F642" s="32" t="s">
        <v>276</v>
      </c>
      <c r="G642" s="33">
        <v>141</v>
      </c>
      <c r="H642" s="34">
        <v>0.442</v>
      </c>
      <c r="I642" s="31">
        <v>135000</v>
      </c>
      <c r="J642" s="35" t="s">
        <v>1404</v>
      </c>
      <c r="K642" s="36">
        <v>2020</v>
      </c>
    </row>
    <row r="643" spans="1:11" ht="15" customHeight="1" x14ac:dyDescent="0.3">
      <c r="A643" s="37">
        <v>638</v>
      </c>
      <c r="B643" s="38" t="s">
        <v>313</v>
      </c>
      <c r="C643" s="38" t="s">
        <v>1494</v>
      </c>
      <c r="D643" s="38" t="s">
        <v>1495</v>
      </c>
      <c r="E643" s="38" t="s">
        <v>1496</v>
      </c>
      <c r="F643" s="38" t="s">
        <v>689</v>
      </c>
      <c r="G643" s="39">
        <v>1985</v>
      </c>
      <c r="H643" s="40">
        <v>6</v>
      </c>
      <c r="I643" s="37">
        <v>275260</v>
      </c>
      <c r="J643" s="41" t="s">
        <v>1404</v>
      </c>
      <c r="K643" s="42">
        <v>2020</v>
      </c>
    </row>
    <row r="644" spans="1:11" ht="15" customHeight="1" x14ac:dyDescent="0.3">
      <c r="A644" s="31">
        <v>639</v>
      </c>
      <c r="B644" s="32" t="s">
        <v>313</v>
      </c>
      <c r="C644" s="32" t="s">
        <v>1497</v>
      </c>
      <c r="D644" s="32" t="s">
        <v>498</v>
      </c>
      <c r="E644" s="32" t="s">
        <v>499</v>
      </c>
      <c r="F644" s="32" t="s">
        <v>276</v>
      </c>
      <c r="G644" s="33">
        <v>72</v>
      </c>
      <c r="H644" s="34">
        <v>0.68200000000000005</v>
      </c>
      <c r="I644" s="31">
        <v>137260</v>
      </c>
      <c r="J644" s="35" t="s">
        <v>1404</v>
      </c>
      <c r="K644" s="36">
        <v>2020</v>
      </c>
    </row>
    <row r="645" spans="1:11" ht="15" customHeight="1" x14ac:dyDescent="0.3">
      <c r="A645" s="37">
        <v>640</v>
      </c>
      <c r="B645" s="38" t="s">
        <v>313</v>
      </c>
      <c r="C645" s="38" t="s">
        <v>1498</v>
      </c>
      <c r="D645" s="38" t="s">
        <v>1499</v>
      </c>
      <c r="E645" s="38" t="s">
        <v>1500</v>
      </c>
      <c r="F645" s="38" t="s">
        <v>276</v>
      </c>
      <c r="G645" s="39">
        <v>330</v>
      </c>
      <c r="H645" s="40">
        <v>0.89300000000000002</v>
      </c>
      <c r="I645" s="37">
        <v>137260</v>
      </c>
      <c r="J645" s="41" t="s">
        <v>1404</v>
      </c>
      <c r="K645" s="42">
        <v>2020</v>
      </c>
    </row>
    <row r="646" spans="1:11" ht="15" customHeight="1" x14ac:dyDescent="0.3">
      <c r="A646" s="31">
        <v>641</v>
      </c>
      <c r="B646" s="32" t="s">
        <v>313</v>
      </c>
      <c r="C646" s="32" t="s">
        <v>1501</v>
      </c>
      <c r="D646" s="32" t="s">
        <v>1502</v>
      </c>
      <c r="E646" s="32" t="s">
        <v>1503</v>
      </c>
      <c r="F646" s="32" t="s">
        <v>276</v>
      </c>
      <c r="G646" s="33">
        <v>135</v>
      </c>
      <c r="H646" s="34">
        <v>0.59</v>
      </c>
      <c r="I646" s="31">
        <v>135000</v>
      </c>
      <c r="J646" s="35" t="s">
        <v>1404</v>
      </c>
      <c r="K646" s="36">
        <v>2020</v>
      </c>
    </row>
    <row r="647" spans="1:11" ht="15" customHeight="1" x14ac:dyDescent="0.3">
      <c r="A647" s="37">
        <v>642</v>
      </c>
      <c r="B647" s="38" t="s">
        <v>313</v>
      </c>
      <c r="C647" s="38" t="s">
        <v>1504</v>
      </c>
      <c r="D647" s="38" t="s">
        <v>1196</v>
      </c>
      <c r="E647" s="38" t="s">
        <v>471</v>
      </c>
      <c r="F647" s="38" t="s">
        <v>276</v>
      </c>
      <c r="G647" s="39">
        <v>749.29</v>
      </c>
      <c r="H647" s="40">
        <v>1.4590000000000001</v>
      </c>
      <c r="I647" s="37">
        <v>137260</v>
      </c>
      <c r="J647" s="41" t="s">
        <v>1404</v>
      </c>
      <c r="K647" s="42">
        <v>2020</v>
      </c>
    </row>
    <row r="648" spans="1:11" ht="15" customHeight="1" x14ac:dyDescent="0.3">
      <c r="A648" s="31">
        <v>643</v>
      </c>
      <c r="B648" s="32" t="s">
        <v>313</v>
      </c>
      <c r="C648" s="32" t="s">
        <v>1505</v>
      </c>
      <c r="D648" s="32" t="s">
        <v>64</v>
      </c>
      <c r="E648" s="32" t="s">
        <v>47</v>
      </c>
      <c r="F648" s="32" t="s">
        <v>1044</v>
      </c>
      <c r="G648" s="33">
        <v>2385</v>
      </c>
      <c r="H648" s="34">
        <v>2</v>
      </c>
      <c r="I648" s="31">
        <v>163260</v>
      </c>
      <c r="J648" s="35" t="s">
        <v>1404</v>
      </c>
      <c r="K648" s="36">
        <v>2020</v>
      </c>
    </row>
    <row r="649" spans="1:11" ht="15" customHeight="1" x14ac:dyDescent="0.3">
      <c r="A649" s="37">
        <v>644</v>
      </c>
      <c r="B649" s="38" t="s">
        <v>313</v>
      </c>
      <c r="C649" s="38" t="s">
        <v>1506</v>
      </c>
      <c r="D649" s="38" t="s">
        <v>713</v>
      </c>
      <c r="E649" s="38" t="s">
        <v>49</v>
      </c>
      <c r="F649" s="38" t="s">
        <v>386</v>
      </c>
      <c r="G649" s="39">
        <v>401</v>
      </c>
      <c r="H649" s="40">
        <v>2</v>
      </c>
      <c r="I649" s="37">
        <v>161000</v>
      </c>
      <c r="J649" s="41" t="s">
        <v>1404</v>
      </c>
      <c r="K649" s="42">
        <v>2020</v>
      </c>
    </row>
    <row r="650" spans="1:11" ht="15" customHeight="1" x14ac:dyDescent="0.3">
      <c r="A650" s="31">
        <v>645</v>
      </c>
      <c r="B650" s="32" t="s">
        <v>313</v>
      </c>
      <c r="C650" s="32" t="s">
        <v>1507</v>
      </c>
      <c r="D650" s="32" t="s">
        <v>1508</v>
      </c>
      <c r="E650" s="32" t="s">
        <v>47</v>
      </c>
      <c r="F650" s="32" t="s">
        <v>386</v>
      </c>
      <c r="G650" s="33">
        <v>643.51</v>
      </c>
      <c r="H650" s="34">
        <v>2</v>
      </c>
      <c r="I650" s="31">
        <v>161000</v>
      </c>
      <c r="J650" s="35" t="s">
        <v>1404</v>
      </c>
      <c r="K650" s="36">
        <v>2020</v>
      </c>
    </row>
    <row r="651" spans="1:11" ht="15" customHeight="1" x14ac:dyDescent="0.3">
      <c r="A651" s="37">
        <v>646</v>
      </c>
      <c r="B651" s="38" t="s">
        <v>313</v>
      </c>
      <c r="C651" s="38" t="s">
        <v>1509</v>
      </c>
      <c r="D651" s="38" t="s">
        <v>1510</v>
      </c>
      <c r="E651" s="38" t="s">
        <v>1511</v>
      </c>
      <c r="F651" s="38" t="s">
        <v>287</v>
      </c>
      <c r="G651" s="39">
        <v>262</v>
      </c>
      <c r="H651" s="40">
        <v>2</v>
      </c>
      <c r="I651" s="37">
        <v>163260</v>
      </c>
      <c r="J651" s="41" t="s">
        <v>1404</v>
      </c>
      <c r="K651" s="42">
        <v>2020</v>
      </c>
    </row>
    <row r="652" spans="1:11" ht="15" customHeight="1" x14ac:dyDescent="0.3">
      <c r="A652" s="31">
        <v>647</v>
      </c>
      <c r="B652" s="32" t="s">
        <v>313</v>
      </c>
      <c r="C652" s="32" t="s">
        <v>1512</v>
      </c>
      <c r="D652" s="32" t="s">
        <v>38</v>
      </c>
      <c r="E652" s="32" t="s">
        <v>51</v>
      </c>
      <c r="F652" s="32" t="s">
        <v>276</v>
      </c>
      <c r="G652" s="33">
        <v>50</v>
      </c>
      <c r="H652" s="34">
        <v>0.45600000000000002</v>
      </c>
      <c r="I652" s="31">
        <v>137260</v>
      </c>
      <c r="J652" s="35" t="s">
        <v>1404</v>
      </c>
      <c r="K652" s="36">
        <v>2020</v>
      </c>
    </row>
    <row r="653" spans="1:11" ht="15" customHeight="1" x14ac:dyDescent="0.3">
      <c r="A653" s="37">
        <v>648</v>
      </c>
      <c r="B653" s="38" t="s">
        <v>1039</v>
      </c>
      <c r="C653" s="38" t="s">
        <v>1513</v>
      </c>
      <c r="D653" s="38" t="s">
        <v>54</v>
      </c>
      <c r="E653" s="38" t="s">
        <v>35</v>
      </c>
      <c r="F653" s="38" t="s">
        <v>406</v>
      </c>
      <c r="G653" s="39">
        <v>4500</v>
      </c>
      <c r="H653" s="40">
        <v>7.78</v>
      </c>
      <c r="I653" s="37">
        <v>323260</v>
      </c>
      <c r="J653" s="41" t="s">
        <v>1514</v>
      </c>
      <c r="K653" s="42">
        <v>2020</v>
      </c>
    </row>
    <row r="654" spans="1:11" ht="15" customHeight="1" x14ac:dyDescent="0.3">
      <c r="A654" s="31">
        <v>649</v>
      </c>
      <c r="B654" s="32" t="s">
        <v>1039</v>
      </c>
      <c r="C654" s="32" t="s">
        <v>1515</v>
      </c>
      <c r="D654" s="32" t="s">
        <v>1516</v>
      </c>
      <c r="E654" s="32" t="s">
        <v>1517</v>
      </c>
      <c r="F654" s="32" t="s">
        <v>1393</v>
      </c>
      <c r="G654" s="33">
        <v>4789</v>
      </c>
      <c r="H654" s="34">
        <v>0.73</v>
      </c>
      <c r="I654" s="31">
        <v>247260</v>
      </c>
      <c r="J654" s="35" t="s">
        <v>1514</v>
      </c>
      <c r="K654" s="36">
        <v>2020</v>
      </c>
    </row>
    <row r="655" spans="1:11" ht="15" customHeight="1" x14ac:dyDescent="0.3">
      <c r="A655" s="37">
        <v>650</v>
      </c>
      <c r="B655" s="38" t="s">
        <v>1039</v>
      </c>
      <c r="C655" s="38" t="s">
        <v>1518</v>
      </c>
      <c r="D655" s="38" t="s">
        <v>209</v>
      </c>
      <c r="E655" s="38" t="s">
        <v>857</v>
      </c>
      <c r="F655" s="38" t="s">
        <v>386</v>
      </c>
      <c r="G655" s="39">
        <v>696</v>
      </c>
      <c r="H655" s="40">
        <v>3.47</v>
      </c>
      <c r="I655" s="37">
        <v>191260</v>
      </c>
      <c r="J655" s="41" t="s">
        <v>1514</v>
      </c>
      <c r="K655" s="42">
        <v>2020</v>
      </c>
    </row>
    <row r="656" spans="1:11" ht="15" customHeight="1" x14ac:dyDescent="0.3">
      <c r="A656" s="31">
        <v>651</v>
      </c>
      <c r="B656" s="32" t="s">
        <v>1039</v>
      </c>
      <c r="C656" s="32" t="s">
        <v>1519</v>
      </c>
      <c r="D656" s="32" t="s">
        <v>1520</v>
      </c>
      <c r="E656" s="32" t="s">
        <v>1521</v>
      </c>
      <c r="F656" s="32" t="s">
        <v>323</v>
      </c>
      <c r="G656" s="33">
        <v>150</v>
      </c>
      <c r="H656" s="34">
        <v>1.59</v>
      </c>
      <c r="I656" s="31">
        <v>163260</v>
      </c>
      <c r="J656" s="35" t="s">
        <v>1514</v>
      </c>
      <c r="K656" s="36">
        <v>2020</v>
      </c>
    </row>
    <row r="657" spans="1:11" ht="15" customHeight="1" x14ac:dyDescent="0.3">
      <c r="A657" s="37">
        <v>652</v>
      </c>
      <c r="B657" s="38" t="s">
        <v>1039</v>
      </c>
      <c r="C657" s="38" t="s">
        <v>1522</v>
      </c>
      <c r="D657" s="38" t="s">
        <v>1523</v>
      </c>
      <c r="E657" s="38" t="s">
        <v>1524</v>
      </c>
      <c r="F657" s="38" t="s">
        <v>312</v>
      </c>
      <c r="G657" s="39">
        <v>604</v>
      </c>
      <c r="H657" s="40">
        <v>2.19</v>
      </c>
      <c r="I657" s="37">
        <v>153000</v>
      </c>
      <c r="J657" s="41" t="s">
        <v>1514</v>
      </c>
      <c r="K657" s="42">
        <v>2020</v>
      </c>
    </row>
    <row r="658" spans="1:11" ht="15" customHeight="1" x14ac:dyDescent="0.3">
      <c r="A658" s="31">
        <v>653</v>
      </c>
      <c r="B658" s="32" t="s">
        <v>1039</v>
      </c>
      <c r="C658" s="32" t="s">
        <v>1525</v>
      </c>
      <c r="D658" s="32" t="s">
        <v>526</v>
      </c>
      <c r="E658" s="32" t="s">
        <v>49</v>
      </c>
      <c r="F658" s="32" t="s">
        <v>1031</v>
      </c>
      <c r="G658" s="33">
        <v>760</v>
      </c>
      <c r="H658" s="34">
        <v>0.82</v>
      </c>
      <c r="I658" s="31">
        <v>137260</v>
      </c>
      <c r="J658" s="35" t="s">
        <v>1514</v>
      </c>
      <c r="K658" s="36">
        <v>2020</v>
      </c>
    </row>
    <row r="659" spans="1:11" ht="15" customHeight="1" x14ac:dyDescent="0.3">
      <c r="A659" s="37">
        <v>654</v>
      </c>
      <c r="B659" s="38" t="s">
        <v>1039</v>
      </c>
      <c r="C659" s="38" t="s">
        <v>1526</v>
      </c>
      <c r="D659" s="38" t="s">
        <v>1357</v>
      </c>
      <c r="E659" s="38" t="s">
        <v>1358</v>
      </c>
      <c r="F659" s="38" t="s">
        <v>306</v>
      </c>
      <c r="G659" s="39">
        <v>140</v>
      </c>
      <c r="H659" s="40">
        <v>1.21</v>
      </c>
      <c r="I659" s="37">
        <v>137260</v>
      </c>
      <c r="J659" s="41" t="s">
        <v>1514</v>
      </c>
      <c r="K659" s="42">
        <v>2020</v>
      </c>
    </row>
    <row r="660" spans="1:11" ht="15" customHeight="1" x14ac:dyDescent="0.3">
      <c r="A660" s="31">
        <v>655</v>
      </c>
      <c r="B660" s="32" t="s">
        <v>1039</v>
      </c>
      <c r="C660" s="32" t="s">
        <v>1527</v>
      </c>
      <c r="D660" s="32" t="s">
        <v>1528</v>
      </c>
      <c r="E660" s="32" t="s">
        <v>35</v>
      </c>
      <c r="F660" s="32" t="s">
        <v>312</v>
      </c>
      <c r="G660" s="33">
        <v>1150</v>
      </c>
      <c r="H660" s="34">
        <v>3.93</v>
      </c>
      <c r="I660" s="31">
        <v>219260</v>
      </c>
      <c r="J660" s="35" t="s">
        <v>1514</v>
      </c>
      <c r="K660" s="36">
        <v>2020</v>
      </c>
    </row>
    <row r="661" spans="1:11" ht="15" customHeight="1" x14ac:dyDescent="0.3">
      <c r="A661" s="37">
        <v>656</v>
      </c>
      <c r="B661" s="38" t="s">
        <v>1039</v>
      </c>
      <c r="C661" s="38" t="s">
        <v>1529</v>
      </c>
      <c r="D661" s="38" t="s">
        <v>48</v>
      </c>
      <c r="E661" s="38" t="s">
        <v>37</v>
      </c>
      <c r="F661" s="38" t="s">
        <v>276</v>
      </c>
      <c r="G661" s="39">
        <v>234</v>
      </c>
      <c r="H661" s="40">
        <v>0.34</v>
      </c>
      <c r="I661" s="37">
        <v>137260</v>
      </c>
      <c r="J661" s="41" t="s">
        <v>1514</v>
      </c>
      <c r="K661" s="42">
        <v>2020</v>
      </c>
    </row>
    <row r="662" spans="1:11" ht="15" customHeight="1" x14ac:dyDescent="0.3">
      <c r="A662" s="31">
        <v>657</v>
      </c>
      <c r="B662" s="32" t="s">
        <v>1039</v>
      </c>
      <c r="C662" s="32" t="s">
        <v>1530</v>
      </c>
      <c r="D662" s="32" t="s">
        <v>1531</v>
      </c>
      <c r="E662" s="32" t="s">
        <v>1532</v>
      </c>
      <c r="F662" s="32" t="s">
        <v>316</v>
      </c>
      <c r="G662" s="33">
        <v>1470</v>
      </c>
      <c r="H662" s="34">
        <v>2</v>
      </c>
      <c r="I662" s="31">
        <v>191260</v>
      </c>
      <c r="J662" s="35" t="s">
        <v>1514</v>
      </c>
      <c r="K662" s="36">
        <v>2020</v>
      </c>
    </row>
    <row r="663" spans="1:11" ht="15" customHeight="1" x14ac:dyDescent="0.3">
      <c r="A663" s="37">
        <v>658</v>
      </c>
      <c r="B663" s="38" t="s">
        <v>1039</v>
      </c>
      <c r="C663" s="38" t="s">
        <v>1533</v>
      </c>
      <c r="D663" s="38" t="s">
        <v>1534</v>
      </c>
      <c r="E663" s="38" t="s">
        <v>1535</v>
      </c>
      <c r="F663" s="38" t="s">
        <v>316</v>
      </c>
      <c r="G663" s="39">
        <v>1112</v>
      </c>
      <c r="H663" s="40">
        <v>7.04</v>
      </c>
      <c r="I663" s="37">
        <v>303260</v>
      </c>
      <c r="J663" s="41" t="s">
        <v>1514</v>
      </c>
      <c r="K663" s="42">
        <v>2020</v>
      </c>
    </row>
    <row r="664" spans="1:11" ht="15" customHeight="1" x14ac:dyDescent="0.3">
      <c r="A664" s="31">
        <v>659</v>
      </c>
      <c r="B664" s="32" t="s">
        <v>1039</v>
      </c>
      <c r="C664" s="32" t="s">
        <v>1536</v>
      </c>
      <c r="D664" s="32" t="s">
        <v>1537</v>
      </c>
      <c r="E664" s="32" t="s">
        <v>1538</v>
      </c>
      <c r="F664" s="32" t="s">
        <v>312</v>
      </c>
      <c r="G664" s="33">
        <v>161</v>
      </c>
      <c r="H664" s="34">
        <v>0.42</v>
      </c>
      <c r="I664" s="31">
        <v>127000</v>
      </c>
      <c r="J664" s="35" t="s">
        <v>1514</v>
      </c>
      <c r="K664" s="36">
        <v>2020</v>
      </c>
    </row>
    <row r="665" spans="1:11" ht="15" customHeight="1" x14ac:dyDescent="0.3">
      <c r="A665" s="37">
        <v>660</v>
      </c>
      <c r="B665" s="38" t="s">
        <v>1039</v>
      </c>
      <c r="C665" s="38" t="s">
        <v>1539</v>
      </c>
      <c r="D665" s="38" t="s">
        <v>1193</v>
      </c>
      <c r="E665" s="38" t="s">
        <v>1540</v>
      </c>
      <c r="F665" s="38" t="s">
        <v>287</v>
      </c>
      <c r="G665" s="39">
        <v>622</v>
      </c>
      <c r="H665" s="40">
        <v>5.51</v>
      </c>
      <c r="I665" s="37">
        <v>275260</v>
      </c>
      <c r="J665" s="41" t="s">
        <v>1514</v>
      </c>
      <c r="K665" s="42">
        <v>2020</v>
      </c>
    </row>
    <row r="666" spans="1:11" ht="15" customHeight="1" x14ac:dyDescent="0.3">
      <c r="A666" s="31">
        <v>661</v>
      </c>
      <c r="B666" s="32" t="s">
        <v>1039</v>
      </c>
      <c r="C666" s="32" t="s">
        <v>1541</v>
      </c>
      <c r="D666" s="32" t="s">
        <v>1542</v>
      </c>
      <c r="E666" s="32" t="s">
        <v>1543</v>
      </c>
      <c r="F666" s="32" t="s">
        <v>402</v>
      </c>
      <c r="G666" s="33">
        <v>1000</v>
      </c>
      <c r="H666" s="34">
        <v>13.12</v>
      </c>
      <c r="I666" s="31">
        <v>377260</v>
      </c>
      <c r="J666" s="35" t="s">
        <v>1514</v>
      </c>
      <c r="K666" s="36">
        <v>2020</v>
      </c>
    </row>
    <row r="667" spans="1:11" ht="15" customHeight="1" x14ac:dyDescent="0.3">
      <c r="A667" s="37">
        <v>662</v>
      </c>
      <c r="B667" s="38" t="s">
        <v>1039</v>
      </c>
      <c r="C667" s="38" t="s">
        <v>1544</v>
      </c>
      <c r="D667" s="38" t="s">
        <v>1545</v>
      </c>
      <c r="E667" s="38" t="s">
        <v>41</v>
      </c>
      <c r="F667" s="38" t="s">
        <v>306</v>
      </c>
      <c r="G667" s="39">
        <v>255</v>
      </c>
      <c r="H667" s="40">
        <v>0.59</v>
      </c>
      <c r="I667" s="37">
        <v>137260</v>
      </c>
      <c r="J667" s="41" t="s">
        <v>1514</v>
      </c>
      <c r="K667" s="42">
        <v>2020</v>
      </c>
    </row>
    <row r="668" spans="1:11" ht="15" customHeight="1" x14ac:dyDescent="0.3">
      <c r="A668" s="31">
        <v>663</v>
      </c>
      <c r="B668" s="32" t="s">
        <v>1039</v>
      </c>
      <c r="C668" s="32" t="s">
        <v>1546</v>
      </c>
      <c r="D668" s="32" t="s">
        <v>1547</v>
      </c>
      <c r="E668" s="32" t="s">
        <v>47</v>
      </c>
      <c r="F668" s="32" t="s">
        <v>386</v>
      </c>
      <c r="G668" s="33">
        <v>650</v>
      </c>
      <c r="H668" s="34">
        <v>1.57</v>
      </c>
      <c r="I668" s="31">
        <v>163260</v>
      </c>
      <c r="J668" s="35" t="s">
        <v>1514</v>
      </c>
      <c r="K668" s="36">
        <v>2020</v>
      </c>
    </row>
    <row r="669" spans="1:11" ht="15" customHeight="1" x14ac:dyDescent="0.3">
      <c r="A669" s="37">
        <v>664</v>
      </c>
      <c r="B669" s="38" t="s">
        <v>1039</v>
      </c>
      <c r="C669" s="38" t="s">
        <v>1548</v>
      </c>
      <c r="D669" s="38" t="s">
        <v>38</v>
      </c>
      <c r="E669" s="38" t="s">
        <v>51</v>
      </c>
      <c r="F669" s="38" t="s">
        <v>306</v>
      </c>
      <c r="G669" s="39">
        <v>350</v>
      </c>
      <c r="H669" s="40">
        <v>0.61</v>
      </c>
      <c r="I669" s="37">
        <v>137260</v>
      </c>
      <c r="J669" s="41" t="s">
        <v>1514</v>
      </c>
      <c r="K669" s="42">
        <v>2020</v>
      </c>
    </row>
    <row r="670" spans="1:11" ht="15" customHeight="1" x14ac:dyDescent="0.3">
      <c r="A670" s="31">
        <v>665</v>
      </c>
      <c r="B670" s="32" t="s">
        <v>1039</v>
      </c>
      <c r="C670" s="32" t="s">
        <v>1549</v>
      </c>
      <c r="D670" s="32" t="s">
        <v>1094</v>
      </c>
      <c r="E670" s="32" t="s">
        <v>857</v>
      </c>
      <c r="F670" s="32" t="s">
        <v>658</v>
      </c>
      <c r="G670" s="33">
        <v>521</v>
      </c>
      <c r="H670" s="34">
        <v>3.16</v>
      </c>
      <c r="I670" s="31">
        <v>191260</v>
      </c>
      <c r="J670" s="35" t="s">
        <v>1514</v>
      </c>
      <c r="K670" s="36">
        <v>2020</v>
      </c>
    </row>
    <row r="671" spans="1:11" ht="15" customHeight="1" x14ac:dyDescent="0.3">
      <c r="A671" s="37">
        <v>666</v>
      </c>
      <c r="B671" s="38" t="s">
        <v>1059</v>
      </c>
      <c r="C671" s="38" t="s">
        <v>1550</v>
      </c>
      <c r="D671" s="38" t="s">
        <v>538</v>
      </c>
      <c r="E671" s="38" t="s">
        <v>37</v>
      </c>
      <c r="F671" s="38" t="s">
        <v>276</v>
      </c>
      <c r="G671" s="39">
        <v>205</v>
      </c>
      <c r="H671" s="40">
        <v>0.97</v>
      </c>
      <c r="I671" s="37">
        <v>137260</v>
      </c>
      <c r="J671" s="41" t="s">
        <v>1514</v>
      </c>
      <c r="K671" s="42">
        <v>2020</v>
      </c>
    </row>
    <row r="672" spans="1:11" ht="15" customHeight="1" x14ac:dyDescent="0.3">
      <c r="A672" s="31">
        <v>667</v>
      </c>
      <c r="B672" s="32" t="s">
        <v>1059</v>
      </c>
      <c r="C672" s="32" t="s">
        <v>1551</v>
      </c>
      <c r="D672" s="32" t="s">
        <v>538</v>
      </c>
      <c r="E672" s="32" t="s">
        <v>37</v>
      </c>
      <c r="F672" s="32" t="s">
        <v>276</v>
      </c>
      <c r="G672" s="33">
        <v>140</v>
      </c>
      <c r="H672" s="34">
        <v>0.67</v>
      </c>
      <c r="I672" s="31">
        <v>137260</v>
      </c>
      <c r="J672" s="35" t="s">
        <v>1514</v>
      </c>
      <c r="K672" s="36">
        <v>2020</v>
      </c>
    </row>
    <row r="673" spans="1:11" ht="15" customHeight="1" x14ac:dyDescent="0.3">
      <c r="A673" s="37">
        <v>668</v>
      </c>
      <c r="B673" s="38" t="s">
        <v>1059</v>
      </c>
      <c r="C673" s="38" t="s">
        <v>1552</v>
      </c>
      <c r="D673" s="38" t="s">
        <v>538</v>
      </c>
      <c r="E673" s="38" t="s">
        <v>41</v>
      </c>
      <c r="F673" s="38" t="s">
        <v>312</v>
      </c>
      <c r="G673" s="39">
        <v>103</v>
      </c>
      <c r="H673" s="40">
        <v>0.54</v>
      </c>
      <c r="I673" s="37">
        <v>137260</v>
      </c>
      <c r="J673" s="41" t="s">
        <v>1514</v>
      </c>
      <c r="K673" s="42">
        <v>2020</v>
      </c>
    </row>
    <row r="674" spans="1:11" ht="15" customHeight="1" x14ac:dyDescent="0.3">
      <c r="A674" s="31">
        <v>669</v>
      </c>
      <c r="B674" s="32" t="s">
        <v>1059</v>
      </c>
      <c r="C674" s="32" t="s">
        <v>1553</v>
      </c>
      <c r="D674" s="32" t="s">
        <v>647</v>
      </c>
      <c r="E674" s="32" t="s">
        <v>648</v>
      </c>
      <c r="F674" s="32" t="s">
        <v>276</v>
      </c>
      <c r="G674" s="33">
        <v>275</v>
      </c>
      <c r="H674" s="34">
        <v>1.7</v>
      </c>
      <c r="I674" s="31">
        <v>163260</v>
      </c>
      <c r="J674" s="35" t="s">
        <v>1514</v>
      </c>
      <c r="K674" s="36">
        <v>2020</v>
      </c>
    </row>
    <row r="675" spans="1:11" ht="15" customHeight="1" x14ac:dyDescent="0.3">
      <c r="A675" s="37">
        <v>670</v>
      </c>
      <c r="B675" s="38" t="s">
        <v>1059</v>
      </c>
      <c r="C675" s="38" t="s">
        <v>1554</v>
      </c>
      <c r="D675" s="38" t="s">
        <v>807</v>
      </c>
      <c r="E675" s="38" t="s">
        <v>638</v>
      </c>
      <c r="F675" s="38" t="s">
        <v>435</v>
      </c>
      <c r="G675" s="39">
        <v>1372</v>
      </c>
      <c r="H675" s="40">
        <v>2.04</v>
      </c>
      <c r="I675" s="37">
        <v>153000</v>
      </c>
      <c r="J675" s="41" t="s">
        <v>1514</v>
      </c>
      <c r="K675" s="42">
        <v>2020</v>
      </c>
    </row>
    <row r="676" spans="1:11" ht="15" customHeight="1" x14ac:dyDescent="0.3">
      <c r="A676" s="31">
        <v>671</v>
      </c>
      <c r="B676" s="32" t="s">
        <v>1059</v>
      </c>
      <c r="C676" s="32" t="s">
        <v>1555</v>
      </c>
      <c r="D676" s="32" t="s">
        <v>970</v>
      </c>
      <c r="E676" s="32" t="s">
        <v>971</v>
      </c>
      <c r="F676" s="32" t="s">
        <v>486</v>
      </c>
      <c r="G676" s="33">
        <v>401.99</v>
      </c>
      <c r="H676" s="34">
        <v>10</v>
      </c>
      <c r="I676" s="31">
        <v>377260</v>
      </c>
      <c r="J676" s="35" t="s">
        <v>1514</v>
      </c>
      <c r="K676" s="36">
        <v>2020</v>
      </c>
    </row>
    <row r="677" spans="1:11" ht="15" customHeight="1" x14ac:dyDescent="0.3">
      <c r="A677" s="37">
        <v>672</v>
      </c>
      <c r="B677" s="38" t="s">
        <v>1059</v>
      </c>
      <c r="C677" s="38" t="s">
        <v>1556</v>
      </c>
      <c r="D677" s="38" t="s">
        <v>1557</v>
      </c>
      <c r="E677" s="38" t="s">
        <v>35</v>
      </c>
      <c r="F677" s="38" t="s">
        <v>316</v>
      </c>
      <c r="G677" s="39">
        <v>164</v>
      </c>
      <c r="H677" s="40">
        <v>1.02</v>
      </c>
      <c r="I677" s="37">
        <v>137260</v>
      </c>
      <c r="J677" s="41" t="s">
        <v>1514</v>
      </c>
      <c r="K677" s="42">
        <v>2020</v>
      </c>
    </row>
    <row r="678" spans="1:11" ht="15" customHeight="1" x14ac:dyDescent="0.3">
      <c r="A678" s="31">
        <v>673</v>
      </c>
      <c r="B678" s="32" t="s">
        <v>313</v>
      </c>
      <c r="C678" s="32" t="s">
        <v>1558</v>
      </c>
      <c r="D678" s="32" t="s">
        <v>1559</v>
      </c>
      <c r="E678" s="32" t="s">
        <v>206</v>
      </c>
      <c r="F678" s="32" t="s">
        <v>1560</v>
      </c>
      <c r="G678" s="33">
        <v>785.1</v>
      </c>
      <c r="H678" s="34">
        <v>4</v>
      </c>
      <c r="I678" s="31">
        <v>219260</v>
      </c>
      <c r="J678" s="35" t="s">
        <v>1514</v>
      </c>
      <c r="K678" s="36">
        <v>2020</v>
      </c>
    </row>
    <row r="679" spans="1:11" ht="15" customHeight="1" x14ac:dyDescent="0.3">
      <c r="A679" s="37">
        <v>674</v>
      </c>
      <c r="B679" s="38" t="s">
        <v>313</v>
      </c>
      <c r="C679" s="38" t="s">
        <v>1561</v>
      </c>
      <c r="D679" s="38" t="s">
        <v>803</v>
      </c>
      <c r="E679" s="38" t="s">
        <v>215</v>
      </c>
      <c r="F679" s="38" t="s">
        <v>1562</v>
      </c>
      <c r="G679" s="39">
        <v>225.6</v>
      </c>
      <c r="H679" s="40">
        <v>0.37</v>
      </c>
      <c r="I679" s="37">
        <v>127000</v>
      </c>
      <c r="J679" s="41" t="s">
        <v>1514</v>
      </c>
      <c r="K679" s="42">
        <v>2020</v>
      </c>
    </row>
    <row r="680" spans="1:11" ht="15" customHeight="1" x14ac:dyDescent="0.3">
      <c r="A680" s="31">
        <v>675</v>
      </c>
      <c r="B680" s="32" t="s">
        <v>313</v>
      </c>
      <c r="C680" s="32" t="s">
        <v>1563</v>
      </c>
      <c r="D680" s="32" t="s">
        <v>859</v>
      </c>
      <c r="E680" s="32" t="s">
        <v>372</v>
      </c>
      <c r="F680" s="32" t="s">
        <v>316</v>
      </c>
      <c r="G680" s="33">
        <v>819</v>
      </c>
      <c r="H680" s="34">
        <v>2</v>
      </c>
      <c r="I680" s="31">
        <v>153000</v>
      </c>
      <c r="J680" s="35" t="s">
        <v>1514</v>
      </c>
      <c r="K680" s="36">
        <v>2020</v>
      </c>
    </row>
    <row r="681" spans="1:11" ht="15" customHeight="1" x14ac:dyDescent="0.3">
      <c r="A681" s="37">
        <v>676</v>
      </c>
      <c r="B681" s="38" t="s">
        <v>313</v>
      </c>
      <c r="C681" s="38" t="s">
        <v>1564</v>
      </c>
      <c r="D681" s="38" t="s">
        <v>54</v>
      </c>
      <c r="E681" s="38" t="s">
        <v>35</v>
      </c>
      <c r="F681" s="38" t="s">
        <v>658</v>
      </c>
      <c r="G681" s="39">
        <v>298</v>
      </c>
      <c r="H681" s="40">
        <v>0.16</v>
      </c>
      <c r="I681" s="37">
        <v>137260</v>
      </c>
      <c r="J681" s="41" t="s">
        <v>1514</v>
      </c>
      <c r="K681" s="42">
        <v>2020</v>
      </c>
    </row>
    <row r="682" spans="1:11" ht="15" customHeight="1" x14ac:dyDescent="0.3">
      <c r="A682" s="31">
        <v>677</v>
      </c>
      <c r="B682" s="32" t="s">
        <v>313</v>
      </c>
      <c r="C682" s="32" t="s">
        <v>1565</v>
      </c>
      <c r="D682" s="32" t="s">
        <v>1566</v>
      </c>
      <c r="E682" s="32" t="s">
        <v>37</v>
      </c>
      <c r="F682" s="32" t="s">
        <v>658</v>
      </c>
      <c r="G682" s="33">
        <v>1903</v>
      </c>
      <c r="H682" s="34">
        <v>4</v>
      </c>
      <c r="I682" s="31">
        <v>219260</v>
      </c>
      <c r="J682" s="35" t="s">
        <v>1514</v>
      </c>
      <c r="K682" s="36">
        <v>2020</v>
      </c>
    </row>
    <row r="683" spans="1:11" ht="15" customHeight="1" x14ac:dyDescent="0.3">
      <c r="A683" s="37">
        <v>678</v>
      </c>
      <c r="B683" s="38" t="s">
        <v>313</v>
      </c>
      <c r="C683" s="38" t="s">
        <v>1567</v>
      </c>
      <c r="D683" s="38" t="s">
        <v>803</v>
      </c>
      <c r="E683" s="38" t="s">
        <v>215</v>
      </c>
      <c r="F683" s="38" t="s">
        <v>1568</v>
      </c>
      <c r="G683" s="39">
        <v>215</v>
      </c>
      <c r="H683" s="40">
        <v>0.31</v>
      </c>
      <c r="I683" s="37">
        <v>127000</v>
      </c>
      <c r="J683" s="41" t="s">
        <v>1514</v>
      </c>
      <c r="K683" s="42">
        <v>2020</v>
      </c>
    </row>
    <row r="684" spans="1:11" ht="15" customHeight="1" x14ac:dyDescent="0.3">
      <c r="A684" s="31">
        <v>679</v>
      </c>
      <c r="B684" s="32" t="s">
        <v>313</v>
      </c>
      <c r="C684" s="32" t="s">
        <v>1569</v>
      </c>
      <c r="D684" s="32" t="s">
        <v>848</v>
      </c>
      <c r="E684" s="32" t="s">
        <v>49</v>
      </c>
      <c r="F684" s="32" t="s">
        <v>1267</v>
      </c>
      <c r="G684" s="33">
        <v>1374</v>
      </c>
      <c r="H684" s="34">
        <v>2</v>
      </c>
      <c r="I684" s="31">
        <v>163260</v>
      </c>
      <c r="J684" s="35" t="s">
        <v>1514</v>
      </c>
      <c r="K684" s="36">
        <v>2020</v>
      </c>
    </row>
    <row r="685" spans="1:11" ht="15" customHeight="1" x14ac:dyDescent="0.3">
      <c r="A685" s="37">
        <v>680</v>
      </c>
      <c r="B685" s="38" t="s">
        <v>313</v>
      </c>
      <c r="C685" s="38" t="s">
        <v>1570</v>
      </c>
      <c r="D685" s="38" t="s">
        <v>1571</v>
      </c>
      <c r="E685" s="38" t="s">
        <v>39</v>
      </c>
      <c r="F685" s="38" t="s">
        <v>306</v>
      </c>
      <c r="G685" s="39">
        <v>452.34</v>
      </c>
      <c r="H685" s="40">
        <v>2</v>
      </c>
      <c r="I685" s="37">
        <v>163260</v>
      </c>
      <c r="J685" s="41" t="s">
        <v>1514</v>
      </c>
      <c r="K685" s="42">
        <v>2020</v>
      </c>
    </row>
    <row r="686" spans="1:11" ht="15" customHeight="1" x14ac:dyDescent="0.3">
      <c r="A686" s="31">
        <v>681</v>
      </c>
      <c r="B686" s="32" t="s">
        <v>313</v>
      </c>
      <c r="C686" s="32" t="s">
        <v>1572</v>
      </c>
      <c r="D686" s="32" t="s">
        <v>933</v>
      </c>
      <c r="E686" s="32" t="s">
        <v>934</v>
      </c>
      <c r="F686" s="32" t="s">
        <v>312</v>
      </c>
      <c r="G686" s="33">
        <v>607</v>
      </c>
      <c r="H686" s="34">
        <v>6</v>
      </c>
      <c r="I686" s="31">
        <v>275260</v>
      </c>
      <c r="J686" s="35" t="s">
        <v>1514</v>
      </c>
      <c r="K686" s="36">
        <v>2020</v>
      </c>
    </row>
    <row r="687" spans="1:11" ht="15" customHeight="1" x14ac:dyDescent="0.3">
      <c r="A687" s="37">
        <v>682</v>
      </c>
      <c r="B687" s="38" t="s">
        <v>313</v>
      </c>
      <c r="C687" s="38" t="s">
        <v>1573</v>
      </c>
      <c r="D687" s="38" t="s">
        <v>1574</v>
      </c>
      <c r="E687" s="38" t="s">
        <v>35</v>
      </c>
      <c r="F687" s="38" t="s">
        <v>312</v>
      </c>
      <c r="G687" s="39">
        <v>1169</v>
      </c>
      <c r="H687" s="40">
        <v>0.59</v>
      </c>
      <c r="I687" s="37">
        <v>137260</v>
      </c>
      <c r="J687" s="41" t="s">
        <v>1514</v>
      </c>
      <c r="K687" s="42">
        <v>2020</v>
      </c>
    </row>
    <row r="688" spans="1:11" ht="15" customHeight="1" x14ac:dyDescent="0.3">
      <c r="A688" s="31">
        <v>683</v>
      </c>
      <c r="B688" s="32" t="s">
        <v>313</v>
      </c>
      <c r="C688" s="32" t="s">
        <v>1575</v>
      </c>
      <c r="D688" s="32" t="s">
        <v>1440</v>
      </c>
      <c r="E688" s="32" t="s">
        <v>39</v>
      </c>
      <c r="F688" s="32" t="s">
        <v>373</v>
      </c>
      <c r="G688" s="33">
        <v>700</v>
      </c>
      <c r="H688" s="34">
        <v>0.65</v>
      </c>
      <c r="I688" s="31">
        <v>137260</v>
      </c>
      <c r="J688" s="35" t="s">
        <v>1514</v>
      </c>
      <c r="K688" s="36">
        <v>2020</v>
      </c>
    </row>
    <row r="689" spans="1:11" ht="15" customHeight="1" x14ac:dyDescent="0.3">
      <c r="A689" s="37">
        <v>684</v>
      </c>
      <c r="B689" s="38" t="s">
        <v>313</v>
      </c>
      <c r="C689" s="38" t="s">
        <v>1576</v>
      </c>
      <c r="D689" s="38" t="s">
        <v>1577</v>
      </c>
      <c r="E689" s="38" t="s">
        <v>39</v>
      </c>
      <c r="F689" s="38" t="s">
        <v>335</v>
      </c>
      <c r="G689" s="39">
        <v>1031.2</v>
      </c>
      <c r="H689" s="40">
        <v>2</v>
      </c>
      <c r="I689" s="37">
        <v>137260</v>
      </c>
      <c r="J689" s="41" t="s">
        <v>1514</v>
      </c>
      <c r="K689" s="42">
        <v>2020</v>
      </c>
    </row>
    <row r="690" spans="1:11" ht="15" customHeight="1" x14ac:dyDescent="0.3">
      <c r="A690" s="31">
        <v>685</v>
      </c>
      <c r="B690" s="32" t="s">
        <v>313</v>
      </c>
      <c r="C690" s="32" t="s">
        <v>1578</v>
      </c>
      <c r="D690" s="32" t="s">
        <v>685</v>
      </c>
      <c r="E690" s="32" t="s">
        <v>1579</v>
      </c>
      <c r="F690" s="32" t="s">
        <v>658</v>
      </c>
      <c r="G690" s="33">
        <v>1064</v>
      </c>
      <c r="H690" s="34">
        <v>4</v>
      </c>
      <c r="I690" s="31">
        <v>219260</v>
      </c>
      <c r="J690" s="35" t="s">
        <v>1514</v>
      </c>
      <c r="K690" s="36">
        <v>2020</v>
      </c>
    </row>
    <row r="691" spans="1:11" ht="15" customHeight="1" x14ac:dyDescent="0.3">
      <c r="A691" s="37">
        <v>686</v>
      </c>
      <c r="B691" s="38" t="s">
        <v>313</v>
      </c>
      <c r="C691" s="38" t="s">
        <v>1580</v>
      </c>
      <c r="D691" s="38" t="s">
        <v>1581</v>
      </c>
      <c r="E691" s="38" t="s">
        <v>1582</v>
      </c>
      <c r="F691" s="38" t="s">
        <v>287</v>
      </c>
      <c r="G691" s="39">
        <v>905</v>
      </c>
      <c r="H691" s="40">
        <v>6</v>
      </c>
      <c r="I691" s="37">
        <v>275260</v>
      </c>
      <c r="J691" s="41" t="s">
        <v>1514</v>
      </c>
      <c r="K691" s="42">
        <v>2020</v>
      </c>
    </row>
    <row r="692" spans="1:11" ht="15" customHeight="1" x14ac:dyDescent="0.3">
      <c r="A692" s="31">
        <v>687</v>
      </c>
      <c r="B692" s="32" t="s">
        <v>313</v>
      </c>
      <c r="C692" s="32" t="s">
        <v>1583</v>
      </c>
      <c r="D692" s="32" t="s">
        <v>1357</v>
      </c>
      <c r="E692" s="32" t="s">
        <v>1358</v>
      </c>
      <c r="F692" s="32" t="s">
        <v>391</v>
      </c>
      <c r="G692" s="33">
        <v>96</v>
      </c>
      <c r="H692" s="34">
        <v>0.41</v>
      </c>
      <c r="I692" s="31">
        <v>127000</v>
      </c>
      <c r="J692" s="35" t="s">
        <v>1514</v>
      </c>
      <c r="K692" s="36">
        <v>2020</v>
      </c>
    </row>
    <row r="693" spans="1:11" ht="15" customHeight="1" x14ac:dyDescent="0.3">
      <c r="A693" s="37">
        <v>688</v>
      </c>
      <c r="B693" s="38" t="s">
        <v>313</v>
      </c>
      <c r="C693" s="38" t="s">
        <v>1584</v>
      </c>
      <c r="D693" s="38" t="s">
        <v>1585</v>
      </c>
      <c r="E693" s="38" t="s">
        <v>1538</v>
      </c>
      <c r="F693" s="38" t="s">
        <v>312</v>
      </c>
      <c r="G693" s="39">
        <v>19</v>
      </c>
      <c r="H693" s="40">
        <v>0.1</v>
      </c>
      <c r="I693" s="37">
        <v>137260</v>
      </c>
      <c r="J693" s="41" t="s">
        <v>1514</v>
      </c>
      <c r="K693" s="42">
        <v>2020</v>
      </c>
    </row>
    <row r="694" spans="1:11" ht="15" customHeight="1" x14ac:dyDescent="0.3">
      <c r="A694" s="31">
        <v>689</v>
      </c>
      <c r="B694" s="32" t="s">
        <v>313</v>
      </c>
      <c r="C694" s="32" t="s">
        <v>1586</v>
      </c>
      <c r="D694" s="32" t="s">
        <v>1587</v>
      </c>
      <c r="E694" s="32" t="s">
        <v>1588</v>
      </c>
      <c r="F694" s="32" t="s">
        <v>1388</v>
      </c>
      <c r="G694" s="33">
        <v>190</v>
      </c>
      <c r="H694" s="34">
        <v>0.36</v>
      </c>
      <c r="I694" s="31">
        <v>127000</v>
      </c>
      <c r="J694" s="35" t="s">
        <v>1514</v>
      </c>
      <c r="K694" s="36">
        <v>2020</v>
      </c>
    </row>
    <row r="695" spans="1:11" ht="15" customHeight="1" x14ac:dyDescent="0.3">
      <c r="A695" s="37">
        <v>690</v>
      </c>
      <c r="B695" s="38" t="s">
        <v>313</v>
      </c>
      <c r="C695" s="38" t="s">
        <v>1589</v>
      </c>
      <c r="D695" s="38" t="s">
        <v>691</v>
      </c>
      <c r="E695" s="38" t="s">
        <v>1590</v>
      </c>
      <c r="F695" s="38" t="s">
        <v>276</v>
      </c>
      <c r="G695" s="39">
        <v>300</v>
      </c>
      <c r="H695" s="40">
        <v>1.29</v>
      </c>
      <c r="I695" s="37">
        <v>137260</v>
      </c>
      <c r="J695" s="41" t="s">
        <v>1514</v>
      </c>
      <c r="K695" s="42">
        <v>2020</v>
      </c>
    </row>
    <row r="696" spans="1:11" ht="15" customHeight="1" x14ac:dyDescent="0.3">
      <c r="A696" s="31">
        <v>691</v>
      </c>
      <c r="B696" s="32" t="s">
        <v>313</v>
      </c>
      <c r="C696" s="32" t="s">
        <v>1591</v>
      </c>
      <c r="D696" s="32" t="s">
        <v>1592</v>
      </c>
      <c r="E696" s="32" t="s">
        <v>1593</v>
      </c>
      <c r="F696" s="32" t="s">
        <v>1594</v>
      </c>
      <c r="G696" s="33">
        <v>3790</v>
      </c>
      <c r="H696" s="34">
        <v>10</v>
      </c>
      <c r="I696" s="31">
        <v>367000</v>
      </c>
      <c r="J696" s="35" t="s">
        <v>1514</v>
      </c>
      <c r="K696" s="36">
        <v>2020</v>
      </c>
    </row>
    <row r="697" spans="1:11" ht="15" customHeight="1" x14ac:dyDescent="0.3">
      <c r="A697" s="37">
        <v>692</v>
      </c>
      <c r="B697" s="38" t="s">
        <v>1059</v>
      </c>
      <c r="C697" s="38" t="s">
        <v>1595</v>
      </c>
      <c r="D697" s="38" t="s">
        <v>1596</v>
      </c>
      <c r="E697" s="38" t="s">
        <v>41</v>
      </c>
      <c r="F697" s="38" t="s">
        <v>316</v>
      </c>
      <c r="G697" s="39">
        <v>265</v>
      </c>
      <c r="H697" s="40">
        <v>0.86399999999999999</v>
      </c>
      <c r="I697" s="37">
        <v>137260</v>
      </c>
      <c r="J697" s="41" t="s">
        <v>78</v>
      </c>
      <c r="K697" s="42">
        <v>2021</v>
      </c>
    </row>
    <row r="698" spans="1:11" ht="15" customHeight="1" x14ac:dyDescent="0.3">
      <c r="A698" s="31">
        <v>693</v>
      </c>
      <c r="B698" s="32" t="s">
        <v>1059</v>
      </c>
      <c r="C698" s="32" t="s">
        <v>1597</v>
      </c>
      <c r="D698" s="32" t="s">
        <v>1598</v>
      </c>
      <c r="E698" s="32" t="s">
        <v>49</v>
      </c>
      <c r="F698" s="32" t="s">
        <v>276</v>
      </c>
      <c r="G698" s="33">
        <v>526.16999999999996</v>
      </c>
      <c r="H698" s="34">
        <v>0.78</v>
      </c>
      <c r="I698" s="31">
        <v>127000</v>
      </c>
      <c r="J698" s="35" t="s">
        <v>78</v>
      </c>
      <c r="K698" s="36">
        <v>2021</v>
      </c>
    </row>
    <row r="699" spans="1:11" ht="15" customHeight="1" x14ac:dyDescent="0.3">
      <c r="A699" s="37">
        <v>694</v>
      </c>
      <c r="B699" s="38" t="s">
        <v>1059</v>
      </c>
      <c r="C699" s="38" t="s">
        <v>1599</v>
      </c>
      <c r="D699" s="38" t="s">
        <v>1600</v>
      </c>
      <c r="E699" s="38" t="s">
        <v>1601</v>
      </c>
      <c r="F699" s="38" t="s">
        <v>395</v>
      </c>
      <c r="G699" s="39">
        <v>1199</v>
      </c>
      <c r="H699" s="40">
        <v>8</v>
      </c>
      <c r="I699" s="37">
        <v>323260</v>
      </c>
      <c r="J699" s="41" t="s">
        <v>78</v>
      </c>
      <c r="K699" s="42">
        <v>2021</v>
      </c>
    </row>
    <row r="700" spans="1:11" ht="15" customHeight="1" x14ac:dyDescent="0.3">
      <c r="A700" s="31">
        <v>695</v>
      </c>
      <c r="B700" s="32" t="s">
        <v>1059</v>
      </c>
      <c r="C700" s="32" t="s">
        <v>1602</v>
      </c>
      <c r="D700" s="32" t="s">
        <v>1603</v>
      </c>
      <c r="E700" s="32" t="s">
        <v>1604</v>
      </c>
      <c r="F700" s="32" t="s">
        <v>287</v>
      </c>
      <c r="G700" s="33">
        <v>919</v>
      </c>
      <c r="H700" s="34">
        <v>4</v>
      </c>
      <c r="I700" s="31">
        <v>219260</v>
      </c>
      <c r="J700" s="35" t="s">
        <v>78</v>
      </c>
      <c r="K700" s="36">
        <v>2021</v>
      </c>
    </row>
    <row r="701" spans="1:11" ht="15" customHeight="1" x14ac:dyDescent="0.3">
      <c r="A701" s="37">
        <v>696</v>
      </c>
      <c r="B701" s="38" t="s">
        <v>1059</v>
      </c>
      <c r="C701" s="38" t="s">
        <v>1605</v>
      </c>
      <c r="D701" s="38" t="s">
        <v>505</v>
      </c>
      <c r="E701" s="38" t="s">
        <v>43</v>
      </c>
      <c r="F701" s="38" t="s">
        <v>658</v>
      </c>
      <c r="G701" s="39">
        <v>2840</v>
      </c>
      <c r="H701" s="40">
        <v>4</v>
      </c>
      <c r="I701" s="37">
        <v>219260</v>
      </c>
      <c r="J701" s="41" t="s">
        <v>78</v>
      </c>
      <c r="K701" s="42">
        <v>2021</v>
      </c>
    </row>
    <row r="702" spans="1:11" ht="15" customHeight="1" x14ac:dyDescent="0.3">
      <c r="A702" s="31">
        <v>697</v>
      </c>
      <c r="B702" s="32" t="s">
        <v>1059</v>
      </c>
      <c r="C702" s="32" t="s">
        <v>1606</v>
      </c>
      <c r="D702" s="32" t="s">
        <v>1607</v>
      </c>
      <c r="E702" s="32" t="s">
        <v>348</v>
      </c>
      <c r="F702" s="32" t="s">
        <v>287</v>
      </c>
      <c r="G702" s="33">
        <v>660</v>
      </c>
      <c r="H702" s="34">
        <v>2</v>
      </c>
      <c r="I702" s="31">
        <v>163260</v>
      </c>
      <c r="J702" s="35" t="s">
        <v>78</v>
      </c>
      <c r="K702" s="36">
        <v>2021</v>
      </c>
    </row>
    <row r="703" spans="1:11" ht="15" customHeight="1" x14ac:dyDescent="0.3">
      <c r="A703" s="37">
        <v>698</v>
      </c>
      <c r="B703" s="38" t="s">
        <v>1059</v>
      </c>
      <c r="C703" s="38" t="s">
        <v>1608</v>
      </c>
      <c r="D703" s="38" t="s">
        <v>1609</v>
      </c>
      <c r="E703" s="38" t="s">
        <v>499</v>
      </c>
      <c r="F703" s="38" t="s">
        <v>1610</v>
      </c>
      <c r="G703" s="39">
        <v>258.37</v>
      </c>
      <c r="H703" s="40">
        <v>2</v>
      </c>
      <c r="I703" s="37">
        <v>163260</v>
      </c>
      <c r="J703" s="41" t="s">
        <v>78</v>
      </c>
      <c r="K703" s="42">
        <v>2021</v>
      </c>
    </row>
    <row r="704" spans="1:11" ht="15" customHeight="1" x14ac:dyDescent="0.3">
      <c r="A704" s="31">
        <v>699</v>
      </c>
      <c r="B704" s="32" t="s">
        <v>1059</v>
      </c>
      <c r="C704" s="32" t="s">
        <v>1611</v>
      </c>
      <c r="D704" s="32" t="s">
        <v>1612</v>
      </c>
      <c r="E704" s="32" t="s">
        <v>1613</v>
      </c>
      <c r="F704" s="32" t="s">
        <v>1614</v>
      </c>
      <c r="G704" s="33">
        <v>2993</v>
      </c>
      <c r="H704" s="34">
        <v>8</v>
      </c>
      <c r="I704" s="31">
        <v>323260</v>
      </c>
      <c r="J704" s="35" t="s">
        <v>78</v>
      </c>
      <c r="K704" s="36">
        <v>2021</v>
      </c>
    </row>
    <row r="705" spans="1:11" ht="15" customHeight="1" x14ac:dyDescent="0.3">
      <c r="A705" s="37">
        <v>700</v>
      </c>
      <c r="B705" s="38" t="s">
        <v>1059</v>
      </c>
      <c r="C705" s="38" t="s">
        <v>1615</v>
      </c>
      <c r="D705" s="38" t="s">
        <v>38</v>
      </c>
      <c r="E705" s="38" t="s">
        <v>51</v>
      </c>
      <c r="F705" s="38" t="s">
        <v>406</v>
      </c>
      <c r="G705" s="39">
        <v>217</v>
      </c>
      <c r="H705" s="40">
        <v>2</v>
      </c>
      <c r="I705" s="37">
        <v>153000</v>
      </c>
      <c r="J705" s="41" t="s">
        <v>78</v>
      </c>
      <c r="K705" s="42">
        <v>2021</v>
      </c>
    </row>
    <row r="706" spans="1:11" ht="15" customHeight="1" x14ac:dyDescent="0.3">
      <c r="A706" s="31">
        <v>701</v>
      </c>
      <c r="B706" s="32" t="s">
        <v>336</v>
      </c>
      <c r="C706" s="32" t="s">
        <v>1616</v>
      </c>
      <c r="D706" s="32" t="s">
        <v>538</v>
      </c>
      <c r="E706" s="32" t="s">
        <v>37</v>
      </c>
      <c r="F706" s="32" t="s">
        <v>316</v>
      </c>
      <c r="G706" s="33">
        <v>1098.75</v>
      </c>
      <c r="H706" s="34">
        <v>3.17</v>
      </c>
      <c r="I706" s="31">
        <v>191260</v>
      </c>
      <c r="J706" s="35" t="s">
        <v>78</v>
      </c>
      <c r="K706" s="36">
        <v>2021</v>
      </c>
    </row>
    <row r="707" spans="1:11" ht="15" customHeight="1" x14ac:dyDescent="0.3">
      <c r="A707" s="37">
        <v>702</v>
      </c>
      <c r="B707" s="38" t="s">
        <v>336</v>
      </c>
      <c r="C707" s="38" t="s">
        <v>1617</v>
      </c>
      <c r="D707" s="38" t="s">
        <v>1618</v>
      </c>
      <c r="E707" s="38" t="s">
        <v>372</v>
      </c>
      <c r="F707" s="38" t="s">
        <v>693</v>
      </c>
      <c r="G707" s="39">
        <v>708</v>
      </c>
      <c r="H707" s="40">
        <v>0.68</v>
      </c>
      <c r="I707" s="37">
        <v>127000</v>
      </c>
      <c r="J707" s="41" t="s">
        <v>78</v>
      </c>
      <c r="K707" s="42">
        <v>2021</v>
      </c>
    </row>
    <row r="708" spans="1:11" ht="15" customHeight="1" x14ac:dyDescent="0.3">
      <c r="A708" s="31">
        <v>703</v>
      </c>
      <c r="B708" s="32" t="s">
        <v>336</v>
      </c>
      <c r="C708" s="32" t="s">
        <v>1619</v>
      </c>
      <c r="D708" s="32" t="s">
        <v>1620</v>
      </c>
      <c r="E708" s="32" t="s">
        <v>515</v>
      </c>
      <c r="F708" s="32" t="s">
        <v>1621</v>
      </c>
      <c r="G708" s="33">
        <v>2313</v>
      </c>
      <c r="H708" s="34">
        <v>4.7949999999999999</v>
      </c>
      <c r="I708" s="31">
        <v>247260</v>
      </c>
      <c r="J708" s="35" t="s">
        <v>78</v>
      </c>
      <c r="K708" s="36">
        <v>2021</v>
      </c>
    </row>
    <row r="709" spans="1:11" ht="15" customHeight="1" x14ac:dyDescent="0.3">
      <c r="A709" s="37">
        <v>704</v>
      </c>
      <c r="B709" s="38" t="s">
        <v>336</v>
      </c>
      <c r="C709" s="38" t="s">
        <v>1622</v>
      </c>
      <c r="D709" s="38" t="s">
        <v>1623</v>
      </c>
      <c r="E709" s="38" t="s">
        <v>648</v>
      </c>
      <c r="F709" s="38" t="s">
        <v>693</v>
      </c>
      <c r="G709" s="39">
        <v>1257.5</v>
      </c>
      <c r="H709" s="40">
        <v>3.07</v>
      </c>
      <c r="I709" s="37">
        <v>191260</v>
      </c>
      <c r="J709" s="41" t="s">
        <v>78</v>
      </c>
      <c r="K709" s="42">
        <v>2021</v>
      </c>
    </row>
    <row r="710" spans="1:11" ht="15" customHeight="1" x14ac:dyDescent="0.3">
      <c r="A710" s="31">
        <v>705</v>
      </c>
      <c r="B710" s="32" t="s">
        <v>336</v>
      </c>
      <c r="C710" s="32" t="s">
        <v>1624</v>
      </c>
      <c r="D710" s="32" t="s">
        <v>1625</v>
      </c>
      <c r="E710" s="32" t="s">
        <v>1626</v>
      </c>
      <c r="F710" s="32" t="s">
        <v>1627</v>
      </c>
      <c r="G710" s="33">
        <v>185.6</v>
      </c>
      <c r="H710" s="34">
        <v>1</v>
      </c>
      <c r="I710" s="31">
        <v>137260</v>
      </c>
      <c r="J710" s="35" t="s">
        <v>78</v>
      </c>
      <c r="K710" s="36">
        <v>2021</v>
      </c>
    </row>
    <row r="711" spans="1:11" ht="15" customHeight="1" x14ac:dyDescent="0.3">
      <c r="A711" s="37">
        <v>706</v>
      </c>
      <c r="B711" s="38" t="s">
        <v>336</v>
      </c>
      <c r="C711" s="38" t="s">
        <v>1628</v>
      </c>
      <c r="D711" s="38" t="s">
        <v>1629</v>
      </c>
      <c r="E711" s="38" t="s">
        <v>1630</v>
      </c>
      <c r="F711" s="38" t="s">
        <v>323</v>
      </c>
      <c r="G711" s="39">
        <v>4.5</v>
      </c>
      <c r="H711" s="40">
        <v>0.05</v>
      </c>
      <c r="I711" s="37">
        <v>137260</v>
      </c>
      <c r="J711" s="41" t="s">
        <v>78</v>
      </c>
      <c r="K711" s="42">
        <v>2021</v>
      </c>
    </row>
    <row r="712" spans="1:11" ht="15" customHeight="1" x14ac:dyDescent="0.3">
      <c r="A712" s="31">
        <v>707</v>
      </c>
      <c r="B712" s="32" t="s">
        <v>336</v>
      </c>
      <c r="C712" s="32" t="s">
        <v>1631</v>
      </c>
      <c r="D712" s="32" t="s">
        <v>1632</v>
      </c>
      <c r="E712" s="32" t="s">
        <v>47</v>
      </c>
      <c r="F712" s="32" t="s">
        <v>316</v>
      </c>
      <c r="G712" s="33">
        <v>705</v>
      </c>
      <c r="H712" s="34">
        <v>2</v>
      </c>
      <c r="I712" s="31">
        <v>163260</v>
      </c>
      <c r="J712" s="35" t="s">
        <v>78</v>
      </c>
      <c r="K712" s="36">
        <v>2021</v>
      </c>
    </row>
    <row r="713" spans="1:11" ht="15" customHeight="1" x14ac:dyDescent="0.3">
      <c r="A713" s="37">
        <v>708</v>
      </c>
      <c r="B713" s="38" t="s">
        <v>336</v>
      </c>
      <c r="C713" s="38" t="s">
        <v>1633</v>
      </c>
      <c r="D713" s="38" t="s">
        <v>1632</v>
      </c>
      <c r="E713" s="38" t="s">
        <v>49</v>
      </c>
      <c r="F713" s="38" t="s">
        <v>276</v>
      </c>
      <c r="G713" s="39">
        <v>143</v>
      </c>
      <c r="H713" s="40">
        <v>0.17</v>
      </c>
      <c r="I713" s="37">
        <v>127000</v>
      </c>
      <c r="J713" s="41" t="s">
        <v>78</v>
      </c>
      <c r="K713" s="42">
        <v>2021</v>
      </c>
    </row>
    <row r="714" spans="1:11" ht="15" customHeight="1" x14ac:dyDescent="0.3">
      <c r="A714" s="31">
        <v>709</v>
      </c>
      <c r="B714" s="32" t="s">
        <v>336</v>
      </c>
      <c r="C714" s="32" t="s">
        <v>1634</v>
      </c>
      <c r="D714" s="32" t="s">
        <v>1193</v>
      </c>
      <c r="E714" s="32" t="s">
        <v>1635</v>
      </c>
      <c r="F714" s="32" t="s">
        <v>316</v>
      </c>
      <c r="G714" s="33">
        <v>406</v>
      </c>
      <c r="H714" s="34">
        <v>3</v>
      </c>
      <c r="I714" s="31">
        <v>191260</v>
      </c>
      <c r="J714" s="35" t="s">
        <v>78</v>
      </c>
      <c r="K714" s="36">
        <v>2021</v>
      </c>
    </row>
    <row r="715" spans="1:11" ht="15" customHeight="1" x14ac:dyDescent="0.3">
      <c r="A715" s="37">
        <v>710</v>
      </c>
      <c r="B715" s="38" t="s">
        <v>336</v>
      </c>
      <c r="C715" s="38" t="s">
        <v>1636</v>
      </c>
      <c r="D715" s="38" t="s">
        <v>1637</v>
      </c>
      <c r="E715" s="38" t="s">
        <v>1638</v>
      </c>
      <c r="F715" s="38" t="s">
        <v>312</v>
      </c>
      <c r="G715" s="39">
        <v>480</v>
      </c>
      <c r="H715" s="40">
        <v>3</v>
      </c>
      <c r="I715" s="37">
        <v>191260</v>
      </c>
      <c r="J715" s="41" t="s">
        <v>78</v>
      </c>
      <c r="K715" s="42">
        <v>2021</v>
      </c>
    </row>
    <row r="716" spans="1:11" ht="15" customHeight="1" x14ac:dyDescent="0.3">
      <c r="A716" s="31">
        <v>711</v>
      </c>
      <c r="B716" s="32" t="s">
        <v>336</v>
      </c>
      <c r="C716" s="32" t="s">
        <v>1639</v>
      </c>
      <c r="D716" s="32" t="s">
        <v>38</v>
      </c>
      <c r="E716" s="32" t="s">
        <v>51</v>
      </c>
      <c r="F716" s="32" t="s">
        <v>658</v>
      </c>
      <c r="G716" s="33">
        <v>109.6</v>
      </c>
      <c r="H716" s="34">
        <v>0.38</v>
      </c>
      <c r="I716" s="31">
        <v>127000</v>
      </c>
      <c r="J716" s="35" t="s">
        <v>78</v>
      </c>
      <c r="K716" s="36">
        <v>2021</v>
      </c>
    </row>
    <row r="717" spans="1:11" ht="15" customHeight="1" x14ac:dyDescent="0.3">
      <c r="A717" s="37">
        <v>712</v>
      </c>
      <c r="B717" s="38" t="s">
        <v>336</v>
      </c>
      <c r="C717" s="38" t="s">
        <v>1640</v>
      </c>
      <c r="D717" s="38" t="s">
        <v>38</v>
      </c>
      <c r="E717" s="38" t="s">
        <v>51</v>
      </c>
      <c r="F717" s="38" t="s">
        <v>406</v>
      </c>
      <c r="G717" s="39">
        <v>2250</v>
      </c>
      <c r="H717" s="40">
        <v>5</v>
      </c>
      <c r="I717" s="37">
        <v>237000</v>
      </c>
      <c r="J717" s="41" t="s">
        <v>78</v>
      </c>
      <c r="K717" s="42">
        <v>2021</v>
      </c>
    </row>
    <row r="718" spans="1:11" ht="15" customHeight="1" x14ac:dyDescent="0.3">
      <c r="A718" s="31">
        <v>713</v>
      </c>
      <c r="B718" s="32" t="s">
        <v>313</v>
      </c>
      <c r="C718" s="32" t="s">
        <v>1641</v>
      </c>
      <c r="D718" s="32" t="s">
        <v>1642</v>
      </c>
      <c r="E718" s="32" t="s">
        <v>1643</v>
      </c>
      <c r="F718" s="32" t="s">
        <v>287</v>
      </c>
      <c r="G718" s="33">
        <v>1245.3900000000001</v>
      </c>
      <c r="H718" s="34">
        <v>3.4980000000000002</v>
      </c>
      <c r="I718" s="31">
        <v>181000</v>
      </c>
      <c r="J718" s="35" t="s">
        <v>78</v>
      </c>
      <c r="K718" s="36">
        <v>2021</v>
      </c>
    </row>
    <row r="719" spans="1:11" ht="15" customHeight="1" x14ac:dyDescent="0.3">
      <c r="A719" s="37">
        <v>714</v>
      </c>
      <c r="B719" s="38" t="s">
        <v>313</v>
      </c>
      <c r="C719" s="38" t="s">
        <v>1644</v>
      </c>
      <c r="D719" s="38" t="s">
        <v>1645</v>
      </c>
      <c r="E719" s="38" t="s">
        <v>1646</v>
      </c>
      <c r="F719" s="38" t="s">
        <v>1647</v>
      </c>
      <c r="G719" s="39">
        <v>4344.28</v>
      </c>
      <c r="H719" s="40">
        <v>9.2469999999999999</v>
      </c>
      <c r="I719" s="37">
        <v>350260</v>
      </c>
      <c r="J719" s="41" t="s">
        <v>78</v>
      </c>
      <c r="K719" s="42">
        <v>2021</v>
      </c>
    </row>
    <row r="720" spans="1:11" ht="15" customHeight="1" x14ac:dyDescent="0.3">
      <c r="A720" s="31">
        <v>715</v>
      </c>
      <c r="B720" s="32" t="s">
        <v>313</v>
      </c>
      <c r="C720" s="32" t="s">
        <v>1648</v>
      </c>
      <c r="D720" s="32" t="s">
        <v>1649</v>
      </c>
      <c r="E720" s="32" t="s">
        <v>1650</v>
      </c>
      <c r="F720" s="32" t="s">
        <v>306</v>
      </c>
      <c r="G720" s="33">
        <v>550</v>
      </c>
      <c r="H720" s="34">
        <v>2.5110000000000001</v>
      </c>
      <c r="I720" s="31">
        <v>181000</v>
      </c>
      <c r="J720" s="35" t="s">
        <v>78</v>
      </c>
      <c r="K720" s="36">
        <v>2021</v>
      </c>
    </row>
    <row r="721" spans="1:11" ht="15" customHeight="1" x14ac:dyDescent="0.3">
      <c r="A721" s="37">
        <v>716</v>
      </c>
      <c r="B721" s="38" t="s">
        <v>313</v>
      </c>
      <c r="C721" s="38" t="s">
        <v>1651</v>
      </c>
      <c r="D721" s="38" t="s">
        <v>848</v>
      </c>
      <c r="E721" s="38" t="s">
        <v>47</v>
      </c>
      <c r="F721" s="38" t="s">
        <v>849</v>
      </c>
      <c r="G721" s="39">
        <v>2260</v>
      </c>
      <c r="H721" s="40">
        <v>3.2890000000000001</v>
      </c>
      <c r="I721" s="37">
        <v>191260</v>
      </c>
      <c r="J721" s="41" t="s">
        <v>78</v>
      </c>
      <c r="K721" s="42">
        <v>2021</v>
      </c>
    </row>
    <row r="722" spans="1:11" ht="15" customHeight="1" x14ac:dyDescent="0.3">
      <c r="A722" s="31">
        <v>717</v>
      </c>
      <c r="B722" s="32" t="s">
        <v>313</v>
      </c>
      <c r="C722" s="32" t="s">
        <v>1652</v>
      </c>
      <c r="D722" s="32" t="s">
        <v>1653</v>
      </c>
      <c r="E722" s="32" t="s">
        <v>1654</v>
      </c>
      <c r="F722" s="32" t="s">
        <v>276</v>
      </c>
      <c r="G722" s="33">
        <v>134</v>
      </c>
      <c r="H722" s="34">
        <v>1.3320000000000001</v>
      </c>
      <c r="I722" s="31">
        <v>137260</v>
      </c>
      <c r="J722" s="35" t="s">
        <v>78</v>
      </c>
      <c r="K722" s="36">
        <v>2021</v>
      </c>
    </row>
    <row r="723" spans="1:11" ht="15" customHeight="1" x14ac:dyDescent="0.3">
      <c r="A723" s="37">
        <v>718</v>
      </c>
      <c r="B723" s="38" t="s">
        <v>313</v>
      </c>
      <c r="C723" s="38" t="s">
        <v>1655</v>
      </c>
      <c r="D723" s="38" t="s">
        <v>48</v>
      </c>
      <c r="E723" s="38" t="s">
        <v>35</v>
      </c>
      <c r="F723" s="38" t="s">
        <v>287</v>
      </c>
      <c r="G723" s="39">
        <v>1089</v>
      </c>
      <c r="H723" s="40">
        <v>1.4730000000000001</v>
      </c>
      <c r="I723" s="37">
        <v>137260</v>
      </c>
      <c r="J723" s="41" t="s">
        <v>78</v>
      </c>
      <c r="K723" s="42">
        <v>2021</v>
      </c>
    </row>
    <row r="724" spans="1:11" ht="15" customHeight="1" x14ac:dyDescent="0.3">
      <c r="A724" s="31">
        <v>719</v>
      </c>
      <c r="B724" s="32" t="s">
        <v>313</v>
      </c>
      <c r="C724" s="32" t="s">
        <v>1656</v>
      </c>
      <c r="D724" s="32" t="s">
        <v>242</v>
      </c>
      <c r="E724" s="32" t="s">
        <v>243</v>
      </c>
      <c r="F724" s="32" t="s">
        <v>316</v>
      </c>
      <c r="G724" s="33">
        <v>1066.5999999999999</v>
      </c>
      <c r="H724" s="34">
        <v>3.12</v>
      </c>
      <c r="I724" s="31">
        <v>181000</v>
      </c>
      <c r="J724" s="35" t="s">
        <v>78</v>
      </c>
      <c r="K724" s="36">
        <v>2021</v>
      </c>
    </row>
    <row r="725" spans="1:11" ht="15" customHeight="1" x14ac:dyDescent="0.3">
      <c r="A725" s="37">
        <v>720</v>
      </c>
      <c r="B725" s="38" t="s">
        <v>313</v>
      </c>
      <c r="C725" s="38" t="s">
        <v>1657</v>
      </c>
      <c r="D725" s="38" t="s">
        <v>1658</v>
      </c>
      <c r="E725" s="38" t="s">
        <v>1659</v>
      </c>
      <c r="F725" s="38" t="s">
        <v>1660</v>
      </c>
      <c r="G725" s="39">
        <v>1383.45</v>
      </c>
      <c r="H725" s="40">
        <v>6</v>
      </c>
      <c r="I725" s="37">
        <v>275260</v>
      </c>
      <c r="J725" s="41" t="s">
        <v>78</v>
      </c>
      <c r="K725" s="42">
        <v>2021</v>
      </c>
    </row>
    <row r="726" spans="1:11" ht="15" customHeight="1" x14ac:dyDescent="0.3">
      <c r="A726" s="31">
        <v>721</v>
      </c>
      <c r="B726" s="32" t="s">
        <v>313</v>
      </c>
      <c r="C726" s="32" t="s">
        <v>1661</v>
      </c>
      <c r="D726" s="32" t="s">
        <v>1662</v>
      </c>
      <c r="E726" s="32" t="s">
        <v>47</v>
      </c>
      <c r="F726" s="32" t="s">
        <v>335</v>
      </c>
      <c r="G726" s="33">
        <v>1662</v>
      </c>
      <c r="H726" s="34">
        <v>2</v>
      </c>
      <c r="I726" s="31">
        <v>153000</v>
      </c>
      <c r="J726" s="35" t="s">
        <v>78</v>
      </c>
      <c r="K726" s="36">
        <v>2021</v>
      </c>
    </row>
    <row r="727" spans="1:11" ht="15" customHeight="1" x14ac:dyDescent="0.3">
      <c r="A727" s="37">
        <v>722</v>
      </c>
      <c r="B727" s="38" t="s">
        <v>313</v>
      </c>
      <c r="C727" s="38" t="s">
        <v>1663</v>
      </c>
      <c r="D727" s="38" t="s">
        <v>1664</v>
      </c>
      <c r="E727" s="38" t="s">
        <v>1665</v>
      </c>
      <c r="F727" s="38" t="s">
        <v>658</v>
      </c>
      <c r="G727" s="39">
        <v>3676</v>
      </c>
      <c r="H727" s="40">
        <v>7</v>
      </c>
      <c r="I727" s="37">
        <v>293000</v>
      </c>
      <c r="J727" s="41" t="s">
        <v>78</v>
      </c>
      <c r="K727" s="42">
        <v>2021</v>
      </c>
    </row>
    <row r="728" spans="1:11" ht="15" customHeight="1" x14ac:dyDescent="0.3">
      <c r="A728" s="31">
        <v>723</v>
      </c>
      <c r="B728" s="32" t="s">
        <v>313</v>
      </c>
      <c r="C728" s="32" t="s">
        <v>1666</v>
      </c>
      <c r="D728" s="32" t="s">
        <v>36</v>
      </c>
      <c r="E728" s="32" t="s">
        <v>43</v>
      </c>
      <c r="F728" s="32" t="s">
        <v>335</v>
      </c>
      <c r="G728" s="33">
        <v>454.4</v>
      </c>
      <c r="H728" s="34">
        <v>2</v>
      </c>
      <c r="I728" s="31">
        <v>163260</v>
      </c>
      <c r="J728" s="35" t="s">
        <v>78</v>
      </c>
      <c r="K728" s="36">
        <v>2021</v>
      </c>
    </row>
    <row r="729" spans="1:11" ht="15" customHeight="1" x14ac:dyDescent="0.3">
      <c r="A729" s="37">
        <v>724</v>
      </c>
      <c r="B729" s="38" t="s">
        <v>272</v>
      </c>
      <c r="C729" s="38" t="s">
        <v>1667</v>
      </c>
      <c r="D729" s="38" t="s">
        <v>1280</v>
      </c>
      <c r="E729" s="38" t="s">
        <v>499</v>
      </c>
      <c r="F729" s="38" t="s">
        <v>276</v>
      </c>
      <c r="G729" s="39">
        <v>116.4</v>
      </c>
      <c r="H729" s="40">
        <v>0.6</v>
      </c>
      <c r="I729" s="37">
        <v>137260</v>
      </c>
      <c r="J729" s="41" t="s">
        <v>78</v>
      </c>
      <c r="K729" s="42">
        <v>2021</v>
      </c>
    </row>
    <row r="730" spans="1:11" ht="15" customHeight="1" x14ac:dyDescent="0.3">
      <c r="A730" s="31">
        <v>725</v>
      </c>
      <c r="B730" s="32" t="s">
        <v>272</v>
      </c>
      <c r="C730" s="32" t="s">
        <v>1668</v>
      </c>
      <c r="D730" s="32" t="s">
        <v>1669</v>
      </c>
      <c r="E730" s="32" t="s">
        <v>37</v>
      </c>
      <c r="F730" s="32" t="s">
        <v>1031</v>
      </c>
      <c r="G730" s="33">
        <v>2517</v>
      </c>
      <c r="H730" s="34">
        <v>6</v>
      </c>
      <c r="I730" s="31">
        <v>275260</v>
      </c>
      <c r="J730" s="35" t="s">
        <v>78</v>
      </c>
      <c r="K730" s="36">
        <v>2021</v>
      </c>
    </row>
    <row r="731" spans="1:11" ht="15" customHeight="1" x14ac:dyDescent="0.3">
      <c r="A731" s="37">
        <v>726</v>
      </c>
      <c r="B731" s="38" t="s">
        <v>272</v>
      </c>
      <c r="C731" s="38" t="s">
        <v>1670</v>
      </c>
      <c r="D731" s="38" t="s">
        <v>44</v>
      </c>
      <c r="E731" s="38" t="s">
        <v>35</v>
      </c>
      <c r="F731" s="38" t="s">
        <v>1671</v>
      </c>
      <c r="G731" s="39">
        <v>10125</v>
      </c>
      <c r="H731" s="40">
        <v>10</v>
      </c>
      <c r="I731" s="37">
        <v>377260</v>
      </c>
      <c r="J731" s="41" t="s">
        <v>78</v>
      </c>
      <c r="K731" s="42">
        <v>2021</v>
      </c>
    </row>
    <row r="732" spans="1:11" ht="15" customHeight="1" x14ac:dyDescent="0.3">
      <c r="A732" s="31">
        <v>727</v>
      </c>
      <c r="B732" s="32" t="s">
        <v>272</v>
      </c>
      <c r="C732" s="32" t="s">
        <v>1672</v>
      </c>
      <c r="D732" s="32" t="s">
        <v>1673</v>
      </c>
      <c r="E732" s="32" t="s">
        <v>1654</v>
      </c>
      <c r="F732" s="32" t="s">
        <v>276</v>
      </c>
      <c r="G732" s="33">
        <v>121</v>
      </c>
      <c r="H732" s="34">
        <v>0.5</v>
      </c>
      <c r="I732" s="31">
        <v>137260</v>
      </c>
      <c r="J732" s="35" t="s">
        <v>78</v>
      </c>
      <c r="K732" s="36">
        <v>2021</v>
      </c>
    </row>
    <row r="733" spans="1:11" ht="15" customHeight="1" x14ac:dyDescent="0.3">
      <c r="A733" s="37">
        <v>728</v>
      </c>
      <c r="B733" s="38" t="s">
        <v>272</v>
      </c>
      <c r="C733" s="38" t="s">
        <v>1674</v>
      </c>
      <c r="D733" s="38" t="s">
        <v>1675</v>
      </c>
      <c r="E733" s="38" t="s">
        <v>1676</v>
      </c>
      <c r="F733" s="38" t="s">
        <v>693</v>
      </c>
      <c r="G733" s="39">
        <v>590.5</v>
      </c>
      <c r="H733" s="40">
        <v>0.62</v>
      </c>
      <c r="I733" s="37">
        <v>127000</v>
      </c>
      <c r="J733" s="41" t="s">
        <v>78</v>
      </c>
      <c r="K733" s="42">
        <v>2021</v>
      </c>
    </row>
    <row r="734" spans="1:11" ht="15" customHeight="1" x14ac:dyDescent="0.3">
      <c r="A734" s="31">
        <v>729</v>
      </c>
      <c r="B734" s="32" t="s">
        <v>272</v>
      </c>
      <c r="C734" s="32" t="s">
        <v>1677</v>
      </c>
      <c r="D734" s="32" t="s">
        <v>1678</v>
      </c>
      <c r="E734" s="32" t="s">
        <v>1679</v>
      </c>
      <c r="F734" s="32" t="s">
        <v>276</v>
      </c>
      <c r="G734" s="33">
        <v>417.56</v>
      </c>
      <c r="H734" s="34">
        <v>1.39</v>
      </c>
      <c r="I734" s="31">
        <v>127000</v>
      </c>
      <c r="J734" s="35" t="s">
        <v>78</v>
      </c>
      <c r="K734" s="36">
        <v>2021</v>
      </c>
    </row>
    <row r="735" spans="1:11" ht="15" customHeight="1" x14ac:dyDescent="0.3">
      <c r="A735" s="37">
        <v>730</v>
      </c>
      <c r="B735" s="38" t="s">
        <v>272</v>
      </c>
      <c r="C735" s="38" t="s">
        <v>1680</v>
      </c>
      <c r="D735" s="38" t="s">
        <v>1681</v>
      </c>
      <c r="E735" s="38" t="s">
        <v>1682</v>
      </c>
      <c r="F735" s="38" t="s">
        <v>329</v>
      </c>
      <c r="G735" s="39">
        <v>819</v>
      </c>
      <c r="H735" s="40">
        <v>1</v>
      </c>
      <c r="I735" s="37">
        <v>127000</v>
      </c>
      <c r="J735" s="41" t="s">
        <v>78</v>
      </c>
      <c r="K735" s="42">
        <v>2021</v>
      </c>
    </row>
    <row r="736" spans="1:11" ht="15" customHeight="1" x14ac:dyDescent="0.3">
      <c r="A736" s="31">
        <v>731</v>
      </c>
      <c r="B736" s="32" t="s">
        <v>272</v>
      </c>
      <c r="C736" s="32" t="s">
        <v>1683</v>
      </c>
      <c r="D736" s="32" t="s">
        <v>1684</v>
      </c>
      <c r="E736" s="32" t="s">
        <v>1685</v>
      </c>
      <c r="F736" s="32" t="s">
        <v>316</v>
      </c>
      <c r="G736" s="33">
        <v>136.99</v>
      </c>
      <c r="H736" s="34">
        <v>4</v>
      </c>
      <c r="I736" s="31">
        <v>219260</v>
      </c>
      <c r="J736" s="35" t="s">
        <v>78</v>
      </c>
      <c r="K736" s="36">
        <v>2021</v>
      </c>
    </row>
    <row r="737" spans="1:11" ht="15" customHeight="1" x14ac:dyDescent="0.3">
      <c r="A737" s="37">
        <v>732</v>
      </c>
      <c r="B737" s="38" t="s">
        <v>272</v>
      </c>
      <c r="C737" s="38" t="s">
        <v>1686</v>
      </c>
      <c r="D737" s="38" t="s">
        <v>1687</v>
      </c>
      <c r="E737" s="38" t="s">
        <v>76</v>
      </c>
      <c r="F737" s="38" t="s">
        <v>276</v>
      </c>
      <c r="G737" s="39">
        <v>35</v>
      </c>
      <c r="H737" s="40">
        <v>0.22</v>
      </c>
      <c r="I737" s="37">
        <v>137260</v>
      </c>
      <c r="J737" s="41" t="s">
        <v>78</v>
      </c>
      <c r="K737" s="42">
        <v>2021</v>
      </c>
    </row>
    <row r="738" spans="1:11" ht="15" customHeight="1" x14ac:dyDescent="0.3">
      <c r="A738" s="31">
        <v>733</v>
      </c>
      <c r="B738" s="32" t="s">
        <v>272</v>
      </c>
      <c r="C738" s="32" t="s">
        <v>1688</v>
      </c>
      <c r="D738" s="32" t="s">
        <v>1689</v>
      </c>
      <c r="E738" s="32" t="s">
        <v>49</v>
      </c>
      <c r="F738" s="32" t="s">
        <v>306</v>
      </c>
      <c r="G738" s="33">
        <v>540</v>
      </c>
      <c r="H738" s="34">
        <v>2</v>
      </c>
      <c r="I738" s="31">
        <v>153000</v>
      </c>
      <c r="J738" s="35" t="s">
        <v>78</v>
      </c>
      <c r="K738" s="36">
        <v>2021</v>
      </c>
    </row>
    <row r="739" spans="1:11" ht="15" customHeight="1" x14ac:dyDescent="0.3">
      <c r="A739" s="37">
        <v>734</v>
      </c>
      <c r="B739" s="38" t="s">
        <v>272</v>
      </c>
      <c r="C739" s="38" t="s">
        <v>1690</v>
      </c>
      <c r="D739" s="38" t="s">
        <v>1691</v>
      </c>
      <c r="E739" s="38" t="s">
        <v>1692</v>
      </c>
      <c r="F739" s="38" t="s">
        <v>329</v>
      </c>
      <c r="G739" s="39">
        <v>905</v>
      </c>
      <c r="H739" s="40">
        <v>5</v>
      </c>
      <c r="I739" s="37">
        <v>237000</v>
      </c>
      <c r="J739" s="41" t="s">
        <v>78</v>
      </c>
      <c r="K739" s="42">
        <v>2021</v>
      </c>
    </row>
    <row r="740" spans="1:11" ht="15" customHeight="1" x14ac:dyDescent="0.3">
      <c r="A740" s="31">
        <v>735</v>
      </c>
      <c r="B740" s="32" t="s">
        <v>272</v>
      </c>
      <c r="C740" s="32" t="s">
        <v>1693</v>
      </c>
      <c r="D740" s="32" t="s">
        <v>38</v>
      </c>
      <c r="E740" s="32" t="s">
        <v>51</v>
      </c>
      <c r="F740" s="32" t="s">
        <v>276</v>
      </c>
      <c r="G740" s="33">
        <v>230.49</v>
      </c>
      <c r="H740" s="34">
        <v>1.49</v>
      </c>
      <c r="I740" s="31">
        <v>127000</v>
      </c>
      <c r="J740" s="35" t="s">
        <v>78</v>
      </c>
      <c r="K740" s="36">
        <v>2021</v>
      </c>
    </row>
    <row r="741" spans="1:11" ht="15" customHeight="1" x14ac:dyDescent="0.3">
      <c r="A741" s="37">
        <v>736</v>
      </c>
      <c r="B741" s="38" t="s">
        <v>272</v>
      </c>
      <c r="C741" s="38" t="s">
        <v>1694</v>
      </c>
      <c r="D741" s="38" t="s">
        <v>36</v>
      </c>
      <c r="E741" s="38" t="s">
        <v>43</v>
      </c>
      <c r="F741" s="38" t="s">
        <v>329</v>
      </c>
      <c r="G741" s="39">
        <v>329</v>
      </c>
      <c r="H741" s="40">
        <v>0.38</v>
      </c>
      <c r="I741" s="37">
        <v>137260</v>
      </c>
      <c r="J741" s="41" t="s">
        <v>78</v>
      </c>
      <c r="K741" s="42">
        <v>2021</v>
      </c>
    </row>
    <row r="742" spans="1:11" ht="15" customHeight="1" x14ac:dyDescent="0.3">
      <c r="A742" s="31">
        <v>737</v>
      </c>
      <c r="B742" s="32" t="s">
        <v>1695</v>
      </c>
      <c r="C742" s="32" t="s">
        <v>1696</v>
      </c>
      <c r="D742" s="32" t="s">
        <v>1280</v>
      </c>
      <c r="E742" s="32" t="s">
        <v>499</v>
      </c>
      <c r="F742" s="32" t="s">
        <v>287</v>
      </c>
      <c r="G742" s="33">
        <v>976.9</v>
      </c>
      <c r="H742" s="34">
        <v>6</v>
      </c>
      <c r="I742" s="31">
        <v>275260</v>
      </c>
      <c r="J742" s="35" t="s">
        <v>78</v>
      </c>
      <c r="K742" s="36">
        <v>2021</v>
      </c>
    </row>
    <row r="743" spans="1:11" ht="15" customHeight="1" x14ac:dyDescent="0.3">
      <c r="A743" s="37">
        <v>738</v>
      </c>
      <c r="B743" s="38" t="s">
        <v>1695</v>
      </c>
      <c r="C743" s="38" t="s">
        <v>1697</v>
      </c>
      <c r="D743" s="38" t="s">
        <v>1698</v>
      </c>
      <c r="E743" s="38" t="s">
        <v>1699</v>
      </c>
      <c r="F743" s="38" t="s">
        <v>1318</v>
      </c>
      <c r="G743" s="39">
        <v>922</v>
      </c>
      <c r="H743" s="40">
        <v>4</v>
      </c>
      <c r="I743" s="37">
        <v>209000</v>
      </c>
      <c r="J743" s="41" t="s">
        <v>78</v>
      </c>
      <c r="K743" s="42">
        <v>2021</v>
      </c>
    </row>
    <row r="744" spans="1:11" ht="15" customHeight="1" x14ac:dyDescent="0.3">
      <c r="A744" s="31">
        <v>739</v>
      </c>
      <c r="B744" s="32" t="s">
        <v>1695</v>
      </c>
      <c r="C744" s="32" t="s">
        <v>1700</v>
      </c>
      <c r="D744" s="32" t="s">
        <v>342</v>
      </c>
      <c r="E744" s="32" t="s">
        <v>41</v>
      </c>
      <c r="F744" s="32" t="s">
        <v>312</v>
      </c>
      <c r="G744" s="33">
        <v>440</v>
      </c>
      <c r="H744" s="34">
        <v>0.33600000000000002</v>
      </c>
      <c r="I744" s="31">
        <v>137260</v>
      </c>
      <c r="J744" s="35" t="s">
        <v>78</v>
      </c>
      <c r="K744" s="36">
        <v>2021</v>
      </c>
    </row>
    <row r="745" spans="1:11" ht="15" customHeight="1" x14ac:dyDescent="0.3">
      <c r="A745" s="37">
        <v>740</v>
      </c>
      <c r="B745" s="38" t="s">
        <v>1695</v>
      </c>
      <c r="C745" s="38" t="s">
        <v>1701</v>
      </c>
      <c r="D745" s="38" t="s">
        <v>1702</v>
      </c>
      <c r="E745" s="38" t="s">
        <v>57</v>
      </c>
      <c r="F745" s="38" t="s">
        <v>698</v>
      </c>
      <c r="G745" s="39">
        <v>477.63799999999998</v>
      </c>
      <c r="H745" s="40">
        <v>5</v>
      </c>
      <c r="I745" s="37">
        <v>237000</v>
      </c>
      <c r="J745" s="41" t="s">
        <v>78</v>
      </c>
      <c r="K745" s="42">
        <v>2021</v>
      </c>
    </row>
    <row r="746" spans="1:11" ht="15" customHeight="1" x14ac:dyDescent="0.3">
      <c r="A746" s="31">
        <v>741</v>
      </c>
      <c r="B746" s="32" t="s">
        <v>1695</v>
      </c>
      <c r="C746" s="32" t="s">
        <v>1703</v>
      </c>
      <c r="D746" s="32" t="s">
        <v>1702</v>
      </c>
      <c r="E746" s="32" t="s">
        <v>57</v>
      </c>
      <c r="F746" s="32" t="s">
        <v>698</v>
      </c>
      <c r="G746" s="33">
        <v>523.90499999999997</v>
      </c>
      <c r="H746" s="34">
        <v>6</v>
      </c>
      <c r="I746" s="31">
        <v>265000</v>
      </c>
      <c r="J746" s="35" t="s">
        <v>78</v>
      </c>
      <c r="K746" s="36">
        <v>2021</v>
      </c>
    </row>
    <row r="747" spans="1:11" ht="15" customHeight="1" x14ac:dyDescent="0.3">
      <c r="A747" s="37">
        <v>742</v>
      </c>
      <c r="B747" s="38" t="s">
        <v>1695</v>
      </c>
      <c r="C747" s="38" t="s">
        <v>1704</v>
      </c>
      <c r="D747" s="38" t="s">
        <v>1705</v>
      </c>
      <c r="E747" s="38" t="s">
        <v>39</v>
      </c>
      <c r="F747" s="38" t="s">
        <v>306</v>
      </c>
      <c r="G747" s="39">
        <v>249</v>
      </c>
      <c r="H747" s="40">
        <v>0.372</v>
      </c>
      <c r="I747" s="37">
        <v>137260</v>
      </c>
      <c r="J747" s="41" t="s">
        <v>78</v>
      </c>
      <c r="K747" s="42">
        <v>2021</v>
      </c>
    </row>
    <row r="748" spans="1:11" ht="15" customHeight="1" x14ac:dyDescent="0.3">
      <c r="A748" s="31">
        <v>743</v>
      </c>
      <c r="B748" s="32" t="s">
        <v>1695</v>
      </c>
      <c r="C748" s="32" t="s">
        <v>1706</v>
      </c>
      <c r="D748" s="32" t="s">
        <v>1707</v>
      </c>
      <c r="E748" s="32" t="s">
        <v>39</v>
      </c>
      <c r="F748" s="32" t="s">
        <v>937</v>
      </c>
      <c r="G748" s="33">
        <v>1396.5</v>
      </c>
      <c r="H748" s="34">
        <v>2</v>
      </c>
      <c r="I748" s="31">
        <v>163260</v>
      </c>
      <c r="J748" s="35" t="s">
        <v>78</v>
      </c>
      <c r="K748" s="36">
        <v>2021</v>
      </c>
    </row>
    <row r="749" spans="1:11" ht="15" customHeight="1" x14ac:dyDescent="0.3">
      <c r="A749" s="37">
        <v>744</v>
      </c>
      <c r="B749" s="38" t="s">
        <v>1695</v>
      </c>
      <c r="C749" s="38" t="s">
        <v>1708</v>
      </c>
      <c r="D749" s="38" t="s">
        <v>1709</v>
      </c>
      <c r="E749" s="38" t="s">
        <v>35</v>
      </c>
      <c r="F749" s="38" t="s">
        <v>689</v>
      </c>
      <c r="G749" s="39">
        <v>5550</v>
      </c>
      <c r="H749" s="40">
        <v>3.5640000000000001</v>
      </c>
      <c r="I749" s="37">
        <v>275260</v>
      </c>
      <c r="J749" s="41" t="s">
        <v>78</v>
      </c>
      <c r="K749" s="42">
        <v>2021</v>
      </c>
    </row>
    <row r="750" spans="1:11" ht="15" customHeight="1" x14ac:dyDescent="0.3">
      <c r="A750" s="31">
        <v>745</v>
      </c>
      <c r="B750" s="32" t="s">
        <v>1695</v>
      </c>
      <c r="C750" s="32" t="s">
        <v>1710</v>
      </c>
      <c r="D750" s="32" t="s">
        <v>1711</v>
      </c>
      <c r="E750" s="32" t="s">
        <v>1712</v>
      </c>
      <c r="F750" s="32" t="s">
        <v>402</v>
      </c>
      <c r="G750" s="33">
        <v>3600</v>
      </c>
      <c r="H750" s="34">
        <v>5</v>
      </c>
      <c r="I750" s="31">
        <v>237000</v>
      </c>
      <c r="J750" s="35" t="s">
        <v>78</v>
      </c>
      <c r="K750" s="36">
        <v>2021</v>
      </c>
    </row>
    <row r="751" spans="1:11" ht="15" customHeight="1" x14ac:dyDescent="0.3">
      <c r="A751" s="37">
        <v>746</v>
      </c>
      <c r="B751" s="38" t="s">
        <v>1695</v>
      </c>
      <c r="C751" s="38" t="s">
        <v>1713</v>
      </c>
      <c r="D751" s="38" t="s">
        <v>476</v>
      </c>
      <c r="E751" s="38" t="s">
        <v>47</v>
      </c>
      <c r="F751" s="38" t="s">
        <v>306</v>
      </c>
      <c r="G751" s="39">
        <v>39</v>
      </c>
      <c r="H751" s="40">
        <v>4.5999999999999999E-2</v>
      </c>
      <c r="I751" s="37">
        <v>137000</v>
      </c>
      <c r="J751" s="41" t="s">
        <v>78</v>
      </c>
      <c r="K751" s="42">
        <v>2021</v>
      </c>
    </row>
    <row r="752" spans="1:11" ht="15" customHeight="1" x14ac:dyDescent="0.3">
      <c r="A752" s="31">
        <v>747</v>
      </c>
      <c r="B752" s="32" t="s">
        <v>1695</v>
      </c>
      <c r="C752" s="32" t="s">
        <v>1714</v>
      </c>
      <c r="D752" s="32" t="s">
        <v>1715</v>
      </c>
      <c r="E752" s="32" t="s">
        <v>1716</v>
      </c>
      <c r="F752" s="32" t="s">
        <v>1717</v>
      </c>
      <c r="G752" s="33">
        <v>1073</v>
      </c>
      <c r="H752" s="34">
        <v>6</v>
      </c>
      <c r="I752" s="31">
        <v>275260</v>
      </c>
      <c r="J752" s="35" t="s">
        <v>78</v>
      </c>
      <c r="K752" s="36">
        <v>2021</v>
      </c>
    </row>
    <row r="753" spans="1:11" ht="15" customHeight="1" x14ac:dyDescent="0.3">
      <c r="A753" s="37">
        <v>748</v>
      </c>
      <c r="B753" s="38" t="s">
        <v>1695</v>
      </c>
      <c r="C753" s="38" t="s">
        <v>1718</v>
      </c>
      <c r="D753" s="38" t="s">
        <v>1719</v>
      </c>
      <c r="E753" s="38" t="s">
        <v>1720</v>
      </c>
      <c r="F753" s="38" t="s">
        <v>693</v>
      </c>
      <c r="G753" s="39">
        <v>1860</v>
      </c>
      <c r="H753" s="40">
        <v>3</v>
      </c>
      <c r="I753" s="37">
        <v>181000</v>
      </c>
      <c r="J753" s="41" t="s">
        <v>78</v>
      </c>
      <c r="K753" s="42">
        <v>2021</v>
      </c>
    </row>
    <row r="754" spans="1:11" ht="15" customHeight="1" x14ac:dyDescent="0.3">
      <c r="A754" s="31">
        <v>749</v>
      </c>
      <c r="B754" s="32" t="s">
        <v>1721</v>
      </c>
      <c r="C754" s="32" t="s">
        <v>1722</v>
      </c>
      <c r="D754" s="32" t="s">
        <v>1723</v>
      </c>
      <c r="E754" s="32" t="s">
        <v>1724</v>
      </c>
      <c r="F754" s="32" t="s">
        <v>1725</v>
      </c>
      <c r="G754" s="33">
        <v>6000</v>
      </c>
      <c r="H754" s="34">
        <v>7</v>
      </c>
      <c r="I754" s="31">
        <v>303260</v>
      </c>
      <c r="J754" s="35" t="s">
        <v>126</v>
      </c>
      <c r="K754" s="36">
        <v>2021</v>
      </c>
    </row>
    <row r="755" spans="1:11" ht="15" customHeight="1" x14ac:dyDescent="0.3">
      <c r="A755" s="37">
        <v>750</v>
      </c>
      <c r="B755" s="38" t="s">
        <v>1721</v>
      </c>
      <c r="C755" s="38" t="s">
        <v>1726</v>
      </c>
      <c r="D755" s="38" t="s">
        <v>1727</v>
      </c>
      <c r="E755" s="38" t="s">
        <v>1724</v>
      </c>
      <c r="F755" s="38" t="s">
        <v>1728</v>
      </c>
      <c r="G755" s="39">
        <v>4320</v>
      </c>
      <c r="H755" s="40">
        <v>5</v>
      </c>
      <c r="I755" s="37">
        <v>247260</v>
      </c>
      <c r="J755" s="41" t="s">
        <v>126</v>
      </c>
      <c r="K755" s="42">
        <v>2021</v>
      </c>
    </row>
    <row r="756" spans="1:11" ht="15" customHeight="1" x14ac:dyDescent="0.3">
      <c r="A756" s="31">
        <v>751</v>
      </c>
      <c r="B756" s="32" t="s">
        <v>1721</v>
      </c>
      <c r="C756" s="32" t="s">
        <v>1729</v>
      </c>
      <c r="D756" s="32" t="s">
        <v>1730</v>
      </c>
      <c r="E756" s="32" t="s">
        <v>1724</v>
      </c>
      <c r="F756" s="32" t="s">
        <v>1731</v>
      </c>
      <c r="G756" s="33">
        <v>727.42</v>
      </c>
      <c r="H756" s="34">
        <v>3</v>
      </c>
      <c r="I756" s="31">
        <v>191260</v>
      </c>
      <c r="J756" s="35" t="s">
        <v>126</v>
      </c>
      <c r="K756" s="36">
        <v>2021</v>
      </c>
    </row>
    <row r="757" spans="1:11" ht="15" customHeight="1" x14ac:dyDescent="0.3">
      <c r="A757" s="37">
        <v>752</v>
      </c>
      <c r="B757" s="38" t="s">
        <v>272</v>
      </c>
      <c r="C757" s="38" t="s">
        <v>1732</v>
      </c>
      <c r="D757" s="38" t="s">
        <v>1516</v>
      </c>
      <c r="E757" s="38" t="s">
        <v>1733</v>
      </c>
      <c r="F757" s="38" t="s">
        <v>1734</v>
      </c>
      <c r="G757" s="39">
        <v>7812</v>
      </c>
      <c r="H757" s="40">
        <v>10.6</v>
      </c>
      <c r="I757" s="37">
        <v>367000</v>
      </c>
      <c r="J757" s="41" t="s">
        <v>126</v>
      </c>
      <c r="K757" s="42">
        <v>2021</v>
      </c>
    </row>
    <row r="758" spans="1:11" ht="15" customHeight="1" x14ac:dyDescent="0.3">
      <c r="A758" s="31">
        <v>753</v>
      </c>
      <c r="B758" s="32" t="s">
        <v>272</v>
      </c>
      <c r="C758" s="32" t="s">
        <v>1735</v>
      </c>
      <c r="D758" s="32" t="s">
        <v>1736</v>
      </c>
      <c r="E758" s="32" t="s">
        <v>1737</v>
      </c>
      <c r="F758" s="32" t="s">
        <v>316</v>
      </c>
      <c r="G758" s="33">
        <v>177</v>
      </c>
      <c r="H758" s="34">
        <v>0.8</v>
      </c>
      <c r="I758" s="31">
        <v>137260</v>
      </c>
      <c r="J758" s="35" t="s">
        <v>126</v>
      </c>
      <c r="K758" s="36">
        <v>2021</v>
      </c>
    </row>
    <row r="759" spans="1:11" ht="15" customHeight="1" x14ac:dyDescent="0.3">
      <c r="A759" s="37">
        <v>754</v>
      </c>
      <c r="B759" s="38" t="s">
        <v>272</v>
      </c>
      <c r="C759" s="38" t="s">
        <v>1738</v>
      </c>
      <c r="D759" s="38" t="s">
        <v>60</v>
      </c>
      <c r="E759" s="38" t="s">
        <v>37</v>
      </c>
      <c r="F759" s="38" t="s">
        <v>1739</v>
      </c>
      <c r="G759" s="39">
        <v>9056</v>
      </c>
      <c r="H759" s="40">
        <v>1.64</v>
      </c>
      <c r="I759" s="37">
        <v>350260</v>
      </c>
      <c r="J759" s="41" t="s">
        <v>126</v>
      </c>
      <c r="K759" s="42">
        <v>2021</v>
      </c>
    </row>
    <row r="760" spans="1:11" ht="15" customHeight="1" x14ac:dyDescent="0.3">
      <c r="A760" s="31">
        <v>755</v>
      </c>
      <c r="B760" s="32" t="s">
        <v>272</v>
      </c>
      <c r="C760" s="32" t="s">
        <v>1740</v>
      </c>
      <c r="D760" s="32" t="s">
        <v>671</v>
      </c>
      <c r="E760" s="32" t="s">
        <v>35</v>
      </c>
      <c r="F760" s="32" t="s">
        <v>312</v>
      </c>
      <c r="G760" s="33">
        <v>430</v>
      </c>
      <c r="H760" s="34">
        <v>1.42</v>
      </c>
      <c r="I760" s="31">
        <v>137260</v>
      </c>
      <c r="J760" s="35" t="s">
        <v>126</v>
      </c>
      <c r="K760" s="36">
        <v>2021</v>
      </c>
    </row>
    <row r="761" spans="1:11" ht="15" customHeight="1" x14ac:dyDescent="0.3">
      <c r="A761" s="37">
        <v>756</v>
      </c>
      <c r="B761" s="38" t="s">
        <v>272</v>
      </c>
      <c r="C761" s="38" t="s">
        <v>1741</v>
      </c>
      <c r="D761" s="38" t="s">
        <v>209</v>
      </c>
      <c r="E761" s="38" t="s">
        <v>857</v>
      </c>
      <c r="F761" s="38" t="s">
        <v>435</v>
      </c>
      <c r="G761" s="39">
        <v>677</v>
      </c>
      <c r="H761" s="40">
        <v>5</v>
      </c>
      <c r="I761" s="37">
        <v>247260</v>
      </c>
      <c r="J761" s="41" t="s">
        <v>126</v>
      </c>
      <c r="K761" s="42">
        <v>2021</v>
      </c>
    </row>
    <row r="762" spans="1:11" ht="15" customHeight="1" x14ac:dyDescent="0.3">
      <c r="A762" s="31">
        <v>757</v>
      </c>
      <c r="B762" s="32" t="s">
        <v>272</v>
      </c>
      <c r="C762" s="32" t="s">
        <v>1742</v>
      </c>
      <c r="D762" s="32" t="s">
        <v>1743</v>
      </c>
      <c r="E762" s="32" t="s">
        <v>57</v>
      </c>
      <c r="F762" s="32" t="s">
        <v>698</v>
      </c>
      <c r="G762" s="33">
        <v>183.25</v>
      </c>
      <c r="H762" s="34">
        <v>1.34</v>
      </c>
      <c r="I762" s="31">
        <v>127000</v>
      </c>
      <c r="J762" s="35" t="s">
        <v>126</v>
      </c>
      <c r="K762" s="36">
        <v>2021</v>
      </c>
    </row>
    <row r="763" spans="1:11" ht="15" customHeight="1" x14ac:dyDescent="0.3">
      <c r="A763" s="37">
        <v>758</v>
      </c>
      <c r="B763" s="38" t="s">
        <v>272</v>
      </c>
      <c r="C763" s="38" t="s">
        <v>1744</v>
      </c>
      <c r="D763" s="38" t="s">
        <v>1745</v>
      </c>
      <c r="E763" s="38" t="s">
        <v>1746</v>
      </c>
      <c r="F763" s="38" t="s">
        <v>306</v>
      </c>
      <c r="G763" s="39">
        <v>325</v>
      </c>
      <c r="H763" s="40">
        <v>0.46</v>
      </c>
      <c r="I763" s="37">
        <v>127000</v>
      </c>
      <c r="J763" s="41" t="s">
        <v>126</v>
      </c>
      <c r="K763" s="42">
        <v>2021</v>
      </c>
    </row>
    <row r="764" spans="1:11" ht="15" customHeight="1" x14ac:dyDescent="0.3">
      <c r="A764" s="31">
        <v>759</v>
      </c>
      <c r="B764" s="32" t="s">
        <v>272</v>
      </c>
      <c r="C764" s="32" t="s">
        <v>1747</v>
      </c>
      <c r="D764" s="32" t="s">
        <v>1748</v>
      </c>
      <c r="E764" s="32" t="s">
        <v>1749</v>
      </c>
      <c r="F764" s="32" t="s">
        <v>1044</v>
      </c>
      <c r="G764" s="33">
        <v>338.65</v>
      </c>
      <c r="H764" s="34">
        <v>2.5569999999999999</v>
      </c>
      <c r="I764" s="31">
        <v>181000</v>
      </c>
      <c r="J764" s="35" t="s">
        <v>126</v>
      </c>
      <c r="K764" s="36">
        <v>2021</v>
      </c>
    </row>
    <row r="765" spans="1:11" ht="15" customHeight="1" x14ac:dyDescent="0.3">
      <c r="A765" s="37">
        <v>760</v>
      </c>
      <c r="B765" s="38" t="s">
        <v>272</v>
      </c>
      <c r="C765" s="38" t="s">
        <v>1750</v>
      </c>
      <c r="D765" s="38" t="s">
        <v>691</v>
      </c>
      <c r="E765" s="38" t="s">
        <v>1751</v>
      </c>
      <c r="F765" s="38" t="s">
        <v>335</v>
      </c>
      <c r="G765" s="39">
        <v>655</v>
      </c>
      <c r="H765" s="40">
        <v>6</v>
      </c>
      <c r="I765" s="37">
        <v>275260</v>
      </c>
      <c r="J765" s="41" t="s">
        <v>126</v>
      </c>
      <c r="K765" s="42">
        <v>2021</v>
      </c>
    </row>
    <row r="766" spans="1:11" ht="15" customHeight="1" x14ac:dyDescent="0.3">
      <c r="A766" s="31">
        <v>761</v>
      </c>
      <c r="B766" s="32" t="s">
        <v>272</v>
      </c>
      <c r="C766" s="32" t="s">
        <v>1752</v>
      </c>
      <c r="D766" s="32" t="s">
        <v>38</v>
      </c>
      <c r="E766" s="32" t="s">
        <v>51</v>
      </c>
      <c r="F766" s="32" t="s">
        <v>306</v>
      </c>
      <c r="G766" s="33">
        <v>282</v>
      </c>
      <c r="H766" s="34">
        <v>1</v>
      </c>
      <c r="I766" s="31">
        <v>137260</v>
      </c>
      <c r="J766" s="35" t="s">
        <v>126</v>
      </c>
      <c r="K766" s="36">
        <v>2021</v>
      </c>
    </row>
    <row r="767" spans="1:11" ht="15" customHeight="1" x14ac:dyDescent="0.3">
      <c r="A767" s="37">
        <v>762</v>
      </c>
      <c r="B767" s="38" t="s">
        <v>272</v>
      </c>
      <c r="C767" s="38" t="s">
        <v>1753</v>
      </c>
      <c r="D767" s="38" t="s">
        <v>1754</v>
      </c>
      <c r="E767" s="38" t="s">
        <v>1755</v>
      </c>
      <c r="F767" s="38" t="s">
        <v>1728</v>
      </c>
      <c r="G767" s="39">
        <v>5000</v>
      </c>
      <c r="H767" s="40">
        <v>1.25</v>
      </c>
      <c r="I767" s="37">
        <v>237000</v>
      </c>
      <c r="J767" s="41" t="s">
        <v>126</v>
      </c>
      <c r="K767" s="42">
        <v>2021</v>
      </c>
    </row>
    <row r="768" spans="1:11" ht="15" customHeight="1" x14ac:dyDescent="0.3">
      <c r="A768" s="31">
        <v>763</v>
      </c>
      <c r="B768" s="32" t="s">
        <v>336</v>
      </c>
      <c r="C768" s="32" t="s">
        <v>1756</v>
      </c>
      <c r="D768" s="32" t="s">
        <v>54</v>
      </c>
      <c r="E768" s="32" t="s">
        <v>35</v>
      </c>
      <c r="F768" s="32" t="s">
        <v>306</v>
      </c>
      <c r="G768" s="33">
        <v>13</v>
      </c>
      <c r="H768" s="34">
        <v>0.06</v>
      </c>
      <c r="I768" s="31">
        <v>137260</v>
      </c>
      <c r="J768" s="35" t="s">
        <v>126</v>
      </c>
      <c r="K768" s="36">
        <v>2021</v>
      </c>
    </row>
    <row r="769" spans="1:11" ht="15" customHeight="1" x14ac:dyDescent="0.3">
      <c r="A769" s="37">
        <v>764</v>
      </c>
      <c r="B769" s="38" t="s">
        <v>336</v>
      </c>
      <c r="C769" s="38" t="s">
        <v>1757</v>
      </c>
      <c r="D769" s="38" t="s">
        <v>538</v>
      </c>
      <c r="E769" s="38" t="s">
        <v>41</v>
      </c>
      <c r="F769" s="38" t="s">
        <v>1758</v>
      </c>
      <c r="G769" s="39">
        <v>350</v>
      </c>
      <c r="H769" s="40">
        <v>0.67</v>
      </c>
      <c r="I769" s="37">
        <v>137260</v>
      </c>
      <c r="J769" s="41" t="s">
        <v>126</v>
      </c>
      <c r="K769" s="42">
        <v>2021</v>
      </c>
    </row>
    <row r="770" spans="1:11" ht="15" customHeight="1" x14ac:dyDescent="0.3">
      <c r="A770" s="31">
        <v>765</v>
      </c>
      <c r="B770" s="32" t="s">
        <v>336</v>
      </c>
      <c r="C770" s="32" t="s">
        <v>1759</v>
      </c>
      <c r="D770" s="32" t="s">
        <v>538</v>
      </c>
      <c r="E770" s="32" t="s">
        <v>37</v>
      </c>
      <c r="F770" s="32" t="s">
        <v>276</v>
      </c>
      <c r="G770" s="33">
        <v>66</v>
      </c>
      <c r="H770" s="34">
        <v>0.62</v>
      </c>
      <c r="I770" s="31">
        <v>137260</v>
      </c>
      <c r="J770" s="35" t="s">
        <v>126</v>
      </c>
      <c r="K770" s="36">
        <v>2021</v>
      </c>
    </row>
    <row r="771" spans="1:11" ht="15" customHeight="1" x14ac:dyDescent="0.3">
      <c r="A771" s="37">
        <v>766</v>
      </c>
      <c r="B771" s="38" t="s">
        <v>336</v>
      </c>
      <c r="C771" s="38" t="s">
        <v>1760</v>
      </c>
      <c r="D771" s="38" t="s">
        <v>1761</v>
      </c>
      <c r="E771" s="38" t="s">
        <v>1762</v>
      </c>
      <c r="F771" s="38" t="s">
        <v>316</v>
      </c>
      <c r="G771" s="39">
        <v>1690</v>
      </c>
      <c r="H771" s="40">
        <v>2.85</v>
      </c>
      <c r="I771" s="37">
        <v>181000</v>
      </c>
      <c r="J771" s="41" t="s">
        <v>126</v>
      </c>
      <c r="K771" s="42">
        <v>2021</v>
      </c>
    </row>
    <row r="772" spans="1:11" ht="15" customHeight="1" x14ac:dyDescent="0.3">
      <c r="A772" s="31">
        <v>767</v>
      </c>
      <c r="B772" s="32" t="s">
        <v>336</v>
      </c>
      <c r="C772" s="32" t="s">
        <v>1763</v>
      </c>
      <c r="D772" s="32" t="s">
        <v>42</v>
      </c>
      <c r="E772" s="32" t="s">
        <v>35</v>
      </c>
      <c r="F772" s="32" t="s">
        <v>517</v>
      </c>
      <c r="G772" s="33">
        <v>646</v>
      </c>
      <c r="H772" s="34">
        <v>3.52</v>
      </c>
      <c r="I772" s="31">
        <v>219260</v>
      </c>
      <c r="J772" s="35" t="s">
        <v>126</v>
      </c>
      <c r="K772" s="36">
        <v>2021</v>
      </c>
    </row>
    <row r="773" spans="1:11" ht="15" customHeight="1" x14ac:dyDescent="0.3">
      <c r="A773" s="37">
        <v>768</v>
      </c>
      <c r="B773" s="38" t="s">
        <v>336</v>
      </c>
      <c r="C773" s="38" t="s">
        <v>1764</v>
      </c>
      <c r="D773" s="38" t="s">
        <v>274</v>
      </c>
      <c r="E773" s="38" t="s">
        <v>226</v>
      </c>
      <c r="F773" s="38" t="s">
        <v>402</v>
      </c>
      <c r="G773" s="39">
        <v>1001</v>
      </c>
      <c r="H773" s="40">
        <v>7.31</v>
      </c>
      <c r="I773" s="37">
        <v>293000</v>
      </c>
      <c r="J773" s="41" t="s">
        <v>126</v>
      </c>
      <c r="K773" s="42">
        <v>2021</v>
      </c>
    </row>
    <row r="774" spans="1:11" ht="15" customHeight="1" x14ac:dyDescent="0.3">
      <c r="A774" s="31">
        <v>769</v>
      </c>
      <c r="B774" s="32" t="s">
        <v>336</v>
      </c>
      <c r="C774" s="32" t="s">
        <v>1765</v>
      </c>
      <c r="D774" s="32" t="s">
        <v>1766</v>
      </c>
      <c r="E774" s="32" t="s">
        <v>1767</v>
      </c>
      <c r="F774" s="32" t="s">
        <v>1768</v>
      </c>
      <c r="G774" s="33">
        <v>246.8</v>
      </c>
      <c r="H774" s="34">
        <v>0.36</v>
      </c>
      <c r="I774" s="31">
        <v>137260</v>
      </c>
      <c r="J774" s="35" t="s">
        <v>126</v>
      </c>
      <c r="K774" s="36">
        <v>2021</v>
      </c>
    </row>
    <row r="775" spans="1:11" ht="15" customHeight="1" x14ac:dyDescent="0.3">
      <c r="A775" s="37">
        <v>770</v>
      </c>
      <c r="B775" s="38" t="s">
        <v>336</v>
      </c>
      <c r="C775" s="38" t="s">
        <v>1769</v>
      </c>
      <c r="D775" s="38" t="s">
        <v>1770</v>
      </c>
      <c r="E775" s="38" t="s">
        <v>1771</v>
      </c>
      <c r="F775" s="38" t="s">
        <v>316</v>
      </c>
      <c r="G775" s="39">
        <v>1340</v>
      </c>
      <c r="H775" s="40">
        <v>3.46</v>
      </c>
      <c r="I775" s="37">
        <v>191260</v>
      </c>
      <c r="J775" s="41" t="s">
        <v>126</v>
      </c>
      <c r="K775" s="42">
        <v>2021</v>
      </c>
    </row>
    <row r="776" spans="1:11" ht="15" customHeight="1" x14ac:dyDescent="0.3">
      <c r="A776" s="31">
        <v>771</v>
      </c>
      <c r="B776" s="32" t="s">
        <v>336</v>
      </c>
      <c r="C776" s="32" t="s">
        <v>1772</v>
      </c>
      <c r="D776" s="32" t="s">
        <v>1773</v>
      </c>
      <c r="E776" s="32" t="s">
        <v>1774</v>
      </c>
      <c r="F776" s="32" t="s">
        <v>316</v>
      </c>
      <c r="G776" s="33">
        <v>859</v>
      </c>
      <c r="H776" s="34">
        <v>1.99</v>
      </c>
      <c r="I776" s="31">
        <v>163260</v>
      </c>
      <c r="J776" s="35" t="s">
        <v>126</v>
      </c>
      <c r="K776" s="36">
        <v>2021</v>
      </c>
    </row>
    <row r="777" spans="1:11" ht="15" customHeight="1" x14ac:dyDescent="0.3">
      <c r="A777" s="37">
        <v>772</v>
      </c>
      <c r="B777" s="38" t="s">
        <v>336</v>
      </c>
      <c r="C777" s="38" t="s">
        <v>1775</v>
      </c>
      <c r="D777" s="38" t="s">
        <v>1776</v>
      </c>
      <c r="E777" s="38" t="s">
        <v>1777</v>
      </c>
      <c r="F777" s="38" t="s">
        <v>395</v>
      </c>
      <c r="G777" s="39">
        <v>3677</v>
      </c>
      <c r="H777" s="40">
        <v>6.32</v>
      </c>
      <c r="I777" s="37">
        <v>275260</v>
      </c>
      <c r="J777" s="41" t="s">
        <v>126</v>
      </c>
      <c r="K777" s="42">
        <v>2021</v>
      </c>
    </row>
    <row r="778" spans="1:11" ht="15" customHeight="1" x14ac:dyDescent="0.3">
      <c r="A778" s="31">
        <v>773</v>
      </c>
      <c r="B778" s="32" t="s">
        <v>336</v>
      </c>
      <c r="C778" s="32" t="s">
        <v>1778</v>
      </c>
      <c r="D778" s="32" t="s">
        <v>36</v>
      </c>
      <c r="E778" s="32" t="s">
        <v>43</v>
      </c>
      <c r="F778" s="32" t="s">
        <v>306</v>
      </c>
      <c r="G778" s="33">
        <v>1640</v>
      </c>
      <c r="H778" s="34">
        <v>4.55</v>
      </c>
      <c r="I778" s="31">
        <v>247260</v>
      </c>
      <c r="J778" s="35" t="s">
        <v>126</v>
      </c>
      <c r="K778" s="36">
        <v>2021</v>
      </c>
    </row>
    <row r="779" spans="1:11" ht="15" customHeight="1" x14ac:dyDescent="0.3">
      <c r="A779" s="37">
        <v>774</v>
      </c>
      <c r="B779" s="38" t="s">
        <v>336</v>
      </c>
      <c r="C779" s="38" t="s">
        <v>1779</v>
      </c>
      <c r="D779" s="38" t="s">
        <v>1448</v>
      </c>
      <c r="E779" s="38" t="s">
        <v>47</v>
      </c>
      <c r="F779" s="38" t="s">
        <v>961</v>
      </c>
      <c r="G779" s="39">
        <v>842</v>
      </c>
      <c r="H779" s="40">
        <v>2.0099999999999998</v>
      </c>
      <c r="I779" s="37">
        <v>163260</v>
      </c>
      <c r="J779" s="41" t="s">
        <v>126</v>
      </c>
      <c r="K779" s="42">
        <v>2021</v>
      </c>
    </row>
    <row r="780" spans="1:11" ht="15" customHeight="1" x14ac:dyDescent="0.3">
      <c r="A780" s="31">
        <v>775</v>
      </c>
      <c r="B780" s="32" t="s">
        <v>336</v>
      </c>
      <c r="C780" s="32" t="s">
        <v>1780</v>
      </c>
      <c r="D780" s="32" t="s">
        <v>1448</v>
      </c>
      <c r="E780" s="32" t="s">
        <v>47</v>
      </c>
      <c r="F780" s="32" t="s">
        <v>658</v>
      </c>
      <c r="G780" s="33">
        <v>141.80000000000001</v>
      </c>
      <c r="H780" s="34">
        <v>0.15</v>
      </c>
      <c r="I780" s="31">
        <v>137260</v>
      </c>
      <c r="J780" s="35" t="s">
        <v>126</v>
      </c>
      <c r="K780" s="36">
        <v>2021</v>
      </c>
    </row>
    <row r="781" spans="1:11" ht="15" customHeight="1" x14ac:dyDescent="0.3">
      <c r="A781" s="37">
        <v>776</v>
      </c>
      <c r="B781" s="38" t="s">
        <v>336</v>
      </c>
      <c r="C781" s="38" t="s">
        <v>1781</v>
      </c>
      <c r="D781" s="38" t="s">
        <v>1782</v>
      </c>
      <c r="E781" s="38" t="s">
        <v>1783</v>
      </c>
      <c r="F781" s="38" t="s">
        <v>1784</v>
      </c>
      <c r="G781" s="39">
        <v>1280.46</v>
      </c>
      <c r="H781" s="40">
        <v>3.28</v>
      </c>
      <c r="I781" s="37">
        <v>191260</v>
      </c>
      <c r="J781" s="41" t="s">
        <v>126</v>
      </c>
      <c r="K781" s="42">
        <v>2021</v>
      </c>
    </row>
    <row r="782" spans="1:11" ht="15" customHeight="1" x14ac:dyDescent="0.3">
      <c r="A782" s="31">
        <v>777</v>
      </c>
      <c r="B782" s="32" t="s">
        <v>336</v>
      </c>
      <c r="C782" s="32" t="s">
        <v>1785</v>
      </c>
      <c r="D782" s="32" t="s">
        <v>95</v>
      </c>
      <c r="E782" s="32" t="s">
        <v>1786</v>
      </c>
      <c r="F782" s="32" t="s">
        <v>689</v>
      </c>
      <c r="G782" s="33">
        <v>970</v>
      </c>
      <c r="H782" s="34">
        <v>9</v>
      </c>
      <c r="I782" s="31">
        <v>350260</v>
      </c>
      <c r="J782" s="35" t="s">
        <v>126</v>
      </c>
      <c r="K782" s="36">
        <v>2021</v>
      </c>
    </row>
    <row r="783" spans="1:11" ht="15" customHeight="1" x14ac:dyDescent="0.3">
      <c r="A783" s="37">
        <v>778</v>
      </c>
      <c r="B783" s="38" t="s">
        <v>336</v>
      </c>
      <c r="C783" s="38" t="s">
        <v>1787</v>
      </c>
      <c r="D783" s="38" t="s">
        <v>38</v>
      </c>
      <c r="E783" s="38" t="s">
        <v>51</v>
      </c>
      <c r="F783" s="38" t="s">
        <v>406</v>
      </c>
      <c r="G783" s="39">
        <v>344</v>
      </c>
      <c r="H783" s="40">
        <v>1</v>
      </c>
      <c r="I783" s="37">
        <v>127000</v>
      </c>
      <c r="J783" s="41" t="s">
        <v>126</v>
      </c>
      <c r="K783" s="42">
        <v>2021</v>
      </c>
    </row>
    <row r="784" spans="1:11" ht="15" customHeight="1" x14ac:dyDescent="0.3">
      <c r="A784" s="31">
        <v>779</v>
      </c>
      <c r="B784" s="32" t="s">
        <v>336</v>
      </c>
      <c r="C784" s="32" t="s">
        <v>1788</v>
      </c>
      <c r="D784" s="32" t="s">
        <v>38</v>
      </c>
      <c r="E784" s="32" t="s">
        <v>51</v>
      </c>
      <c r="F784" s="32" t="s">
        <v>306</v>
      </c>
      <c r="G784" s="33">
        <v>426</v>
      </c>
      <c r="H784" s="34">
        <v>0.37</v>
      </c>
      <c r="I784" s="31">
        <v>137260</v>
      </c>
      <c r="J784" s="35" t="s">
        <v>126</v>
      </c>
      <c r="K784" s="36">
        <v>2021</v>
      </c>
    </row>
    <row r="785" spans="1:11" ht="15" customHeight="1" x14ac:dyDescent="0.3">
      <c r="A785" s="37">
        <v>780</v>
      </c>
      <c r="B785" s="38" t="s">
        <v>336</v>
      </c>
      <c r="C785" s="38" t="s">
        <v>1789</v>
      </c>
      <c r="D785" s="38" t="s">
        <v>36</v>
      </c>
      <c r="E785" s="38" t="s">
        <v>43</v>
      </c>
      <c r="F785" s="38" t="s">
        <v>849</v>
      </c>
      <c r="G785" s="39">
        <v>715</v>
      </c>
      <c r="H785" s="40">
        <v>1.02</v>
      </c>
      <c r="I785" s="37">
        <v>137260</v>
      </c>
      <c r="J785" s="41" t="s">
        <v>126</v>
      </c>
      <c r="K785" s="42">
        <v>2021</v>
      </c>
    </row>
    <row r="786" spans="1:11" ht="15" customHeight="1" x14ac:dyDescent="0.3">
      <c r="A786" s="31">
        <v>781</v>
      </c>
      <c r="B786" s="32" t="s">
        <v>1790</v>
      </c>
      <c r="C786" s="32" t="s">
        <v>1791</v>
      </c>
      <c r="D786" s="32" t="s">
        <v>1792</v>
      </c>
      <c r="E786" s="32" t="s">
        <v>37</v>
      </c>
      <c r="F786" s="32" t="s">
        <v>276</v>
      </c>
      <c r="G786" s="33">
        <v>330</v>
      </c>
      <c r="H786" s="34">
        <v>2.41</v>
      </c>
      <c r="I786" s="31">
        <v>163260</v>
      </c>
      <c r="J786" s="35" t="s">
        <v>207</v>
      </c>
      <c r="K786" s="36">
        <v>2021</v>
      </c>
    </row>
    <row r="787" spans="1:11" ht="15" customHeight="1" x14ac:dyDescent="0.3">
      <c r="A787" s="37">
        <v>782</v>
      </c>
      <c r="B787" s="38" t="s">
        <v>1790</v>
      </c>
      <c r="C787" s="38" t="s">
        <v>1793</v>
      </c>
      <c r="D787" s="38" t="s">
        <v>1794</v>
      </c>
      <c r="E787" s="38" t="s">
        <v>1795</v>
      </c>
      <c r="F787" s="38" t="s">
        <v>1796</v>
      </c>
      <c r="G787" s="39">
        <v>737</v>
      </c>
      <c r="H787" s="40">
        <v>0.79</v>
      </c>
      <c r="I787" s="37">
        <v>137260</v>
      </c>
      <c r="J787" s="41" t="s">
        <v>207</v>
      </c>
      <c r="K787" s="42">
        <v>2021</v>
      </c>
    </row>
    <row r="788" spans="1:11" ht="15" customHeight="1" x14ac:dyDescent="0.3">
      <c r="A788" s="31">
        <v>783</v>
      </c>
      <c r="B788" s="32" t="s">
        <v>1790</v>
      </c>
      <c r="C788" s="32" t="s">
        <v>1797</v>
      </c>
      <c r="D788" s="32" t="s">
        <v>1798</v>
      </c>
      <c r="E788" s="32" t="s">
        <v>37</v>
      </c>
      <c r="F788" s="32" t="s">
        <v>312</v>
      </c>
      <c r="G788" s="33">
        <v>509</v>
      </c>
      <c r="H788" s="34">
        <v>4</v>
      </c>
      <c r="I788" s="31">
        <v>219260</v>
      </c>
      <c r="J788" s="35" t="s">
        <v>207</v>
      </c>
      <c r="K788" s="36">
        <v>2021</v>
      </c>
    </row>
    <row r="789" spans="1:11" ht="15" customHeight="1" x14ac:dyDescent="0.3">
      <c r="A789" s="37">
        <v>784</v>
      </c>
      <c r="B789" s="38" t="s">
        <v>1790</v>
      </c>
      <c r="C789" s="38" t="s">
        <v>1799</v>
      </c>
      <c r="D789" s="38" t="s">
        <v>1642</v>
      </c>
      <c r="E789" s="38" t="s">
        <v>1643</v>
      </c>
      <c r="F789" s="38" t="s">
        <v>287</v>
      </c>
      <c r="G789" s="39">
        <v>1324.92</v>
      </c>
      <c r="H789" s="40">
        <v>4</v>
      </c>
      <c r="I789" s="37">
        <v>209000</v>
      </c>
      <c r="J789" s="41" t="s">
        <v>207</v>
      </c>
      <c r="K789" s="42">
        <v>2021</v>
      </c>
    </row>
    <row r="790" spans="1:11" ht="15" customHeight="1" x14ac:dyDescent="0.3">
      <c r="A790" s="31">
        <v>785</v>
      </c>
      <c r="B790" s="32" t="s">
        <v>1790</v>
      </c>
      <c r="C790" s="32" t="s">
        <v>1800</v>
      </c>
      <c r="D790" s="32" t="s">
        <v>1316</v>
      </c>
      <c r="E790" s="32" t="s">
        <v>1801</v>
      </c>
      <c r="F790" s="32" t="s">
        <v>406</v>
      </c>
      <c r="G790" s="33">
        <v>252.9</v>
      </c>
      <c r="H790" s="34">
        <v>0.28000000000000003</v>
      </c>
      <c r="I790" s="31">
        <v>137260</v>
      </c>
      <c r="J790" s="35" t="s">
        <v>207</v>
      </c>
      <c r="K790" s="36">
        <v>2021</v>
      </c>
    </row>
    <row r="791" spans="1:11" ht="15" customHeight="1" x14ac:dyDescent="0.3">
      <c r="A791" s="37">
        <v>786</v>
      </c>
      <c r="B791" s="38" t="s">
        <v>1790</v>
      </c>
      <c r="C791" s="38" t="s">
        <v>1802</v>
      </c>
      <c r="D791" s="38" t="s">
        <v>1803</v>
      </c>
      <c r="E791" s="38" t="s">
        <v>804</v>
      </c>
      <c r="F791" s="38" t="s">
        <v>1804</v>
      </c>
      <c r="G791" s="39">
        <v>738.08</v>
      </c>
      <c r="H791" s="40">
        <v>1.0960000000000001</v>
      </c>
      <c r="I791" s="37">
        <v>127000</v>
      </c>
      <c r="J791" s="41" t="s">
        <v>207</v>
      </c>
      <c r="K791" s="42">
        <v>2021</v>
      </c>
    </row>
    <row r="792" spans="1:11" ht="15" customHeight="1" x14ac:dyDescent="0.3">
      <c r="A792" s="31">
        <v>787</v>
      </c>
      <c r="B792" s="32" t="s">
        <v>1790</v>
      </c>
      <c r="C792" s="32" t="s">
        <v>1805</v>
      </c>
      <c r="D792" s="32" t="s">
        <v>1806</v>
      </c>
      <c r="E792" s="32" t="s">
        <v>372</v>
      </c>
      <c r="F792" s="32" t="s">
        <v>316</v>
      </c>
      <c r="G792" s="33">
        <v>454</v>
      </c>
      <c r="H792" s="34">
        <v>0.69199999999999995</v>
      </c>
      <c r="I792" s="31">
        <v>137260</v>
      </c>
      <c r="J792" s="35" t="s">
        <v>207</v>
      </c>
      <c r="K792" s="36">
        <v>2021</v>
      </c>
    </row>
    <row r="793" spans="1:11" ht="15" customHeight="1" x14ac:dyDescent="0.3">
      <c r="A793" s="37">
        <v>788</v>
      </c>
      <c r="B793" s="38" t="s">
        <v>1790</v>
      </c>
      <c r="C793" s="38" t="s">
        <v>1807</v>
      </c>
      <c r="D793" s="38" t="s">
        <v>60</v>
      </c>
      <c r="E793" s="38" t="s">
        <v>35</v>
      </c>
      <c r="F793" s="38" t="s">
        <v>1808</v>
      </c>
      <c r="G793" s="39">
        <v>525</v>
      </c>
      <c r="H793" s="40">
        <v>2</v>
      </c>
      <c r="I793" s="37">
        <v>163260</v>
      </c>
      <c r="J793" s="41" t="s">
        <v>207</v>
      </c>
      <c r="K793" s="42">
        <v>2021</v>
      </c>
    </row>
    <row r="794" spans="1:11" ht="15" customHeight="1" x14ac:dyDescent="0.3">
      <c r="A794" s="31">
        <v>789</v>
      </c>
      <c r="B794" s="32" t="s">
        <v>1790</v>
      </c>
      <c r="C794" s="32" t="s">
        <v>1809</v>
      </c>
      <c r="D794" s="32" t="s">
        <v>1810</v>
      </c>
      <c r="E794" s="32" t="s">
        <v>686</v>
      </c>
      <c r="F794" s="32" t="s">
        <v>658</v>
      </c>
      <c r="G794" s="33">
        <v>1187</v>
      </c>
      <c r="H794" s="34">
        <v>5</v>
      </c>
      <c r="I794" s="31">
        <v>247260</v>
      </c>
      <c r="J794" s="35" t="s">
        <v>207</v>
      </c>
      <c r="K794" s="36">
        <v>2021</v>
      </c>
    </row>
    <row r="795" spans="1:11" ht="15" customHeight="1" x14ac:dyDescent="0.3">
      <c r="A795" s="37">
        <v>790</v>
      </c>
      <c r="B795" s="38" t="s">
        <v>1790</v>
      </c>
      <c r="C795" s="38" t="s">
        <v>1811</v>
      </c>
      <c r="D795" s="38" t="s">
        <v>1806</v>
      </c>
      <c r="E795" s="38" t="s">
        <v>372</v>
      </c>
      <c r="F795" s="38" t="s">
        <v>402</v>
      </c>
      <c r="G795" s="39">
        <v>2849.68</v>
      </c>
      <c r="H795" s="40">
        <v>6</v>
      </c>
      <c r="I795" s="37">
        <v>265000</v>
      </c>
      <c r="J795" s="41" t="s">
        <v>207</v>
      </c>
      <c r="K795" s="42">
        <v>2021</v>
      </c>
    </row>
    <row r="796" spans="1:11" ht="15" customHeight="1" x14ac:dyDescent="0.3">
      <c r="A796" s="31">
        <v>791</v>
      </c>
      <c r="B796" s="32" t="s">
        <v>1790</v>
      </c>
      <c r="C796" s="32" t="s">
        <v>1812</v>
      </c>
      <c r="D796" s="32" t="s">
        <v>1806</v>
      </c>
      <c r="E796" s="32" t="s">
        <v>359</v>
      </c>
      <c r="F796" s="32" t="s">
        <v>276</v>
      </c>
      <c r="G796" s="33">
        <v>1150</v>
      </c>
      <c r="H796" s="34">
        <v>0.48</v>
      </c>
      <c r="I796" s="31">
        <v>137260</v>
      </c>
      <c r="J796" s="35" t="s">
        <v>207</v>
      </c>
      <c r="K796" s="36">
        <v>2021</v>
      </c>
    </row>
    <row r="797" spans="1:11" ht="15" customHeight="1" x14ac:dyDescent="0.3">
      <c r="A797" s="37">
        <v>792</v>
      </c>
      <c r="B797" s="38" t="s">
        <v>1790</v>
      </c>
      <c r="C797" s="38" t="s">
        <v>1813</v>
      </c>
      <c r="D797" s="38" t="s">
        <v>1814</v>
      </c>
      <c r="E797" s="38" t="s">
        <v>1815</v>
      </c>
      <c r="F797" s="38" t="s">
        <v>1816</v>
      </c>
      <c r="G797" s="39">
        <v>4500</v>
      </c>
      <c r="H797" s="40">
        <v>9</v>
      </c>
      <c r="I797" s="37">
        <v>350260</v>
      </c>
      <c r="J797" s="41" t="s">
        <v>207</v>
      </c>
      <c r="K797" s="42">
        <v>2021</v>
      </c>
    </row>
    <row r="798" spans="1:11" ht="15" customHeight="1" x14ac:dyDescent="0.3">
      <c r="A798" s="31">
        <v>793</v>
      </c>
      <c r="B798" s="32" t="s">
        <v>1790</v>
      </c>
      <c r="C798" s="32" t="s">
        <v>1817</v>
      </c>
      <c r="D798" s="32" t="s">
        <v>1707</v>
      </c>
      <c r="E798" s="32" t="s">
        <v>39</v>
      </c>
      <c r="F798" s="32" t="s">
        <v>406</v>
      </c>
      <c r="G798" s="33">
        <v>506</v>
      </c>
      <c r="H798" s="34">
        <v>4</v>
      </c>
      <c r="I798" s="31">
        <v>137260</v>
      </c>
      <c r="J798" s="35" t="s">
        <v>207</v>
      </c>
      <c r="K798" s="36">
        <v>2021</v>
      </c>
    </row>
    <row r="799" spans="1:11" ht="15" customHeight="1" x14ac:dyDescent="0.3">
      <c r="A799" s="37">
        <v>794</v>
      </c>
      <c r="B799" s="38" t="s">
        <v>1790</v>
      </c>
      <c r="C799" s="38" t="s">
        <v>1818</v>
      </c>
      <c r="D799" s="38" t="s">
        <v>1819</v>
      </c>
      <c r="E799" s="38" t="s">
        <v>39</v>
      </c>
      <c r="F799" s="38" t="s">
        <v>306</v>
      </c>
      <c r="G799" s="39">
        <v>203</v>
      </c>
      <c r="H799" s="40">
        <v>15</v>
      </c>
      <c r="I799" s="37">
        <v>163260</v>
      </c>
      <c r="J799" s="41" t="s">
        <v>207</v>
      </c>
      <c r="K799" s="42">
        <v>2021</v>
      </c>
    </row>
    <row r="800" spans="1:11" ht="15" customHeight="1" x14ac:dyDescent="0.3">
      <c r="A800" s="31">
        <v>795</v>
      </c>
      <c r="B800" s="32" t="s">
        <v>1790</v>
      </c>
      <c r="C800" s="32" t="s">
        <v>1820</v>
      </c>
      <c r="D800" s="32" t="s">
        <v>1821</v>
      </c>
      <c r="E800" s="32" t="s">
        <v>1822</v>
      </c>
      <c r="F800" s="32" t="s">
        <v>1823</v>
      </c>
      <c r="G800" s="33">
        <v>10</v>
      </c>
      <c r="H800" s="34">
        <v>4</v>
      </c>
      <c r="I800" s="31">
        <v>377260</v>
      </c>
      <c r="J800" s="35" t="s">
        <v>207</v>
      </c>
      <c r="K800" s="36">
        <v>2021</v>
      </c>
    </row>
    <row r="801" spans="1:11" ht="15" customHeight="1" x14ac:dyDescent="0.3">
      <c r="A801" s="37">
        <v>796</v>
      </c>
      <c r="B801" s="38" t="s">
        <v>1790</v>
      </c>
      <c r="C801" s="38" t="s">
        <v>1824</v>
      </c>
      <c r="D801" s="38" t="s">
        <v>1776</v>
      </c>
      <c r="E801" s="38" t="s">
        <v>35</v>
      </c>
      <c r="F801" s="38" t="s">
        <v>316</v>
      </c>
      <c r="G801" s="39">
        <v>372</v>
      </c>
      <c r="H801" s="40">
        <v>0.72</v>
      </c>
      <c r="I801" s="37">
        <v>137260</v>
      </c>
      <c r="J801" s="41" t="s">
        <v>207</v>
      </c>
      <c r="K801" s="42">
        <v>2021</v>
      </c>
    </row>
    <row r="802" spans="1:11" ht="15" customHeight="1" x14ac:dyDescent="0.3">
      <c r="A802" s="31">
        <v>797</v>
      </c>
      <c r="B802" s="32" t="s">
        <v>1790</v>
      </c>
      <c r="C802" s="32" t="s">
        <v>1825</v>
      </c>
      <c r="D802" s="32" t="s">
        <v>1826</v>
      </c>
      <c r="E802" s="32" t="s">
        <v>648</v>
      </c>
      <c r="F802" s="32" t="s">
        <v>287</v>
      </c>
      <c r="G802" s="33">
        <v>456</v>
      </c>
      <c r="H802" s="34">
        <v>1.93</v>
      </c>
      <c r="I802" s="31">
        <v>163260</v>
      </c>
      <c r="J802" s="35" t="s">
        <v>207</v>
      </c>
      <c r="K802" s="36">
        <v>2021</v>
      </c>
    </row>
    <row r="803" spans="1:11" ht="15" customHeight="1" x14ac:dyDescent="0.3">
      <c r="A803" s="37">
        <v>798</v>
      </c>
      <c r="B803" s="38" t="s">
        <v>1790</v>
      </c>
      <c r="C803" s="38" t="s">
        <v>1827</v>
      </c>
      <c r="D803" s="38" t="s">
        <v>38</v>
      </c>
      <c r="E803" s="38" t="s">
        <v>51</v>
      </c>
      <c r="F803" s="38" t="s">
        <v>406</v>
      </c>
      <c r="G803" s="39">
        <v>664</v>
      </c>
      <c r="H803" s="40">
        <v>2.2400000000000002</v>
      </c>
      <c r="I803" s="37">
        <v>163260</v>
      </c>
      <c r="J803" s="41" t="s">
        <v>207</v>
      </c>
      <c r="K803" s="42">
        <v>2021</v>
      </c>
    </row>
    <row r="804" spans="1:11" ht="15" customHeight="1" x14ac:dyDescent="0.3">
      <c r="A804" s="31">
        <v>799</v>
      </c>
      <c r="B804" s="32" t="s">
        <v>1790</v>
      </c>
      <c r="C804" s="32" t="s">
        <v>1828</v>
      </c>
      <c r="D804" s="32" t="s">
        <v>38</v>
      </c>
      <c r="E804" s="32" t="s">
        <v>51</v>
      </c>
      <c r="F804" s="32" t="s">
        <v>1829</v>
      </c>
      <c r="G804" s="33">
        <v>2723.72</v>
      </c>
      <c r="H804" s="34">
        <v>6.8</v>
      </c>
      <c r="I804" s="31">
        <v>303260</v>
      </c>
      <c r="J804" s="35" t="s">
        <v>207</v>
      </c>
      <c r="K804" s="36">
        <v>2021</v>
      </c>
    </row>
    <row r="805" spans="1:11" ht="15" customHeight="1" x14ac:dyDescent="0.3">
      <c r="A805" s="37">
        <v>800</v>
      </c>
      <c r="B805" s="38" t="s">
        <v>1790</v>
      </c>
      <c r="C805" s="38" t="s">
        <v>1830</v>
      </c>
      <c r="D805" s="38" t="s">
        <v>38</v>
      </c>
      <c r="E805" s="38" t="s">
        <v>51</v>
      </c>
      <c r="F805" s="38" t="s">
        <v>937</v>
      </c>
      <c r="G805" s="39">
        <v>140.5</v>
      </c>
      <c r="H805" s="40">
        <v>1.31</v>
      </c>
      <c r="I805" s="37">
        <v>137260</v>
      </c>
      <c r="J805" s="41" t="s">
        <v>207</v>
      </c>
      <c r="K805" s="42">
        <v>2021</v>
      </c>
    </row>
    <row r="806" spans="1:11" ht="15" customHeight="1" x14ac:dyDescent="0.3">
      <c r="A806" s="31">
        <v>801</v>
      </c>
      <c r="B806" s="32" t="s">
        <v>1790</v>
      </c>
      <c r="C806" s="32" t="s">
        <v>1831</v>
      </c>
      <c r="D806" s="32" t="s">
        <v>1832</v>
      </c>
      <c r="E806" s="32" t="s">
        <v>1833</v>
      </c>
      <c r="F806" s="32" t="s">
        <v>395</v>
      </c>
      <c r="G806" s="33">
        <v>4733</v>
      </c>
      <c r="H806" s="34">
        <v>10</v>
      </c>
      <c r="I806" s="31">
        <v>377260</v>
      </c>
      <c r="J806" s="35" t="s">
        <v>207</v>
      </c>
      <c r="K806" s="36">
        <v>2021</v>
      </c>
    </row>
    <row r="807" spans="1:11" ht="15" customHeight="1" x14ac:dyDescent="0.3">
      <c r="A807" s="37">
        <v>802</v>
      </c>
      <c r="B807" s="38" t="s">
        <v>1790</v>
      </c>
      <c r="C807" s="38" t="s">
        <v>1834</v>
      </c>
      <c r="D807" s="38" t="s">
        <v>1835</v>
      </c>
      <c r="E807" s="38" t="s">
        <v>1836</v>
      </c>
      <c r="F807" s="38" t="s">
        <v>435</v>
      </c>
      <c r="G807" s="39">
        <v>1157</v>
      </c>
      <c r="H807" s="40">
        <v>7</v>
      </c>
      <c r="I807" s="37">
        <v>303260</v>
      </c>
      <c r="J807" s="41" t="s">
        <v>207</v>
      </c>
      <c r="K807" s="42">
        <v>2021</v>
      </c>
    </row>
    <row r="808" spans="1:11" ht="15" customHeight="1" x14ac:dyDescent="0.3">
      <c r="A808" s="31">
        <v>803</v>
      </c>
      <c r="B808" s="32" t="s">
        <v>1790</v>
      </c>
      <c r="C808" s="32" t="s">
        <v>1837</v>
      </c>
      <c r="D808" s="32" t="s">
        <v>1838</v>
      </c>
      <c r="E808" s="32" t="s">
        <v>1839</v>
      </c>
      <c r="F808" s="32" t="s">
        <v>276</v>
      </c>
      <c r="G808" s="33">
        <v>849</v>
      </c>
      <c r="H808" s="34">
        <v>2</v>
      </c>
      <c r="I808" s="31">
        <v>163260</v>
      </c>
      <c r="J808" s="35" t="s">
        <v>207</v>
      </c>
      <c r="K808" s="36">
        <v>2021</v>
      </c>
    </row>
    <row r="809" spans="1:11" ht="15" customHeight="1" x14ac:dyDescent="0.3">
      <c r="A809" s="37">
        <v>804</v>
      </c>
      <c r="B809" s="38" t="s">
        <v>1790</v>
      </c>
      <c r="C809" s="38" t="s">
        <v>1840</v>
      </c>
      <c r="D809" s="38" t="s">
        <v>64</v>
      </c>
      <c r="E809" s="38" t="s">
        <v>47</v>
      </c>
      <c r="F809" s="38" t="s">
        <v>406</v>
      </c>
      <c r="G809" s="39">
        <v>750</v>
      </c>
      <c r="H809" s="40">
        <v>1.55</v>
      </c>
      <c r="I809" s="37">
        <v>163260</v>
      </c>
      <c r="J809" s="41" t="s">
        <v>207</v>
      </c>
      <c r="K809" s="42">
        <v>2021</v>
      </c>
    </row>
    <row r="810" spans="1:11" ht="15" customHeight="1" x14ac:dyDescent="0.3">
      <c r="A810" s="31">
        <v>805</v>
      </c>
      <c r="B810" s="32" t="s">
        <v>1790</v>
      </c>
      <c r="C810" s="32" t="s">
        <v>1841</v>
      </c>
      <c r="D810" s="32" t="s">
        <v>1048</v>
      </c>
      <c r="E810" s="32" t="s">
        <v>1842</v>
      </c>
      <c r="F810" s="32" t="s">
        <v>276</v>
      </c>
      <c r="G810" s="33">
        <v>300</v>
      </c>
      <c r="H810" s="34">
        <v>1.73</v>
      </c>
      <c r="I810" s="31">
        <v>153000</v>
      </c>
      <c r="J810" s="35" t="s">
        <v>207</v>
      </c>
      <c r="K810" s="36">
        <v>2021</v>
      </c>
    </row>
    <row r="811" spans="1:11" ht="15" customHeight="1" x14ac:dyDescent="0.3">
      <c r="A811" s="37">
        <v>806</v>
      </c>
      <c r="B811" s="38" t="s">
        <v>1790</v>
      </c>
      <c r="C811" s="38" t="s">
        <v>1843</v>
      </c>
      <c r="D811" s="38" t="s">
        <v>1844</v>
      </c>
      <c r="E811" s="38" t="s">
        <v>35</v>
      </c>
      <c r="F811" s="38" t="s">
        <v>435</v>
      </c>
      <c r="G811" s="39">
        <v>7599</v>
      </c>
      <c r="H811" s="40">
        <v>5.5030000000000001</v>
      </c>
      <c r="I811" s="37">
        <v>323260</v>
      </c>
      <c r="J811" s="41" t="s">
        <v>207</v>
      </c>
      <c r="K811" s="42">
        <v>2021</v>
      </c>
    </row>
    <row r="812" spans="1:11" ht="15" customHeight="1" x14ac:dyDescent="0.3">
      <c r="A812" s="31">
        <v>807</v>
      </c>
      <c r="B812" s="32" t="s">
        <v>1790</v>
      </c>
      <c r="C812" s="32" t="s">
        <v>1845</v>
      </c>
      <c r="D812" s="32" t="s">
        <v>1846</v>
      </c>
      <c r="E812" s="32" t="s">
        <v>1847</v>
      </c>
      <c r="F812" s="32" t="s">
        <v>276</v>
      </c>
      <c r="G812" s="33">
        <v>163</v>
      </c>
      <c r="H812" s="34">
        <v>0.8</v>
      </c>
      <c r="I812" s="31">
        <v>137260</v>
      </c>
      <c r="J812" s="35" t="s">
        <v>207</v>
      </c>
      <c r="K812" s="36">
        <v>2021</v>
      </c>
    </row>
    <row r="813" spans="1:11" ht="15" customHeight="1" x14ac:dyDescent="0.3">
      <c r="A813" s="37">
        <v>808</v>
      </c>
      <c r="B813" s="38" t="s">
        <v>1790</v>
      </c>
      <c r="C813" s="38" t="s">
        <v>1848</v>
      </c>
      <c r="D813" s="38" t="s">
        <v>1193</v>
      </c>
      <c r="E813" s="38" t="s">
        <v>1849</v>
      </c>
      <c r="F813" s="38" t="s">
        <v>276</v>
      </c>
      <c r="G813" s="39">
        <v>149</v>
      </c>
      <c r="H813" s="40">
        <v>1.41</v>
      </c>
      <c r="I813" s="37">
        <v>137260</v>
      </c>
      <c r="J813" s="41" t="s">
        <v>207</v>
      </c>
      <c r="K813" s="42">
        <v>2021</v>
      </c>
    </row>
    <row r="814" spans="1:11" ht="15" customHeight="1" x14ac:dyDescent="0.3">
      <c r="A814" s="31">
        <v>809</v>
      </c>
      <c r="B814" s="32" t="s">
        <v>1790</v>
      </c>
      <c r="C814" s="32" t="s">
        <v>1850</v>
      </c>
      <c r="D814" s="32" t="s">
        <v>1851</v>
      </c>
      <c r="E814" s="32" t="s">
        <v>1851</v>
      </c>
      <c r="F814" s="32" t="s">
        <v>316</v>
      </c>
      <c r="G814" s="33">
        <v>1807</v>
      </c>
      <c r="H814" s="34">
        <v>3.02</v>
      </c>
      <c r="I814" s="31">
        <v>191260</v>
      </c>
      <c r="J814" s="35" t="s">
        <v>207</v>
      </c>
      <c r="K814" s="36">
        <v>2021</v>
      </c>
    </row>
    <row r="815" spans="1:11" ht="15" customHeight="1" x14ac:dyDescent="0.3">
      <c r="A815" s="37">
        <v>810</v>
      </c>
      <c r="B815" s="38" t="s">
        <v>1790</v>
      </c>
      <c r="C815" s="38" t="s">
        <v>1852</v>
      </c>
      <c r="D815" s="38" t="s">
        <v>38</v>
      </c>
      <c r="E815" s="38" t="s">
        <v>51</v>
      </c>
      <c r="F815" s="38" t="s">
        <v>316</v>
      </c>
      <c r="G815" s="39">
        <v>2157</v>
      </c>
      <c r="H815" s="40">
        <v>1.42</v>
      </c>
      <c r="I815" s="37">
        <v>163260</v>
      </c>
      <c r="J815" s="41" t="s">
        <v>207</v>
      </c>
      <c r="K815" s="42">
        <v>2021</v>
      </c>
    </row>
    <row r="816" spans="1:11" ht="15" customHeight="1" x14ac:dyDescent="0.3">
      <c r="A816" s="31">
        <v>811</v>
      </c>
      <c r="B816" s="32" t="s">
        <v>1790</v>
      </c>
      <c r="C816" s="32" t="s">
        <v>1853</v>
      </c>
      <c r="D816" s="32" t="s">
        <v>38</v>
      </c>
      <c r="E816" s="32" t="s">
        <v>51</v>
      </c>
      <c r="F816" s="32" t="s">
        <v>276</v>
      </c>
      <c r="G816" s="33">
        <v>285</v>
      </c>
      <c r="H816" s="34">
        <v>2.17</v>
      </c>
      <c r="I816" s="31">
        <v>153000</v>
      </c>
      <c r="J816" s="35" t="s">
        <v>207</v>
      </c>
      <c r="K816" s="36">
        <v>2021</v>
      </c>
    </row>
    <row r="817" spans="1:11" ht="15" customHeight="1" x14ac:dyDescent="0.3">
      <c r="A817" s="37">
        <v>812</v>
      </c>
      <c r="B817" s="38" t="s">
        <v>1790</v>
      </c>
      <c r="C817" s="38" t="s">
        <v>1854</v>
      </c>
      <c r="D817" s="38" t="s">
        <v>1297</v>
      </c>
      <c r="E817" s="38" t="s">
        <v>1643</v>
      </c>
      <c r="F817" s="38" t="s">
        <v>329</v>
      </c>
      <c r="G817" s="39">
        <v>368</v>
      </c>
      <c r="H817" s="40">
        <v>1.24</v>
      </c>
      <c r="I817" s="37">
        <v>127000</v>
      </c>
      <c r="J817" s="41" t="s">
        <v>207</v>
      </c>
      <c r="K817" s="42">
        <v>2021</v>
      </c>
    </row>
    <row r="818" spans="1:11" ht="15" customHeight="1" x14ac:dyDescent="0.3">
      <c r="A818" s="31">
        <v>813</v>
      </c>
      <c r="B818" s="32" t="s">
        <v>336</v>
      </c>
      <c r="C818" s="32" t="s">
        <v>1855</v>
      </c>
      <c r="D818" s="32" t="s">
        <v>44</v>
      </c>
      <c r="E818" s="32" t="s">
        <v>35</v>
      </c>
      <c r="F818" s="32" t="s">
        <v>1856</v>
      </c>
      <c r="G818" s="33">
        <v>3375</v>
      </c>
      <c r="H818" s="34">
        <v>5.8</v>
      </c>
      <c r="I818" s="31">
        <v>275260</v>
      </c>
      <c r="J818" s="35" t="s">
        <v>207</v>
      </c>
      <c r="K818" s="36">
        <v>2021</v>
      </c>
    </row>
    <row r="819" spans="1:11" ht="15" customHeight="1" x14ac:dyDescent="0.3">
      <c r="A819" s="37">
        <v>814</v>
      </c>
      <c r="B819" s="38" t="s">
        <v>336</v>
      </c>
      <c r="C819" s="38" t="s">
        <v>1857</v>
      </c>
      <c r="D819" s="38" t="s">
        <v>342</v>
      </c>
      <c r="E819" s="38" t="s">
        <v>47</v>
      </c>
      <c r="F819" s="38" t="s">
        <v>373</v>
      </c>
      <c r="G819" s="39">
        <v>1561</v>
      </c>
      <c r="H819" s="40">
        <v>3.9750000000000001</v>
      </c>
      <c r="I819" s="37">
        <v>219260</v>
      </c>
      <c r="J819" s="41" t="s">
        <v>207</v>
      </c>
      <c r="K819" s="42">
        <v>2021</v>
      </c>
    </row>
    <row r="820" spans="1:11" ht="15" customHeight="1" x14ac:dyDescent="0.3">
      <c r="A820" s="31">
        <v>815</v>
      </c>
      <c r="B820" s="32" t="s">
        <v>336</v>
      </c>
      <c r="C820" s="32" t="s">
        <v>1858</v>
      </c>
      <c r="D820" s="32" t="s">
        <v>538</v>
      </c>
      <c r="E820" s="32" t="s">
        <v>41</v>
      </c>
      <c r="F820" s="32" t="s">
        <v>276</v>
      </c>
      <c r="G820" s="33">
        <v>550</v>
      </c>
      <c r="H820" s="34">
        <v>1.02</v>
      </c>
      <c r="I820" s="31">
        <v>137260</v>
      </c>
      <c r="J820" s="35" t="s">
        <v>207</v>
      </c>
      <c r="K820" s="36">
        <v>2021</v>
      </c>
    </row>
    <row r="821" spans="1:11" ht="15" customHeight="1" x14ac:dyDescent="0.3">
      <c r="A821" s="37">
        <v>816</v>
      </c>
      <c r="B821" s="38" t="s">
        <v>336</v>
      </c>
      <c r="C821" s="38" t="s">
        <v>1859</v>
      </c>
      <c r="D821" s="38" t="s">
        <v>1860</v>
      </c>
      <c r="E821" s="38" t="s">
        <v>1861</v>
      </c>
      <c r="F821" s="38" t="s">
        <v>287</v>
      </c>
      <c r="G821" s="39">
        <v>940.43</v>
      </c>
      <c r="H821" s="40">
        <v>3.4</v>
      </c>
      <c r="I821" s="37">
        <v>191260</v>
      </c>
      <c r="J821" s="41" t="s">
        <v>207</v>
      </c>
      <c r="K821" s="42">
        <v>2021</v>
      </c>
    </row>
    <row r="822" spans="1:11" ht="15" customHeight="1" x14ac:dyDescent="0.3">
      <c r="A822" s="31">
        <v>817</v>
      </c>
      <c r="B822" s="32" t="s">
        <v>336</v>
      </c>
      <c r="C822" s="32" t="s">
        <v>1862</v>
      </c>
      <c r="D822" s="32" t="s">
        <v>1798</v>
      </c>
      <c r="E822" s="32" t="s">
        <v>41</v>
      </c>
      <c r="F822" s="32" t="s">
        <v>406</v>
      </c>
      <c r="G822" s="33">
        <v>995</v>
      </c>
      <c r="H822" s="34">
        <v>4</v>
      </c>
      <c r="I822" s="31">
        <v>219260</v>
      </c>
      <c r="J822" s="35" t="s">
        <v>207</v>
      </c>
      <c r="K822" s="36">
        <v>2021</v>
      </c>
    </row>
    <row r="823" spans="1:11" ht="15" customHeight="1" x14ac:dyDescent="0.3">
      <c r="A823" s="37">
        <v>818</v>
      </c>
      <c r="B823" s="38" t="s">
        <v>336</v>
      </c>
      <c r="C823" s="38" t="s">
        <v>1863</v>
      </c>
      <c r="D823" s="38" t="s">
        <v>691</v>
      </c>
      <c r="E823" s="38" t="s">
        <v>1864</v>
      </c>
      <c r="F823" s="38" t="s">
        <v>406</v>
      </c>
      <c r="G823" s="39">
        <v>1288</v>
      </c>
      <c r="H823" s="40">
        <v>2.19</v>
      </c>
      <c r="I823" s="37">
        <v>153000</v>
      </c>
      <c r="J823" s="41" t="s">
        <v>207</v>
      </c>
      <c r="K823" s="42">
        <v>2021</v>
      </c>
    </row>
    <row r="824" spans="1:11" ht="15" customHeight="1" x14ac:dyDescent="0.3">
      <c r="A824" s="31">
        <v>819</v>
      </c>
      <c r="B824" s="32" t="s">
        <v>336</v>
      </c>
      <c r="C824" s="32" t="s">
        <v>1865</v>
      </c>
      <c r="D824" s="32" t="s">
        <v>36</v>
      </c>
      <c r="E824" s="32" t="s">
        <v>43</v>
      </c>
      <c r="F824" s="32" t="s">
        <v>316</v>
      </c>
      <c r="G824" s="33">
        <v>1200</v>
      </c>
      <c r="H824" s="34">
        <v>12</v>
      </c>
      <c r="I824" s="31">
        <v>377260</v>
      </c>
      <c r="J824" s="35" t="s">
        <v>207</v>
      </c>
      <c r="K824" s="36">
        <v>2021</v>
      </c>
    </row>
    <row r="825" spans="1:11" ht="15" customHeight="1" x14ac:dyDescent="0.3">
      <c r="A825" s="37">
        <v>820</v>
      </c>
      <c r="B825" s="38" t="s">
        <v>336</v>
      </c>
      <c r="C825" s="38" t="s">
        <v>1866</v>
      </c>
      <c r="D825" s="38" t="s">
        <v>1173</v>
      </c>
      <c r="E825" s="38" t="s">
        <v>1867</v>
      </c>
      <c r="F825" s="38" t="s">
        <v>276</v>
      </c>
      <c r="G825" s="39">
        <v>1050</v>
      </c>
      <c r="H825" s="40">
        <v>1.06</v>
      </c>
      <c r="I825" s="37">
        <v>127000</v>
      </c>
      <c r="J825" s="41" t="s">
        <v>207</v>
      </c>
      <c r="K825" s="42">
        <v>2021</v>
      </c>
    </row>
    <row r="826" spans="1:11" ht="15" customHeight="1" x14ac:dyDescent="0.3">
      <c r="A826" s="31">
        <v>821</v>
      </c>
      <c r="B826" s="32" t="s">
        <v>313</v>
      </c>
      <c r="C826" s="32" t="s">
        <v>1868</v>
      </c>
      <c r="D826" s="32" t="s">
        <v>1869</v>
      </c>
      <c r="E826" s="32" t="s">
        <v>1870</v>
      </c>
      <c r="F826" s="32" t="s">
        <v>287</v>
      </c>
      <c r="G826" s="33">
        <v>1230</v>
      </c>
      <c r="H826" s="34">
        <v>2.72</v>
      </c>
      <c r="I826" s="31">
        <v>181000</v>
      </c>
      <c r="J826" s="35" t="s">
        <v>207</v>
      </c>
      <c r="K826" s="36">
        <v>2021</v>
      </c>
    </row>
    <row r="827" spans="1:11" ht="15" customHeight="1" x14ac:dyDescent="0.3">
      <c r="A827" s="37">
        <v>822</v>
      </c>
      <c r="B827" s="38" t="s">
        <v>313</v>
      </c>
      <c r="C827" s="38" t="s">
        <v>1871</v>
      </c>
      <c r="D827" s="38" t="s">
        <v>1516</v>
      </c>
      <c r="E827" s="38" t="s">
        <v>35</v>
      </c>
      <c r="F827" s="38" t="s">
        <v>435</v>
      </c>
      <c r="G827" s="39">
        <v>7270</v>
      </c>
      <c r="H827" s="40">
        <v>2.73</v>
      </c>
      <c r="I827" s="37">
        <v>303260</v>
      </c>
      <c r="J827" s="41" t="s">
        <v>207</v>
      </c>
      <c r="K827" s="42">
        <v>2021</v>
      </c>
    </row>
    <row r="828" spans="1:11" ht="15" customHeight="1" x14ac:dyDescent="0.3">
      <c r="A828" s="31">
        <v>823</v>
      </c>
      <c r="B828" s="32" t="s">
        <v>313</v>
      </c>
      <c r="C828" s="32" t="s">
        <v>1872</v>
      </c>
      <c r="D828" s="32" t="s">
        <v>1873</v>
      </c>
      <c r="E828" s="32" t="s">
        <v>41</v>
      </c>
      <c r="F828" s="32" t="s">
        <v>849</v>
      </c>
      <c r="G828" s="33">
        <v>99</v>
      </c>
      <c r="H828" s="34">
        <v>0.18</v>
      </c>
      <c r="I828" s="31">
        <v>137260</v>
      </c>
      <c r="J828" s="35" t="s">
        <v>207</v>
      </c>
      <c r="K828" s="36">
        <v>2021</v>
      </c>
    </row>
    <row r="829" spans="1:11" ht="15" customHeight="1" x14ac:dyDescent="0.3">
      <c r="A829" s="37">
        <v>824</v>
      </c>
      <c r="B829" s="38" t="s">
        <v>313</v>
      </c>
      <c r="C829" s="38" t="s">
        <v>1874</v>
      </c>
      <c r="D829" s="38" t="s">
        <v>1149</v>
      </c>
      <c r="E829" s="38" t="s">
        <v>41</v>
      </c>
      <c r="F829" s="38" t="s">
        <v>1758</v>
      </c>
      <c r="G829" s="39">
        <v>500</v>
      </c>
      <c r="H829" s="40">
        <v>0.72</v>
      </c>
      <c r="I829" s="37">
        <v>137260</v>
      </c>
      <c r="J829" s="41" t="s">
        <v>207</v>
      </c>
      <c r="K829" s="42">
        <v>2021</v>
      </c>
    </row>
    <row r="830" spans="1:11" ht="15" customHeight="1" x14ac:dyDescent="0.3">
      <c r="A830" s="31">
        <v>825</v>
      </c>
      <c r="B830" s="32" t="s">
        <v>313</v>
      </c>
      <c r="C830" s="32" t="s">
        <v>1875</v>
      </c>
      <c r="D830" s="32" t="s">
        <v>1149</v>
      </c>
      <c r="E830" s="32" t="s">
        <v>41</v>
      </c>
      <c r="F830" s="32" t="s">
        <v>312</v>
      </c>
      <c r="G830" s="33">
        <v>510</v>
      </c>
      <c r="H830" s="34">
        <v>0.78</v>
      </c>
      <c r="I830" s="31">
        <v>137260</v>
      </c>
      <c r="J830" s="35" t="s">
        <v>207</v>
      </c>
      <c r="K830" s="36">
        <v>2021</v>
      </c>
    </row>
    <row r="831" spans="1:11" ht="15" customHeight="1" x14ac:dyDescent="0.3">
      <c r="A831" s="37">
        <v>826</v>
      </c>
      <c r="B831" s="38" t="s">
        <v>313</v>
      </c>
      <c r="C831" s="38" t="s">
        <v>1876</v>
      </c>
      <c r="D831" s="38" t="s">
        <v>1516</v>
      </c>
      <c r="E831" s="38" t="s">
        <v>1733</v>
      </c>
      <c r="F831" s="38" t="s">
        <v>312</v>
      </c>
      <c r="G831" s="39">
        <v>634</v>
      </c>
      <c r="H831" s="40">
        <v>0.81</v>
      </c>
      <c r="I831" s="37">
        <v>127000</v>
      </c>
      <c r="J831" s="41" t="s">
        <v>207</v>
      </c>
      <c r="K831" s="42">
        <v>2021</v>
      </c>
    </row>
    <row r="832" spans="1:11" ht="15" customHeight="1" x14ac:dyDescent="0.3">
      <c r="A832" s="31">
        <v>827</v>
      </c>
      <c r="B832" s="32" t="s">
        <v>313</v>
      </c>
      <c r="C832" s="32" t="s">
        <v>1877</v>
      </c>
      <c r="D832" s="32" t="s">
        <v>1878</v>
      </c>
      <c r="E832" s="32" t="s">
        <v>928</v>
      </c>
      <c r="F832" s="32" t="s">
        <v>306</v>
      </c>
      <c r="G832" s="33">
        <v>240</v>
      </c>
      <c r="H832" s="34">
        <v>0.48</v>
      </c>
      <c r="I832" s="31">
        <v>137260</v>
      </c>
      <c r="J832" s="35" t="s">
        <v>207</v>
      </c>
      <c r="K832" s="36">
        <v>2021</v>
      </c>
    </row>
    <row r="833" spans="1:11" ht="15" customHeight="1" x14ac:dyDescent="0.3">
      <c r="A833" s="37">
        <v>828</v>
      </c>
      <c r="B833" s="38" t="s">
        <v>313</v>
      </c>
      <c r="C833" s="38" t="s">
        <v>1879</v>
      </c>
      <c r="D833" s="38" t="s">
        <v>826</v>
      </c>
      <c r="E833" s="38" t="s">
        <v>35</v>
      </c>
      <c r="F833" s="38" t="s">
        <v>276</v>
      </c>
      <c r="G833" s="39">
        <v>95</v>
      </c>
      <c r="H833" s="40">
        <v>1.06</v>
      </c>
      <c r="I833" s="37">
        <v>137260</v>
      </c>
      <c r="J833" s="41" t="s">
        <v>207</v>
      </c>
      <c r="K833" s="42">
        <v>2021</v>
      </c>
    </row>
    <row r="834" spans="1:11" ht="15" customHeight="1" x14ac:dyDescent="0.3">
      <c r="A834" s="31">
        <v>829</v>
      </c>
      <c r="B834" s="32" t="s">
        <v>313</v>
      </c>
      <c r="C834" s="32" t="s">
        <v>1880</v>
      </c>
      <c r="D834" s="32" t="s">
        <v>1881</v>
      </c>
      <c r="E834" s="32" t="s">
        <v>1882</v>
      </c>
      <c r="F834" s="32" t="s">
        <v>306</v>
      </c>
      <c r="G834" s="33">
        <v>229</v>
      </c>
      <c r="H834" s="34">
        <v>1.33</v>
      </c>
      <c r="I834" s="31">
        <v>137260</v>
      </c>
      <c r="J834" s="35" t="s">
        <v>207</v>
      </c>
      <c r="K834" s="36">
        <v>2021</v>
      </c>
    </row>
    <row r="835" spans="1:11" ht="15" customHeight="1" x14ac:dyDescent="0.3">
      <c r="A835" s="37">
        <v>830</v>
      </c>
      <c r="B835" s="38" t="s">
        <v>313</v>
      </c>
      <c r="C835" s="38" t="s">
        <v>1883</v>
      </c>
      <c r="D835" s="38" t="s">
        <v>1884</v>
      </c>
      <c r="E835" s="38" t="s">
        <v>190</v>
      </c>
      <c r="F835" s="38" t="s">
        <v>1717</v>
      </c>
      <c r="G835" s="39">
        <v>1170</v>
      </c>
      <c r="H835" s="40">
        <v>4.55</v>
      </c>
      <c r="I835" s="37">
        <v>237000</v>
      </c>
      <c r="J835" s="41" t="s">
        <v>207</v>
      </c>
      <c r="K835" s="42">
        <v>2021</v>
      </c>
    </row>
    <row r="836" spans="1:11" ht="15" customHeight="1" x14ac:dyDescent="0.3">
      <c r="A836" s="31">
        <v>831</v>
      </c>
      <c r="B836" s="32" t="s">
        <v>313</v>
      </c>
      <c r="C836" s="32" t="s">
        <v>1885</v>
      </c>
      <c r="D836" s="32" t="s">
        <v>1623</v>
      </c>
      <c r="E836" s="32" t="s">
        <v>648</v>
      </c>
      <c r="F836" s="32" t="s">
        <v>373</v>
      </c>
      <c r="G836" s="33">
        <v>2132</v>
      </c>
      <c r="H836" s="34">
        <v>6.16</v>
      </c>
      <c r="I836" s="31">
        <v>275260</v>
      </c>
      <c r="J836" s="35" t="s">
        <v>207</v>
      </c>
      <c r="K836" s="36">
        <v>2021</v>
      </c>
    </row>
    <row r="837" spans="1:11" ht="15" customHeight="1" x14ac:dyDescent="0.3">
      <c r="A837" s="37">
        <v>832</v>
      </c>
      <c r="B837" s="38" t="s">
        <v>313</v>
      </c>
      <c r="C837" s="38" t="s">
        <v>1886</v>
      </c>
      <c r="D837" s="38" t="s">
        <v>36</v>
      </c>
      <c r="E837" s="38" t="s">
        <v>43</v>
      </c>
      <c r="F837" s="38" t="s">
        <v>406</v>
      </c>
      <c r="G837" s="39">
        <v>2225</v>
      </c>
      <c r="H837" s="40">
        <v>2.87</v>
      </c>
      <c r="I837" s="37">
        <v>191260</v>
      </c>
      <c r="J837" s="41" t="s">
        <v>207</v>
      </c>
      <c r="K837" s="42">
        <v>2021</v>
      </c>
    </row>
    <row r="838" spans="1:11" ht="15" customHeight="1" x14ac:dyDescent="0.3">
      <c r="A838" s="31">
        <v>833</v>
      </c>
      <c r="B838" s="32" t="s">
        <v>313</v>
      </c>
      <c r="C838" s="32" t="s">
        <v>1887</v>
      </c>
      <c r="D838" s="32" t="s">
        <v>1888</v>
      </c>
      <c r="E838" s="32" t="s">
        <v>41</v>
      </c>
      <c r="F838" s="32" t="s">
        <v>435</v>
      </c>
      <c r="G838" s="33">
        <v>4488</v>
      </c>
      <c r="H838" s="34">
        <v>4.1100000000000003</v>
      </c>
      <c r="I838" s="31">
        <v>219260</v>
      </c>
      <c r="J838" s="35" t="s">
        <v>207</v>
      </c>
      <c r="K838" s="36">
        <v>2021</v>
      </c>
    </row>
    <row r="839" spans="1:11" ht="15" customHeight="1" x14ac:dyDescent="0.3">
      <c r="A839" s="37">
        <v>834</v>
      </c>
      <c r="B839" s="38" t="s">
        <v>313</v>
      </c>
      <c r="C839" s="38" t="s">
        <v>1889</v>
      </c>
      <c r="D839" s="38" t="s">
        <v>691</v>
      </c>
      <c r="E839" s="38" t="s">
        <v>1890</v>
      </c>
      <c r="F839" s="38" t="s">
        <v>276</v>
      </c>
      <c r="G839" s="39">
        <v>1032</v>
      </c>
      <c r="H839" s="40">
        <v>1.52</v>
      </c>
      <c r="I839" s="37">
        <v>163260</v>
      </c>
      <c r="J839" s="41" t="s">
        <v>207</v>
      </c>
      <c r="K839" s="42">
        <v>2021</v>
      </c>
    </row>
    <row r="840" spans="1:11" ht="15" customHeight="1" x14ac:dyDescent="0.3">
      <c r="A840" s="31">
        <v>835</v>
      </c>
      <c r="B840" s="32" t="s">
        <v>313</v>
      </c>
      <c r="C840" s="32" t="s">
        <v>1891</v>
      </c>
      <c r="D840" s="32" t="s">
        <v>36</v>
      </c>
      <c r="E840" s="32" t="s">
        <v>43</v>
      </c>
      <c r="F840" s="32" t="s">
        <v>406</v>
      </c>
      <c r="G840" s="33">
        <v>160</v>
      </c>
      <c r="H840" s="34">
        <v>0.52</v>
      </c>
      <c r="I840" s="31">
        <v>137260</v>
      </c>
      <c r="J840" s="35" t="s">
        <v>207</v>
      </c>
      <c r="K840" s="36">
        <v>2021</v>
      </c>
    </row>
    <row r="841" spans="1:11" ht="15" customHeight="1" x14ac:dyDescent="0.3">
      <c r="A841" s="37">
        <v>836</v>
      </c>
      <c r="B841" s="38" t="s">
        <v>313</v>
      </c>
      <c r="C841" s="38" t="s">
        <v>1892</v>
      </c>
      <c r="D841" s="38" t="s">
        <v>1893</v>
      </c>
      <c r="E841" s="38" t="s">
        <v>1894</v>
      </c>
      <c r="F841" s="38" t="s">
        <v>276</v>
      </c>
      <c r="G841" s="39">
        <v>260</v>
      </c>
      <c r="H841" s="40">
        <v>1.48</v>
      </c>
      <c r="I841" s="37">
        <v>137260</v>
      </c>
      <c r="J841" s="41" t="s">
        <v>207</v>
      </c>
      <c r="K841" s="42">
        <v>2021</v>
      </c>
    </row>
    <row r="842" spans="1:11" ht="15" customHeight="1" x14ac:dyDescent="0.3">
      <c r="A842" s="31">
        <v>837</v>
      </c>
      <c r="B842" s="32" t="s">
        <v>313</v>
      </c>
      <c r="C842" s="32" t="s">
        <v>1895</v>
      </c>
      <c r="D842" s="32" t="s">
        <v>1896</v>
      </c>
      <c r="E842" s="32" t="s">
        <v>1897</v>
      </c>
      <c r="F842" s="32" t="s">
        <v>287</v>
      </c>
      <c r="G842" s="33">
        <v>1188</v>
      </c>
      <c r="H842" s="34">
        <v>3.75</v>
      </c>
      <c r="I842" s="31">
        <v>219260</v>
      </c>
      <c r="J842" s="35" t="s">
        <v>207</v>
      </c>
      <c r="K842" s="36">
        <v>2021</v>
      </c>
    </row>
    <row r="843" spans="1:11" ht="15" customHeight="1" x14ac:dyDescent="0.3">
      <c r="A843" s="37">
        <v>838</v>
      </c>
      <c r="B843" s="38" t="s">
        <v>313</v>
      </c>
      <c r="C843" s="38" t="s">
        <v>1898</v>
      </c>
      <c r="D843" s="38"/>
      <c r="E843" s="38" t="s">
        <v>37</v>
      </c>
      <c r="F843" s="38" t="s">
        <v>312</v>
      </c>
      <c r="G843" s="39">
        <v>330</v>
      </c>
      <c r="H843" s="40">
        <v>0.38</v>
      </c>
      <c r="I843" s="37">
        <v>137260</v>
      </c>
      <c r="J843" s="41" t="s">
        <v>207</v>
      </c>
      <c r="K843" s="42">
        <v>2021</v>
      </c>
    </row>
    <row r="844" spans="1:11" ht="15" customHeight="1" x14ac:dyDescent="0.3">
      <c r="A844" s="31">
        <v>839</v>
      </c>
      <c r="B844" s="32" t="s">
        <v>272</v>
      </c>
      <c r="C844" s="32" t="s">
        <v>1899</v>
      </c>
      <c r="D844" s="32" t="s">
        <v>459</v>
      </c>
      <c r="E844" s="32" t="s">
        <v>37</v>
      </c>
      <c r="F844" s="32" t="s">
        <v>276</v>
      </c>
      <c r="G844" s="33">
        <v>30</v>
      </c>
      <c r="H844" s="34">
        <v>0.245</v>
      </c>
      <c r="I844" s="31">
        <v>137260</v>
      </c>
      <c r="J844" s="35" t="s">
        <v>668</v>
      </c>
      <c r="K844" s="36">
        <v>2021</v>
      </c>
    </row>
    <row r="845" spans="1:11" ht="15" customHeight="1" x14ac:dyDescent="0.3">
      <c r="A845" s="37">
        <v>840</v>
      </c>
      <c r="B845" s="38" t="s">
        <v>272</v>
      </c>
      <c r="C845" s="38" t="s">
        <v>1900</v>
      </c>
      <c r="D845" s="38" t="s">
        <v>1901</v>
      </c>
      <c r="E845" s="38" t="s">
        <v>499</v>
      </c>
      <c r="F845" s="38" t="s">
        <v>435</v>
      </c>
      <c r="G845" s="39">
        <v>684</v>
      </c>
      <c r="H845" s="40">
        <v>5</v>
      </c>
      <c r="I845" s="37">
        <v>247260</v>
      </c>
      <c r="J845" s="41" t="s">
        <v>668</v>
      </c>
      <c r="K845" s="42">
        <v>2021</v>
      </c>
    </row>
    <row r="846" spans="1:11" ht="15" customHeight="1" x14ac:dyDescent="0.3">
      <c r="A846" s="31">
        <v>841</v>
      </c>
      <c r="B846" s="32" t="s">
        <v>272</v>
      </c>
      <c r="C846" s="32" t="s">
        <v>1902</v>
      </c>
      <c r="D846" s="32" t="s">
        <v>538</v>
      </c>
      <c r="E846" s="32" t="s">
        <v>37</v>
      </c>
      <c r="F846" s="32" t="s">
        <v>276</v>
      </c>
      <c r="G846" s="33">
        <v>330</v>
      </c>
      <c r="H846" s="34">
        <v>0.68500000000000005</v>
      </c>
      <c r="I846" s="31">
        <v>137260</v>
      </c>
      <c r="J846" s="35" t="s">
        <v>668</v>
      </c>
      <c r="K846" s="36">
        <v>2021</v>
      </c>
    </row>
    <row r="847" spans="1:11" ht="15" customHeight="1" x14ac:dyDescent="0.3">
      <c r="A847" s="37">
        <v>842</v>
      </c>
      <c r="B847" s="38" t="s">
        <v>272</v>
      </c>
      <c r="C847" s="38" t="s">
        <v>1903</v>
      </c>
      <c r="D847" s="38" t="s">
        <v>1904</v>
      </c>
      <c r="E847" s="38" t="s">
        <v>1905</v>
      </c>
      <c r="F847" s="38" t="s">
        <v>306</v>
      </c>
      <c r="G847" s="39">
        <v>1188</v>
      </c>
      <c r="H847" s="40">
        <v>2.1640000000000001</v>
      </c>
      <c r="I847" s="37">
        <v>163260</v>
      </c>
      <c r="J847" s="41" t="s">
        <v>668</v>
      </c>
      <c r="K847" s="42">
        <v>2021</v>
      </c>
    </row>
    <row r="848" spans="1:11" ht="15" customHeight="1" x14ac:dyDescent="0.3">
      <c r="A848" s="31">
        <v>843</v>
      </c>
      <c r="B848" s="32" t="s">
        <v>272</v>
      </c>
      <c r="C848" s="32" t="s">
        <v>1906</v>
      </c>
      <c r="D848" s="32" t="s">
        <v>996</v>
      </c>
      <c r="E848" s="32" t="s">
        <v>35</v>
      </c>
      <c r="F848" s="32" t="s">
        <v>316</v>
      </c>
      <c r="G848" s="33">
        <v>500</v>
      </c>
      <c r="H848" s="34">
        <v>2.093</v>
      </c>
      <c r="I848" s="31">
        <v>163260</v>
      </c>
      <c r="J848" s="35" t="s">
        <v>668</v>
      </c>
      <c r="K848" s="36">
        <v>2021</v>
      </c>
    </row>
    <row r="849" spans="1:11" ht="15" customHeight="1" x14ac:dyDescent="0.3">
      <c r="A849" s="37">
        <v>844</v>
      </c>
      <c r="B849" s="38" t="s">
        <v>272</v>
      </c>
      <c r="C849" s="38" t="s">
        <v>1907</v>
      </c>
      <c r="D849" s="38" t="s">
        <v>1908</v>
      </c>
      <c r="E849" s="38" t="s">
        <v>1538</v>
      </c>
      <c r="F849" s="38" t="s">
        <v>276</v>
      </c>
      <c r="G849" s="39">
        <v>806</v>
      </c>
      <c r="H849" s="40">
        <v>1.4</v>
      </c>
      <c r="I849" s="37">
        <v>127000</v>
      </c>
      <c r="J849" s="41" t="s">
        <v>668</v>
      </c>
      <c r="K849" s="42">
        <v>2021</v>
      </c>
    </row>
    <row r="850" spans="1:11" ht="15" customHeight="1" x14ac:dyDescent="0.3">
      <c r="A850" s="31">
        <v>845</v>
      </c>
      <c r="B850" s="32" t="s">
        <v>272</v>
      </c>
      <c r="C850" s="32" t="s">
        <v>1909</v>
      </c>
      <c r="D850" s="32" t="s">
        <v>36</v>
      </c>
      <c r="E850" s="32" t="s">
        <v>43</v>
      </c>
      <c r="F850" s="32" t="s">
        <v>312</v>
      </c>
      <c r="G850" s="33">
        <v>198</v>
      </c>
      <c r="H850" s="34">
        <v>0.52400000000000002</v>
      </c>
      <c r="I850" s="31">
        <v>137260</v>
      </c>
      <c r="J850" s="35" t="s">
        <v>668</v>
      </c>
      <c r="K850" s="36">
        <v>2021</v>
      </c>
    </row>
    <row r="851" spans="1:11" ht="15" customHeight="1" x14ac:dyDescent="0.3">
      <c r="A851" s="37">
        <v>846</v>
      </c>
      <c r="B851" s="38" t="s">
        <v>272</v>
      </c>
      <c r="C851" s="38" t="s">
        <v>1910</v>
      </c>
      <c r="D851" s="38" t="s">
        <v>1911</v>
      </c>
      <c r="E851" s="38" t="s">
        <v>1276</v>
      </c>
      <c r="F851" s="38" t="s">
        <v>276</v>
      </c>
      <c r="G851" s="39">
        <v>808</v>
      </c>
      <c r="H851" s="40">
        <v>2</v>
      </c>
      <c r="I851" s="37">
        <v>163260</v>
      </c>
      <c r="J851" s="41" t="s">
        <v>668</v>
      </c>
      <c r="K851" s="42">
        <v>2021</v>
      </c>
    </row>
    <row r="852" spans="1:11" ht="15" customHeight="1" x14ac:dyDescent="0.3">
      <c r="A852" s="31">
        <v>847</v>
      </c>
      <c r="B852" s="32" t="s">
        <v>272</v>
      </c>
      <c r="C852" s="32" t="s">
        <v>1912</v>
      </c>
      <c r="D852" s="32" t="s">
        <v>1913</v>
      </c>
      <c r="E852" s="32" t="s">
        <v>35</v>
      </c>
      <c r="F852" s="32" t="s">
        <v>316</v>
      </c>
      <c r="G852" s="33">
        <v>264</v>
      </c>
      <c r="H852" s="34">
        <v>2</v>
      </c>
      <c r="I852" s="31">
        <v>163260</v>
      </c>
      <c r="J852" s="35" t="s">
        <v>668</v>
      </c>
      <c r="K852" s="36">
        <v>2021</v>
      </c>
    </row>
    <row r="853" spans="1:11" ht="15" customHeight="1" x14ac:dyDescent="0.3">
      <c r="A853" s="37">
        <v>848</v>
      </c>
      <c r="B853" s="38" t="s">
        <v>272</v>
      </c>
      <c r="C853" s="38" t="s">
        <v>1914</v>
      </c>
      <c r="D853" s="38" t="s">
        <v>38</v>
      </c>
      <c r="E853" s="38" t="s">
        <v>51</v>
      </c>
      <c r="F853" s="38" t="s">
        <v>402</v>
      </c>
      <c r="G853" s="39">
        <v>1097</v>
      </c>
      <c r="H853" s="40">
        <v>5</v>
      </c>
      <c r="I853" s="37">
        <v>247260</v>
      </c>
      <c r="J853" s="41" t="s">
        <v>668</v>
      </c>
      <c r="K853" s="42">
        <v>2021</v>
      </c>
    </row>
    <row r="854" spans="1:11" ht="15" customHeight="1" x14ac:dyDescent="0.3">
      <c r="A854" s="31">
        <v>849</v>
      </c>
      <c r="B854" s="32" t="s">
        <v>272</v>
      </c>
      <c r="C854" s="32" t="s">
        <v>1915</v>
      </c>
      <c r="D854" s="32" t="s">
        <v>38</v>
      </c>
      <c r="E854" s="32" t="s">
        <v>51</v>
      </c>
      <c r="F854" s="32" t="s">
        <v>316</v>
      </c>
      <c r="G854" s="33">
        <v>911</v>
      </c>
      <c r="H854" s="34">
        <v>3</v>
      </c>
      <c r="I854" s="31">
        <v>191260</v>
      </c>
      <c r="J854" s="35" t="s">
        <v>668</v>
      </c>
      <c r="K854" s="36">
        <v>2021</v>
      </c>
    </row>
    <row r="855" spans="1:11" ht="15" customHeight="1" x14ac:dyDescent="0.3">
      <c r="A855" s="37">
        <v>850</v>
      </c>
      <c r="B855" s="38" t="s">
        <v>272</v>
      </c>
      <c r="C855" s="38" t="s">
        <v>1916</v>
      </c>
      <c r="D855" s="38" t="s">
        <v>38</v>
      </c>
      <c r="E855" s="38" t="s">
        <v>51</v>
      </c>
      <c r="F855" s="38" t="s">
        <v>1917</v>
      </c>
      <c r="G855" s="39">
        <v>431.03800000000001</v>
      </c>
      <c r="H855" s="40">
        <v>2.3039999999999998</v>
      </c>
      <c r="I855" s="37">
        <v>163260</v>
      </c>
      <c r="J855" s="41" t="s">
        <v>668</v>
      </c>
      <c r="K855" s="42">
        <v>2021</v>
      </c>
    </row>
    <row r="856" spans="1:11" ht="15" customHeight="1" x14ac:dyDescent="0.3">
      <c r="A856" s="31">
        <v>851</v>
      </c>
      <c r="B856" s="32" t="s">
        <v>1918</v>
      </c>
      <c r="C856" s="32" t="s">
        <v>1919</v>
      </c>
      <c r="D856" s="32" t="s">
        <v>679</v>
      </c>
      <c r="E856" s="32" t="s">
        <v>1920</v>
      </c>
      <c r="F856" s="32" t="s">
        <v>276</v>
      </c>
      <c r="G856" s="33">
        <v>120</v>
      </c>
      <c r="H856" s="34">
        <v>0.38</v>
      </c>
      <c r="I856" s="31">
        <v>137260</v>
      </c>
      <c r="J856" s="35" t="s">
        <v>668</v>
      </c>
      <c r="K856" s="36">
        <v>2021</v>
      </c>
    </row>
    <row r="857" spans="1:11" ht="15" customHeight="1" x14ac:dyDescent="0.3">
      <c r="A857" s="37">
        <v>852</v>
      </c>
      <c r="B857" s="38" t="s">
        <v>1918</v>
      </c>
      <c r="C857" s="38" t="s">
        <v>1921</v>
      </c>
      <c r="D857" s="38" t="s">
        <v>1669</v>
      </c>
      <c r="E857" s="38" t="s">
        <v>37</v>
      </c>
      <c r="F857" s="38" t="s">
        <v>312</v>
      </c>
      <c r="G857" s="39">
        <v>405</v>
      </c>
      <c r="H857" s="40">
        <v>0.52</v>
      </c>
      <c r="I857" s="37">
        <v>137260</v>
      </c>
      <c r="J857" s="41" t="s">
        <v>668</v>
      </c>
      <c r="K857" s="42">
        <v>2021</v>
      </c>
    </row>
    <row r="858" spans="1:11" ht="15" customHeight="1" x14ac:dyDescent="0.3">
      <c r="A858" s="31">
        <v>853</v>
      </c>
      <c r="B858" s="32" t="s">
        <v>1918</v>
      </c>
      <c r="C858" s="32" t="s">
        <v>1922</v>
      </c>
      <c r="D858" s="32" t="s">
        <v>342</v>
      </c>
      <c r="E858" s="32" t="s">
        <v>1923</v>
      </c>
      <c r="F858" s="32" t="s">
        <v>386</v>
      </c>
      <c r="G858" s="33">
        <v>3362</v>
      </c>
      <c r="H858" s="34">
        <v>1.21</v>
      </c>
      <c r="I858" s="31">
        <v>191260</v>
      </c>
      <c r="J858" s="35" t="s">
        <v>668</v>
      </c>
      <c r="K858" s="36">
        <v>2021</v>
      </c>
    </row>
    <row r="859" spans="1:11" ht="15" customHeight="1" x14ac:dyDescent="0.3">
      <c r="A859" s="37">
        <v>854</v>
      </c>
      <c r="B859" s="38" t="s">
        <v>1918</v>
      </c>
      <c r="C859" s="38" t="s">
        <v>1924</v>
      </c>
      <c r="D859" s="38" t="s">
        <v>1925</v>
      </c>
      <c r="E859" s="38" t="s">
        <v>1926</v>
      </c>
      <c r="F859" s="38" t="s">
        <v>287</v>
      </c>
      <c r="G859" s="39">
        <v>7362</v>
      </c>
      <c r="H859" s="40">
        <v>6.29</v>
      </c>
      <c r="I859" s="37">
        <v>303260</v>
      </c>
      <c r="J859" s="41" t="s">
        <v>668</v>
      </c>
      <c r="K859" s="42">
        <v>2021</v>
      </c>
    </row>
    <row r="860" spans="1:11" ht="15" customHeight="1" x14ac:dyDescent="0.3">
      <c r="A860" s="31">
        <v>855</v>
      </c>
      <c r="B860" s="32" t="s">
        <v>1918</v>
      </c>
      <c r="C860" s="32" t="s">
        <v>1927</v>
      </c>
      <c r="D860" s="32" t="s">
        <v>1806</v>
      </c>
      <c r="E860" s="32" t="s">
        <v>372</v>
      </c>
      <c r="F860" s="32" t="s">
        <v>316</v>
      </c>
      <c r="G860" s="33">
        <v>1394</v>
      </c>
      <c r="H860" s="34">
        <v>2.4300000000000002</v>
      </c>
      <c r="I860" s="31">
        <v>163260</v>
      </c>
      <c r="J860" s="35" t="s">
        <v>668</v>
      </c>
      <c r="K860" s="36">
        <v>2021</v>
      </c>
    </row>
    <row r="861" spans="1:11" ht="15" customHeight="1" x14ac:dyDescent="0.3">
      <c r="A861" s="37">
        <v>856</v>
      </c>
      <c r="B861" s="38" t="s">
        <v>1918</v>
      </c>
      <c r="C861" s="38" t="s">
        <v>1928</v>
      </c>
      <c r="D861" s="38" t="s">
        <v>1929</v>
      </c>
      <c r="E861" s="38" t="s">
        <v>1930</v>
      </c>
      <c r="F861" s="38" t="s">
        <v>276</v>
      </c>
      <c r="G861" s="39">
        <v>1300</v>
      </c>
      <c r="H861" s="40">
        <v>3.48</v>
      </c>
      <c r="I861" s="37">
        <v>191260</v>
      </c>
      <c r="J861" s="41" t="s">
        <v>668</v>
      </c>
      <c r="K861" s="42">
        <v>2021</v>
      </c>
    </row>
    <row r="862" spans="1:11" ht="15" customHeight="1" x14ac:dyDescent="0.3">
      <c r="A862" s="31">
        <v>857</v>
      </c>
      <c r="B862" s="32" t="s">
        <v>1918</v>
      </c>
      <c r="C862" s="32" t="s">
        <v>1931</v>
      </c>
      <c r="D862" s="32" t="s">
        <v>1932</v>
      </c>
      <c r="E862" s="32" t="s">
        <v>1643</v>
      </c>
      <c r="F862" s="32" t="s">
        <v>276</v>
      </c>
      <c r="G862" s="33">
        <v>503</v>
      </c>
      <c r="H862" s="34">
        <v>1</v>
      </c>
      <c r="I862" s="31">
        <v>127000</v>
      </c>
      <c r="J862" s="35" t="s">
        <v>668</v>
      </c>
      <c r="K862" s="36">
        <v>2021</v>
      </c>
    </row>
    <row r="863" spans="1:11" ht="15" customHeight="1" x14ac:dyDescent="0.3">
      <c r="A863" s="37">
        <v>858</v>
      </c>
      <c r="B863" s="38" t="s">
        <v>1918</v>
      </c>
      <c r="C863" s="38" t="s">
        <v>1933</v>
      </c>
      <c r="D863" s="38" t="s">
        <v>1934</v>
      </c>
      <c r="E863" s="38" t="s">
        <v>61</v>
      </c>
      <c r="F863" s="38" t="s">
        <v>435</v>
      </c>
      <c r="G863" s="39">
        <v>1792</v>
      </c>
      <c r="H863" s="40">
        <v>4.3</v>
      </c>
      <c r="I863" s="37">
        <v>209000</v>
      </c>
      <c r="J863" s="41" t="s">
        <v>668</v>
      </c>
      <c r="K863" s="42">
        <v>2021</v>
      </c>
    </row>
    <row r="864" spans="1:11" ht="15" customHeight="1" x14ac:dyDescent="0.3">
      <c r="A864" s="31">
        <v>859</v>
      </c>
      <c r="B864" s="32" t="s">
        <v>1918</v>
      </c>
      <c r="C864" s="32" t="s">
        <v>1935</v>
      </c>
      <c r="D864" s="32" t="s">
        <v>1705</v>
      </c>
      <c r="E864" s="32" t="s">
        <v>1936</v>
      </c>
      <c r="F864" s="32" t="s">
        <v>287</v>
      </c>
      <c r="G864" s="33">
        <v>1406</v>
      </c>
      <c r="H864" s="34">
        <v>4.9000000000000004</v>
      </c>
      <c r="I864" s="31">
        <v>247260</v>
      </c>
      <c r="J864" s="35" t="s">
        <v>668</v>
      </c>
      <c r="K864" s="36">
        <v>2021</v>
      </c>
    </row>
    <row r="865" spans="1:11" ht="15" customHeight="1" x14ac:dyDescent="0.3">
      <c r="A865" s="37">
        <v>860</v>
      </c>
      <c r="B865" s="38" t="s">
        <v>1918</v>
      </c>
      <c r="C865" s="38" t="s">
        <v>1937</v>
      </c>
      <c r="D865" s="38" t="s">
        <v>1938</v>
      </c>
      <c r="E865" s="38" t="s">
        <v>1939</v>
      </c>
      <c r="F865" s="38" t="s">
        <v>316</v>
      </c>
      <c r="G865" s="39">
        <v>1439</v>
      </c>
      <c r="H865" s="40">
        <v>0.86</v>
      </c>
      <c r="I865" s="37">
        <v>127000</v>
      </c>
      <c r="J865" s="41" t="s">
        <v>668</v>
      </c>
      <c r="K865" s="42">
        <v>2021</v>
      </c>
    </row>
    <row r="866" spans="1:11" ht="15" customHeight="1" x14ac:dyDescent="0.3">
      <c r="A866" s="31">
        <v>861</v>
      </c>
      <c r="B866" s="32" t="s">
        <v>1918</v>
      </c>
      <c r="C866" s="32" t="s">
        <v>1940</v>
      </c>
      <c r="D866" s="32" t="s">
        <v>1357</v>
      </c>
      <c r="E866" s="32" t="s">
        <v>1358</v>
      </c>
      <c r="F866" s="32" t="s">
        <v>306</v>
      </c>
      <c r="G866" s="33">
        <v>142</v>
      </c>
      <c r="H866" s="34">
        <v>0.28000000000000003</v>
      </c>
      <c r="I866" s="31">
        <v>127000</v>
      </c>
      <c r="J866" s="35" t="s">
        <v>668</v>
      </c>
      <c r="K866" s="36">
        <v>2021</v>
      </c>
    </row>
    <row r="867" spans="1:11" ht="15" customHeight="1" x14ac:dyDescent="0.3">
      <c r="A867" s="37">
        <v>862</v>
      </c>
      <c r="B867" s="38" t="s">
        <v>1918</v>
      </c>
      <c r="C867" s="38" t="s">
        <v>1941</v>
      </c>
      <c r="D867" s="38" t="s">
        <v>1942</v>
      </c>
      <c r="E867" s="38" t="s">
        <v>529</v>
      </c>
      <c r="F867" s="38" t="s">
        <v>276</v>
      </c>
      <c r="G867" s="39">
        <v>116</v>
      </c>
      <c r="H867" s="40">
        <v>1.23</v>
      </c>
      <c r="I867" s="37">
        <v>137260</v>
      </c>
      <c r="J867" s="41" t="s">
        <v>668</v>
      </c>
      <c r="K867" s="42">
        <v>2021</v>
      </c>
    </row>
    <row r="868" spans="1:11" ht="15" customHeight="1" x14ac:dyDescent="0.3">
      <c r="A868" s="31">
        <v>863</v>
      </c>
      <c r="B868" s="32" t="s">
        <v>1918</v>
      </c>
      <c r="C868" s="32" t="s">
        <v>1943</v>
      </c>
      <c r="D868" s="32" t="s">
        <v>1944</v>
      </c>
      <c r="E868" s="32" t="s">
        <v>1945</v>
      </c>
      <c r="F868" s="32" t="s">
        <v>312</v>
      </c>
      <c r="G868" s="33">
        <v>410</v>
      </c>
      <c r="H868" s="34">
        <v>0.73</v>
      </c>
      <c r="I868" s="31">
        <v>127000</v>
      </c>
      <c r="J868" s="35" t="s">
        <v>668</v>
      </c>
      <c r="K868" s="36">
        <v>2021</v>
      </c>
    </row>
    <row r="869" spans="1:11" ht="15" customHeight="1" x14ac:dyDescent="0.3">
      <c r="A869" s="37">
        <v>864</v>
      </c>
      <c r="B869" s="38" t="s">
        <v>1918</v>
      </c>
      <c r="C869" s="38" t="s">
        <v>1946</v>
      </c>
      <c r="D869" s="38" t="s">
        <v>1947</v>
      </c>
      <c r="E869" s="38" t="s">
        <v>1733</v>
      </c>
      <c r="F869" s="38" t="s">
        <v>287</v>
      </c>
      <c r="G869" s="39">
        <v>455</v>
      </c>
      <c r="H869" s="40">
        <v>1.96</v>
      </c>
      <c r="I869" s="37">
        <v>153000</v>
      </c>
      <c r="J869" s="41" t="s">
        <v>668</v>
      </c>
      <c r="K869" s="42">
        <v>2021</v>
      </c>
    </row>
    <row r="870" spans="1:11" ht="15" customHeight="1" x14ac:dyDescent="0.3">
      <c r="A870" s="31">
        <v>865</v>
      </c>
      <c r="B870" s="32" t="s">
        <v>1918</v>
      </c>
      <c r="C870" s="32" t="s">
        <v>1948</v>
      </c>
      <c r="D870" s="32" t="s">
        <v>1949</v>
      </c>
      <c r="E870" s="32" t="s">
        <v>818</v>
      </c>
      <c r="F870" s="32" t="s">
        <v>276</v>
      </c>
      <c r="G870" s="33">
        <v>207</v>
      </c>
      <c r="H870" s="34">
        <v>2.02</v>
      </c>
      <c r="I870" s="31">
        <v>163260</v>
      </c>
      <c r="J870" s="35" t="s">
        <v>668</v>
      </c>
      <c r="K870" s="36">
        <v>2021</v>
      </c>
    </row>
    <row r="871" spans="1:11" ht="15" customHeight="1" x14ac:dyDescent="0.3">
      <c r="A871" s="37">
        <v>866</v>
      </c>
      <c r="B871" s="38" t="s">
        <v>1918</v>
      </c>
      <c r="C871" s="38" t="s">
        <v>1950</v>
      </c>
      <c r="D871" s="38" t="s">
        <v>1951</v>
      </c>
      <c r="E871" s="38" t="s">
        <v>1952</v>
      </c>
      <c r="F871" s="38" t="s">
        <v>1953</v>
      </c>
      <c r="G871" s="39">
        <v>119</v>
      </c>
      <c r="H871" s="40">
        <v>0.78</v>
      </c>
      <c r="I871" s="37">
        <v>137260</v>
      </c>
      <c r="J871" s="41" t="s">
        <v>668</v>
      </c>
      <c r="K871" s="42">
        <v>2021</v>
      </c>
    </row>
    <row r="872" spans="1:11" ht="15" customHeight="1" x14ac:dyDescent="0.3">
      <c r="A872" s="31">
        <v>867</v>
      </c>
      <c r="B872" s="32" t="s">
        <v>1918</v>
      </c>
      <c r="C872" s="32" t="s">
        <v>1954</v>
      </c>
      <c r="D872" s="32" t="s">
        <v>1448</v>
      </c>
      <c r="E872" s="32" t="s">
        <v>47</v>
      </c>
      <c r="F872" s="32" t="s">
        <v>335</v>
      </c>
      <c r="G872" s="33">
        <v>515</v>
      </c>
      <c r="H872" s="34">
        <v>1.36</v>
      </c>
      <c r="I872" s="31">
        <v>127000</v>
      </c>
      <c r="J872" s="35" t="s">
        <v>668</v>
      </c>
      <c r="K872" s="36">
        <v>2021</v>
      </c>
    </row>
    <row r="873" spans="1:11" ht="15" customHeight="1" x14ac:dyDescent="0.3">
      <c r="A873" s="37">
        <v>868</v>
      </c>
      <c r="B873" s="38" t="s">
        <v>1918</v>
      </c>
      <c r="C873" s="38" t="s">
        <v>1955</v>
      </c>
      <c r="D873" s="38" t="s">
        <v>1702</v>
      </c>
      <c r="E873" s="38" t="s">
        <v>57</v>
      </c>
      <c r="F873" s="38" t="s">
        <v>698</v>
      </c>
      <c r="G873" s="39">
        <v>240</v>
      </c>
      <c r="H873" s="40">
        <v>1.47</v>
      </c>
      <c r="I873" s="37">
        <v>127000</v>
      </c>
      <c r="J873" s="41" t="s">
        <v>668</v>
      </c>
      <c r="K873" s="42">
        <v>2021</v>
      </c>
    </row>
    <row r="874" spans="1:11" ht="15" customHeight="1" x14ac:dyDescent="0.3">
      <c r="A874" s="31">
        <v>869</v>
      </c>
      <c r="B874" s="32" t="s">
        <v>1918</v>
      </c>
      <c r="C874" s="32" t="s">
        <v>1956</v>
      </c>
      <c r="D874" s="32" t="s">
        <v>1957</v>
      </c>
      <c r="E874" s="32" t="s">
        <v>1958</v>
      </c>
      <c r="F874" s="32" t="s">
        <v>276</v>
      </c>
      <c r="G874" s="33">
        <v>189</v>
      </c>
      <c r="H874" s="34">
        <v>1.54</v>
      </c>
      <c r="I874" s="31">
        <v>137260</v>
      </c>
      <c r="J874" s="35" t="s">
        <v>668</v>
      </c>
      <c r="K874" s="36">
        <v>2021</v>
      </c>
    </row>
    <row r="875" spans="1:11" ht="15" customHeight="1" x14ac:dyDescent="0.3">
      <c r="A875" s="37">
        <v>870</v>
      </c>
      <c r="B875" s="38" t="s">
        <v>1918</v>
      </c>
      <c r="C875" s="38" t="s">
        <v>1959</v>
      </c>
      <c r="D875" s="38" t="s">
        <v>1960</v>
      </c>
      <c r="E875" s="38" t="s">
        <v>1961</v>
      </c>
      <c r="F875" s="38" t="s">
        <v>435</v>
      </c>
      <c r="G875" s="39">
        <v>486</v>
      </c>
      <c r="H875" s="40">
        <v>2.86</v>
      </c>
      <c r="I875" s="37">
        <v>181000</v>
      </c>
      <c r="J875" s="41" t="s">
        <v>668</v>
      </c>
      <c r="K875" s="42">
        <v>2021</v>
      </c>
    </row>
    <row r="876" spans="1:11" ht="15" customHeight="1" x14ac:dyDescent="0.3">
      <c r="A876" s="31">
        <v>871</v>
      </c>
      <c r="B876" s="32" t="s">
        <v>1918</v>
      </c>
      <c r="C876" s="32" t="s">
        <v>1962</v>
      </c>
      <c r="D876" s="32" t="s">
        <v>38</v>
      </c>
      <c r="E876" s="32" t="s">
        <v>51</v>
      </c>
      <c r="F876" s="32" t="s">
        <v>406</v>
      </c>
      <c r="G876" s="33">
        <v>432</v>
      </c>
      <c r="H876" s="34">
        <v>3.49</v>
      </c>
      <c r="I876" s="31">
        <v>191260</v>
      </c>
      <c r="J876" s="35" t="s">
        <v>668</v>
      </c>
      <c r="K876" s="36">
        <v>2021</v>
      </c>
    </row>
    <row r="877" spans="1:11" ht="15" customHeight="1" x14ac:dyDescent="0.3">
      <c r="A877" s="37">
        <v>872</v>
      </c>
      <c r="B877" s="38" t="s">
        <v>1918</v>
      </c>
      <c r="C877" s="38" t="s">
        <v>1963</v>
      </c>
      <c r="D877" s="38" t="s">
        <v>36</v>
      </c>
      <c r="E877" s="38" t="s">
        <v>43</v>
      </c>
      <c r="F877" s="38" t="s">
        <v>323</v>
      </c>
      <c r="G877" s="39">
        <v>214</v>
      </c>
      <c r="H877" s="40">
        <v>0.8</v>
      </c>
      <c r="I877" s="37">
        <v>137260</v>
      </c>
      <c r="J877" s="41" t="s">
        <v>668</v>
      </c>
      <c r="K877" s="42">
        <v>2021</v>
      </c>
    </row>
    <row r="878" spans="1:11" ht="15" customHeight="1" x14ac:dyDescent="0.3">
      <c r="A878" s="31">
        <v>873</v>
      </c>
      <c r="B878" s="32" t="s">
        <v>1918</v>
      </c>
      <c r="C878" s="32" t="s">
        <v>1964</v>
      </c>
      <c r="D878" s="32" t="s">
        <v>1965</v>
      </c>
      <c r="E878" s="32" t="s">
        <v>1643</v>
      </c>
      <c r="F878" s="32" t="s">
        <v>329</v>
      </c>
      <c r="G878" s="33">
        <v>95</v>
      </c>
      <c r="H878" s="34">
        <v>0.55000000000000004</v>
      </c>
      <c r="I878" s="31">
        <v>127000</v>
      </c>
      <c r="J878" s="35" t="s">
        <v>668</v>
      </c>
      <c r="K878" s="36">
        <v>2021</v>
      </c>
    </row>
    <row r="879" spans="1:11" ht="15" customHeight="1" x14ac:dyDescent="0.3">
      <c r="A879" s="37">
        <v>874</v>
      </c>
      <c r="B879" s="38" t="s">
        <v>313</v>
      </c>
      <c r="C879" s="38" t="s">
        <v>1966</v>
      </c>
      <c r="D879" s="38" t="s">
        <v>841</v>
      </c>
      <c r="E879" s="38" t="s">
        <v>37</v>
      </c>
      <c r="F879" s="38" t="s">
        <v>373</v>
      </c>
      <c r="G879" s="39">
        <v>135</v>
      </c>
      <c r="H879" s="40">
        <v>1.24</v>
      </c>
      <c r="I879" s="37">
        <v>137260</v>
      </c>
      <c r="J879" s="41" t="s">
        <v>668</v>
      </c>
      <c r="K879" s="42">
        <v>2021</v>
      </c>
    </row>
    <row r="880" spans="1:11" ht="15" customHeight="1" x14ac:dyDescent="0.3">
      <c r="A880" s="31">
        <v>875</v>
      </c>
      <c r="B880" s="32" t="s">
        <v>313</v>
      </c>
      <c r="C880" s="32" t="s">
        <v>1967</v>
      </c>
      <c r="D880" s="32" t="s">
        <v>1968</v>
      </c>
      <c r="E880" s="32" t="s">
        <v>35</v>
      </c>
      <c r="F880" s="32" t="s">
        <v>276</v>
      </c>
      <c r="G880" s="33">
        <v>440</v>
      </c>
      <c r="H880" s="34">
        <v>0.27</v>
      </c>
      <c r="I880" s="31">
        <v>137260</v>
      </c>
      <c r="J880" s="35" t="s">
        <v>668</v>
      </c>
      <c r="K880" s="36">
        <v>2021</v>
      </c>
    </row>
    <row r="881" spans="1:11" ht="15" customHeight="1" x14ac:dyDescent="0.3">
      <c r="A881" s="37">
        <v>876</v>
      </c>
      <c r="B881" s="38" t="s">
        <v>313</v>
      </c>
      <c r="C881" s="38" t="s">
        <v>1969</v>
      </c>
      <c r="D881" s="38" t="s">
        <v>274</v>
      </c>
      <c r="E881" s="38" t="s">
        <v>226</v>
      </c>
      <c r="F881" s="38" t="s">
        <v>435</v>
      </c>
      <c r="G881" s="39">
        <v>502</v>
      </c>
      <c r="H881" s="40">
        <v>7.34</v>
      </c>
      <c r="I881" s="37">
        <v>293000</v>
      </c>
      <c r="J881" s="41" t="s">
        <v>668</v>
      </c>
      <c r="K881" s="42">
        <v>2021</v>
      </c>
    </row>
    <row r="882" spans="1:11" ht="15" customHeight="1" x14ac:dyDescent="0.3">
      <c r="A882" s="31">
        <v>877</v>
      </c>
      <c r="B882" s="32" t="s">
        <v>313</v>
      </c>
      <c r="C882" s="32" t="s">
        <v>1970</v>
      </c>
      <c r="D882" s="32" t="s">
        <v>1193</v>
      </c>
      <c r="E882" s="32" t="s">
        <v>1971</v>
      </c>
      <c r="F882" s="32" t="s">
        <v>306</v>
      </c>
      <c r="G882" s="33">
        <v>239</v>
      </c>
      <c r="H882" s="34">
        <v>1.97</v>
      </c>
      <c r="I882" s="31">
        <v>163260</v>
      </c>
      <c r="J882" s="35" t="s">
        <v>668</v>
      </c>
      <c r="K882" s="36">
        <v>2021</v>
      </c>
    </row>
    <row r="883" spans="1:11" ht="15" customHeight="1" x14ac:dyDescent="0.3">
      <c r="A883" s="37">
        <v>878</v>
      </c>
      <c r="B883" s="38" t="s">
        <v>313</v>
      </c>
      <c r="C883" s="38" t="s">
        <v>1972</v>
      </c>
      <c r="D883" s="38" t="s">
        <v>1386</v>
      </c>
      <c r="E883" s="38" t="s">
        <v>1746</v>
      </c>
      <c r="F883" s="38" t="s">
        <v>658</v>
      </c>
      <c r="G883" s="39">
        <v>3540</v>
      </c>
      <c r="H883" s="40">
        <v>2.02</v>
      </c>
      <c r="I883" s="37">
        <v>209000</v>
      </c>
      <c r="J883" s="41" t="s">
        <v>668</v>
      </c>
      <c r="K883" s="42">
        <v>2021</v>
      </c>
    </row>
    <row r="884" spans="1:11" ht="15" customHeight="1" x14ac:dyDescent="0.3">
      <c r="A884" s="31">
        <v>879</v>
      </c>
      <c r="B884" s="32" t="s">
        <v>313</v>
      </c>
      <c r="C884" s="32" t="s">
        <v>1973</v>
      </c>
      <c r="D884" s="32" t="s">
        <v>1974</v>
      </c>
      <c r="E884" s="32" t="s">
        <v>1975</v>
      </c>
      <c r="F884" s="32" t="s">
        <v>276</v>
      </c>
      <c r="G884" s="33">
        <v>170</v>
      </c>
      <c r="H884" s="34">
        <v>3.02</v>
      </c>
      <c r="I884" s="31">
        <v>181000</v>
      </c>
      <c r="J884" s="35" t="s">
        <v>668</v>
      </c>
      <c r="K884" s="36">
        <v>2021</v>
      </c>
    </row>
    <row r="885" spans="1:11" ht="15" customHeight="1" x14ac:dyDescent="0.3">
      <c r="A885" s="37">
        <v>880</v>
      </c>
      <c r="B885" s="38" t="s">
        <v>313</v>
      </c>
      <c r="C885" s="38" t="s">
        <v>1976</v>
      </c>
      <c r="D885" s="38" t="s">
        <v>1896</v>
      </c>
      <c r="E885" s="38" t="s">
        <v>1977</v>
      </c>
      <c r="F885" s="38" t="s">
        <v>1978</v>
      </c>
      <c r="G885" s="39">
        <v>1901.85</v>
      </c>
      <c r="H885" s="40">
        <v>9.5500000000000007</v>
      </c>
      <c r="I885" s="37">
        <v>377260</v>
      </c>
      <c r="J885" s="41" t="s">
        <v>668</v>
      </c>
      <c r="K885" s="42">
        <v>2021</v>
      </c>
    </row>
    <row r="886" spans="1:11" ht="15" customHeight="1" x14ac:dyDescent="0.3">
      <c r="A886" s="31">
        <v>881</v>
      </c>
      <c r="B886" s="32" t="s">
        <v>313</v>
      </c>
      <c r="C886" s="32" t="s">
        <v>1979</v>
      </c>
      <c r="D886" s="32" t="s">
        <v>1980</v>
      </c>
      <c r="E886" s="32" t="s">
        <v>1981</v>
      </c>
      <c r="F886" s="32" t="s">
        <v>316</v>
      </c>
      <c r="G886" s="33">
        <v>431</v>
      </c>
      <c r="H886" s="34">
        <v>1.66</v>
      </c>
      <c r="I886" s="31">
        <v>153000</v>
      </c>
      <c r="J886" s="35" t="s">
        <v>668</v>
      </c>
      <c r="K886" s="36">
        <v>2021</v>
      </c>
    </row>
    <row r="887" spans="1:11" ht="15" customHeight="1" x14ac:dyDescent="0.3">
      <c r="A887" s="37">
        <v>882</v>
      </c>
      <c r="B887" s="38" t="s">
        <v>1790</v>
      </c>
      <c r="C887" s="38" t="s">
        <v>1982</v>
      </c>
      <c r="D887" s="38" t="s">
        <v>1983</v>
      </c>
      <c r="E887" s="38" t="s">
        <v>41</v>
      </c>
      <c r="F887" s="38" t="s">
        <v>316</v>
      </c>
      <c r="G887" s="39">
        <v>852</v>
      </c>
      <c r="H887" s="40">
        <v>1.242</v>
      </c>
      <c r="I887" s="37">
        <v>137260</v>
      </c>
      <c r="J887" s="41" t="s">
        <v>668</v>
      </c>
      <c r="K887" s="42">
        <v>2021</v>
      </c>
    </row>
    <row r="888" spans="1:11" ht="15" customHeight="1" x14ac:dyDescent="0.3">
      <c r="A888" s="31">
        <v>883</v>
      </c>
      <c r="B888" s="32" t="s">
        <v>1790</v>
      </c>
      <c r="C888" s="32" t="s">
        <v>1984</v>
      </c>
      <c r="D888" s="32" t="s">
        <v>44</v>
      </c>
      <c r="E888" s="32" t="s">
        <v>35</v>
      </c>
      <c r="F888" s="32" t="s">
        <v>1823</v>
      </c>
      <c r="G888" s="33">
        <v>2070</v>
      </c>
      <c r="H888" s="34">
        <v>3.46</v>
      </c>
      <c r="I888" s="31">
        <v>191260</v>
      </c>
      <c r="J888" s="35" t="s">
        <v>668</v>
      </c>
      <c r="K888" s="36">
        <v>2021</v>
      </c>
    </row>
    <row r="889" spans="1:11" ht="15" customHeight="1" x14ac:dyDescent="0.3">
      <c r="A889" s="37">
        <v>884</v>
      </c>
      <c r="B889" s="38" t="s">
        <v>1790</v>
      </c>
      <c r="C889" s="38" t="s">
        <v>1985</v>
      </c>
      <c r="D889" s="38" t="s">
        <v>1986</v>
      </c>
      <c r="E889" s="38" t="s">
        <v>1987</v>
      </c>
      <c r="F889" s="38" t="s">
        <v>435</v>
      </c>
      <c r="G889" s="39">
        <v>3570</v>
      </c>
      <c r="H889" s="40">
        <v>3350</v>
      </c>
      <c r="I889" s="37">
        <v>219260</v>
      </c>
      <c r="J889" s="41" t="s">
        <v>668</v>
      </c>
      <c r="K889" s="42">
        <v>2021</v>
      </c>
    </row>
    <row r="890" spans="1:11" ht="15" customHeight="1" x14ac:dyDescent="0.3">
      <c r="A890" s="31">
        <v>885</v>
      </c>
      <c r="B890" s="32" t="s">
        <v>1790</v>
      </c>
      <c r="C890" s="32" t="s">
        <v>1988</v>
      </c>
      <c r="D890" s="32" t="s">
        <v>1516</v>
      </c>
      <c r="E890" s="32" t="s">
        <v>35</v>
      </c>
      <c r="F890" s="32" t="s">
        <v>490</v>
      </c>
      <c r="G890" s="33">
        <v>13801</v>
      </c>
      <c r="H890" s="34">
        <v>6.2990000000000004</v>
      </c>
      <c r="I890" s="31">
        <v>377260</v>
      </c>
      <c r="J890" s="35" t="s">
        <v>668</v>
      </c>
      <c r="K890" s="36">
        <v>2021</v>
      </c>
    </row>
    <row r="891" spans="1:11" ht="15" customHeight="1" x14ac:dyDescent="0.3">
      <c r="A891" s="37">
        <v>886</v>
      </c>
      <c r="B891" s="38" t="s">
        <v>1790</v>
      </c>
      <c r="C891" s="38" t="s">
        <v>1989</v>
      </c>
      <c r="D891" s="38" t="s">
        <v>1990</v>
      </c>
      <c r="E891" s="38" t="s">
        <v>35</v>
      </c>
      <c r="F891" s="38" t="s">
        <v>287</v>
      </c>
      <c r="G891" s="39">
        <v>861</v>
      </c>
      <c r="H891" s="40">
        <v>3.4220000000000002</v>
      </c>
      <c r="I891" s="37">
        <v>191260</v>
      </c>
      <c r="J891" s="41" t="s">
        <v>668</v>
      </c>
      <c r="K891" s="42">
        <v>2021</v>
      </c>
    </row>
    <row r="892" spans="1:11" ht="15" customHeight="1" x14ac:dyDescent="0.3">
      <c r="A892" s="31">
        <v>887</v>
      </c>
      <c r="B892" s="32" t="s">
        <v>1790</v>
      </c>
      <c r="C892" s="32" t="s">
        <v>1991</v>
      </c>
      <c r="D892" s="32" t="s">
        <v>1992</v>
      </c>
      <c r="E892" s="32" t="s">
        <v>1993</v>
      </c>
      <c r="F892" s="32" t="s">
        <v>435</v>
      </c>
      <c r="G892" s="33">
        <v>4250</v>
      </c>
      <c r="H892" s="34">
        <v>8</v>
      </c>
      <c r="I892" s="31">
        <v>323260</v>
      </c>
      <c r="J892" s="35" t="s">
        <v>668</v>
      </c>
      <c r="K892" s="36">
        <v>2021</v>
      </c>
    </row>
    <row r="893" spans="1:11" ht="15" customHeight="1" x14ac:dyDescent="0.3">
      <c r="A893" s="37">
        <v>888</v>
      </c>
      <c r="B893" s="38" t="s">
        <v>1790</v>
      </c>
      <c r="C893" s="38" t="s">
        <v>1994</v>
      </c>
      <c r="D893" s="38" t="s">
        <v>1995</v>
      </c>
      <c r="E893" s="38" t="s">
        <v>51</v>
      </c>
      <c r="F893" s="38" t="s">
        <v>386</v>
      </c>
      <c r="G893" s="39">
        <v>480.98</v>
      </c>
      <c r="H893" s="40">
        <v>3.2450000000000001</v>
      </c>
      <c r="I893" s="37">
        <v>191260</v>
      </c>
      <c r="J893" s="41" t="s">
        <v>668</v>
      </c>
      <c r="K893" s="42">
        <v>2021</v>
      </c>
    </row>
    <row r="894" spans="1:11" ht="15" customHeight="1" x14ac:dyDescent="0.3">
      <c r="A894" s="31">
        <v>889</v>
      </c>
      <c r="B894" s="32" t="s">
        <v>1790</v>
      </c>
      <c r="C894" s="32" t="s">
        <v>1996</v>
      </c>
      <c r="D894" s="32" t="s">
        <v>1997</v>
      </c>
      <c r="E894" s="32" t="s">
        <v>1998</v>
      </c>
      <c r="F894" s="32" t="s">
        <v>373</v>
      </c>
      <c r="G894" s="33">
        <v>300</v>
      </c>
      <c r="H894" s="34">
        <v>1.67</v>
      </c>
      <c r="I894" s="31">
        <v>137260</v>
      </c>
      <c r="J894" s="35" t="s">
        <v>668</v>
      </c>
      <c r="K894" s="36">
        <v>2021</v>
      </c>
    </row>
    <row r="895" spans="1:11" ht="15" customHeight="1" x14ac:dyDescent="0.3">
      <c r="A895" s="37">
        <v>890</v>
      </c>
      <c r="B895" s="38" t="s">
        <v>1790</v>
      </c>
      <c r="C895" s="38" t="s">
        <v>1999</v>
      </c>
      <c r="D895" s="38" t="s">
        <v>1913</v>
      </c>
      <c r="E895" s="38" t="s">
        <v>35</v>
      </c>
      <c r="F895" s="38" t="s">
        <v>287</v>
      </c>
      <c r="G895" s="39">
        <v>427</v>
      </c>
      <c r="H895" s="40">
        <v>2</v>
      </c>
      <c r="I895" s="37">
        <v>163260</v>
      </c>
      <c r="J895" s="41" t="s">
        <v>668</v>
      </c>
      <c r="K895" s="42">
        <v>2021</v>
      </c>
    </row>
    <row r="896" spans="1:11" ht="15" customHeight="1" x14ac:dyDescent="0.3">
      <c r="A896" s="31">
        <v>891</v>
      </c>
      <c r="B896" s="32" t="s">
        <v>1790</v>
      </c>
      <c r="C896" s="32" t="s">
        <v>2000</v>
      </c>
      <c r="D896" s="32" t="s">
        <v>2001</v>
      </c>
      <c r="E896" s="32" t="s">
        <v>2002</v>
      </c>
      <c r="F896" s="32" t="s">
        <v>276</v>
      </c>
      <c r="G896" s="33">
        <v>330</v>
      </c>
      <c r="H896" s="34">
        <v>2</v>
      </c>
      <c r="I896" s="31">
        <v>163260</v>
      </c>
      <c r="J896" s="35" t="s">
        <v>668</v>
      </c>
      <c r="K896" s="36">
        <v>2021</v>
      </c>
    </row>
    <row r="897" spans="1:11" ht="15" customHeight="1" x14ac:dyDescent="0.3">
      <c r="A897" s="37">
        <v>892</v>
      </c>
      <c r="B897" s="38" t="s">
        <v>1059</v>
      </c>
      <c r="C897" s="38" t="s">
        <v>2003</v>
      </c>
      <c r="D897" s="38" t="s">
        <v>2004</v>
      </c>
      <c r="E897" s="38" t="s">
        <v>2005</v>
      </c>
      <c r="F897" s="38" t="s">
        <v>276</v>
      </c>
      <c r="G897" s="39">
        <v>200</v>
      </c>
      <c r="H897" s="40">
        <v>0.504</v>
      </c>
      <c r="I897" s="37">
        <v>137260</v>
      </c>
      <c r="J897" s="41" t="s">
        <v>805</v>
      </c>
      <c r="K897" s="42">
        <v>2021</v>
      </c>
    </row>
    <row r="898" spans="1:11" ht="15" customHeight="1" x14ac:dyDescent="0.3">
      <c r="A898" s="31">
        <v>893</v>
      </c>
      <c r="B898" s="32" t="s">
        <v>1059</v>
      </c>
      <c r="C898" s="32" t="s">
        <v>2006</v>
      </c>
      <c r="D898" s="32" t="s">
        <v>954</v>
      </c>
      <c r="E898" s="32" t="s">
        <v>37</v>
      </c>
      <c r="F898" s="32" t="s">
        <v>276</v>
      </c>
      <c r="G898" s="33">
        <v>196</v>
      </c>
      <c r="H898" s="34">
        <v>0.308</v>
      </c>
      <c r="I898" s="31">
        <v>137260</v>
      </c>
      <c r="J898" s="35" t="s">
        <v>805</v>
      </c>
      <c r="K898" s="36">
        <v>2021</v>
      </c>
    </row>
    <row r="899" spans="1:11" ht="15" customHeight="1" x14ac:dyDescent="0.3">
      <c r="A899" s="37">
        <v>894</v>
      </c>
      <c r="B899" s="38" t="s">
        <v>1059</v>
      </c>
      <c r="C899" s="38" t="s">
        <v>2007</v>
      </c>
      <c r="D899" s="38" t="s">
        <v>807</v>
      </c>
      <c r="E899" s="38" t="s">
        <v>638</v>
      </c>
      <c r="F899" s="38" t="s">
        <v>2008</v>
      </c>
      <c r="G899" s="39">
        <v>844</v>
      </c>
      <c r="H899" s="40">
        <v>1.248</v>
      </c>
      <c r="I899" s="37">
        <v>127000</v>
      </c>
      <c r="J899" s="41" t="s">
        <v>805</v>
      </c>
      <c r="K899" s="42">
        <v>2021</v>
      </c>
    </row>
    <row r="900" spans="1:11" ht="15" customHeight="1" x14ac:dyDescent="0.3">
      <c r="A900" s="31">
        <v>895</v>
      </c>
      <c r="B900" s="32" t="s">
        <v>1059</v>
      </c>
      <c r="C900" s="32" t="s">
        <v>2009</v>
      </c>
      <c r="D900" s="32" t="s">
        <v>2010</v>
      </c>
      <c r="E900" s="32" t="s">
        <v>35</v>
      </c>
      <c r="F900" s="32" t="s">
        <v>287</v>
      </c>
      <c r="G900" s="33">
        <v>690</v>
      </c>
      <c r="H900" s="34">
        <v>5</v>
      </c>
      <c r="I900" s="31">
        <v>247260</v>
      </c>
      <c r="J900" s="35" t="s">
        <v>805</v>
      </c>
      <c r="K900" s="36">
        <v>2021</v>
      </c>
    </row>
    <row r="901" spans="1:11" ht="15" customHeight="1" x14ac:dyDescent="0.3">
      <c r="A901" s="37">
        <v>896</v>
      </c>
      <c r="B901" s="38" t="s">
        <v>1059</v>
      </c>
      <c r="C901" s="38" t="s">
        <v>2011</v>
      </c>
      <c r="D901" s="38" t="s">
        <v>2012</v>
      </c>
      <c r="E901" s="38" t="s">
        <v>2013</v>
      </c>
      <c r="F901" s="38" t="s">
        <v>276</v>
      </c>
      <c r="G901" s="39">
        <v>485.5</v>
      </c>
      <c r="H901" s="40">
        <v>3</v>
      </c>
      <c r="I901" s="37">
        <v>191260</v>
      </c>
      <c r="J901" s="41" t="s">
        <v>805</v>
      </c>
      <c r="K901" s="42">
        <v>2021</v>
      </c>
    </row>
    <row r="902" spans="1:11" ht="15" customHeight="1" x14ac:dyDescent="0.3">
      <c r="A902" s="31">
        <v>897</v>
      </c>
      <c r="B902" s="32" t="s">
        <v>1059</v>
      </c>
      <c r="C902" s="32" t="s">
        <v>2014</v>
      </c>
      <c r="D902" s="32" t="s">
        <v>1642</v>
      </c>
      <c r="E902" s="32" t="s">
        <v>61</v>
      </c>
      <c r="F902" s="32" t="s">
        <v>533</v>
      </c>
      <c r="G902" s="33">
        <v>2224</v>
      </c>
      <c r="H902" s="34">
        <v>10</v>
      </c>
      <c r="I902" s="31">
        <v>367000</v>
      </c>
      <c r="J902" s="35" t="s">
        <v>805</v>
      </c>
      <c r="K902" s="36">
        <v>2021</v>
      </c>
    </row>
    <row r="903" spans="1:11" ht="15" customHeight="1" x14ac:dyDescent="0.3">
      <c r="A903" s="37">
        <v>898</v>
      </c>
      <c r="B903" s="38" t="s">
        <v>1059</v>
      </c>
      <c r="C903" s="38" t="s">
        <v>2015</v>
      </c>
      <c r="D903" s="38" t="s">
        <v>1448</v>
      </c>
      <c r="E903" s="38" t="s">
        <v>47</v>
      </c>
      <c r="F903" s="38" t="s">
        <v>517</v>
      </c>
      <c r="G903" s="39">
        <v>455</v>
      </c>
      <c r="H903" s="40">
        <v>0.85599999999999998</v>
      </c>
      <c r="I903" s="37">
        <v>127000</v>
      </c>
      <c r="J903" s="41" t="s">
        <v>805</v>
      </c>
      <c r="K903" s="42">
        <v>2021</v>
      </c>
    </row>
    <row r="904" spans="1:11" ht="15" customHeight="1" x14ac:dyDescent="0.3">
      <c r="A904" s="31">
        <v>899</v>
      </c>
      <c r="B904" s="32" t="s">
        <v>1059</v>
      </c>
      <c r="C904" s="32" t="s">
        <v>2016</v>
      </c>
      <c r="D904" s="32" t="s">
        <v>2017</v>
      </c>
      <c r="E904" s="32" t="s">
        <v>477</v>
      </c>
      <c r="F904" s="32" t="s">
        <v>1044</v>
      </c>
      <c r="G904" s="33">
        <v>4671</v>
      </c>
      <c r="H904" s="34">
        <v>10.786</v>
      </c>
      <c r="I904" s="31">
        <v>504260</v>
      </c>
      <c r="J904" s="35" t="s">
        <v>805</v>
      </c>
      <c r="K904" s="36">
        <v>2021</v>
      </c>
    </row>
    <row r="905" spans="1:11" ht="15" customHeight="1" x14ac:dyDescent="0.3">
      <c r="A905" s="37">
        <v>900</v>
      </c>
      <c r="B905" s="38" t="s">
        <v>1918</v>
      </c>
      <c r="C905" s="38" t="s">
        <v>2018</v>
      </c>
      <c r="D905" s="38" t="s">
        <v>1559</v>
      </c>
      <c r="E905" s="38" t="s">
        <v>206</v>
      </c>
      <c r="F905" s="38" t="s">
        <v>1044</v>
      </c>
      <c r="G905" s="39">
        <v>815</v>
      </c>
      <c r="H905" s="40">
        <v>4</v>
      </c>
      <c r="I905" s="37">
        <v>219260</v>
      </c>
      <c r="J905" s="41" t="s">
        <v>805</v>
      </c>
      <c r="K905" s="42">
        <v>2021</v>
      </c>
    </row>
    <row r="906" spans="1:11" ht="15" customHeight="1" x14ac:dyDescent="0.3">
      <c r="A906" s="31">
        <v>901</v>
      </c>
      <c r="B906" s="32" t="s">
        <v>1918</v>
      </c>
      <c r="C906" s="32" t="s">
        <v>2019</v>
      </c>
      <c r="D906" s="32" t="s">
        <v>1412</v>
      </c>
      <c r="E906" s="32" t="s">
        <v>1413</v>
      </c>
      <c r="F906" s="32" t="s">
        <v>276</v>
      </c>
      <c r="G906" s="33">
        <v>300</v>
      </c>
      <c r="H906" s="34">
        <v>2</v>
      </c>
      <c r="I906" s="31">
        <v>163260</v>
      </c>
      <c r="J906" s="35" t="s">
        <v>805</v>
      </c>
      <c r="K906" s="36">
        <v>2021</v>
      </c>
    </row>
    <row r="907" spans="1:11" ht="15" customHeight="1" x14ac:dyDescent="0.3">
      <c r="A907" s="37">
        <v>902</v>
      </c>
      <c r="B907" s="38" t="s">
        <v>1918</v>
      </c>
      <c r="C907" s="38" t="s">
        <v>2020</v>
      </c>
      <c r="D907" s="38" t="s">
        <v>44</v>
      </c>
      <c r="E907" s="38" t="s">
        <v>35</v>
      </c>
      <c r="F907" s="38" t="s">
        <v>569</v>
      </c>
      <c r="G907" s="39">
        <v>1890</v>
      </c>
      <c r="H907" s="40">
        <v>2</v>
      </c>
      <c r="I907" s="37">
        <v>163260</v>
      </c>
      <c r="J907" s="41" t="s">
        <v>805</v>
      </c>
      <c r="K907" s="42">
        <v>2021</v>
      </c>
    </row>
    <row r="908" spans="1:11" ht="15" customHeight="1" x14ac:dyDescent="0.3">
      <c r="A908" s="31">
        <v>903</v>
      </c>
      <c r="B908" s="32" t="s">
        <v>1918</v>
      </c>
      <c r="C908" s="32" t="s">
        <v>2021</v>
      </c>
      <c r="D908" s="32" t="s">
        <v>2022</v>
      </c>
      <c r="E908" s="32" t="s">
        <v>41</v>
      </c>
      <c r="F908" s="32" t="s">
        <v>276</v>
      </c>
      <c r="G908" s="33">
        <v>1275</v>
      </c>
      <c r="H908" s="34">
        <v>2</v>
      </c>
      <c r="I908" s="31">
        <v>163260</v>
      </c>
      <c r="J908" s="35" t="s">
        <v>805</v>
      </c>
      <c r="K908" s="36">
        <v>2021</v>
      </c>
    </row>
    <row r="909" spans="1:11" ht="15" customHeight="1" x14ac:dyDescent="0.3">
      <c r="A909" s="37">
        <v>904</v>
      </c>
      <c r="B909" s="38" t="s">
        <v>1918</v>
      </c>
      <c r="C909" s="38" t="s">
        <v>2023</v>
      </c>
      <c r="D909" s="38" t="s">
        <v>2024</v>
      </c>
      <c r="E909" s="38" t="s">
        <v>2025</v>
      </c>
      <c r="F909" s="38" t="s">
        <v>306</v>
      </c>
      <c r="G909" s="39">
        <v>280</v>
      </c>
      <c r="H909" s="40">
        <v>2</v>
      </c>
      <c r="I909" s="37">
        <v>153000</v>
      </c>
      <c r="J909" s="41" t="s">
        <v>805</v>
      </c>
      <c r="K909" s="42">
        <v>2021</v>
      </c>
    </row>
    <row r="910" spans="1:11" ht="15" customHeight="1" x14ac:dyDescent="0.3">
      <c r="A910" s="31">
        <v>905</v>
      </c>
      <c r="B910" s="32" t="s">
        <v>1918</v>
      </c>
      <c r="C910" s="32" t="s">
        <v>2026</v>
      </c>
      <c r="D910" s="32" t="s">
        <v>1901</v>
      </c>
      <c r="E910" s="32" t="s">
        <v>2027</v>
      </c>
      <c r="F910" s="32" t="s">
        <v>276</v>
      </c>
      <c r="G910" s="33">
        <v>364</v>
      </c>
      <c r="H910" s="34">
        <v>1.018</v>
      </c>
      <c r="I910" s="31">
        <v>137260</v>
      </c>
      <c r="J910" s="35" t="s">
        <v>805</v>
      </c>
      <c r="K910" s="36">
        <v>2021</v>
      </c>
    </row>
    <row r="911" spans="1:11" ht="15" customHeight="1" x14ac:dyDescent="0.3">
      <c r="A911" s="37">
        <v>906</v>
      </c>
      <c r="B911" s="38" t="s">
        <v>1918</v>
      </c>
      <c r="C911" s="38" t="s">
        <v>2028</v>
      </c>
      <c r="D911" s="38" t="s">
        <v>2029</v>
      </c>
      <c r="E911" s="38" t="s">
        <v>2030</v>
      </c>
      <c r="F911" s="38" t="s">
        <v>435</v>
      </c>
      <c r="G911" s="39">
        <v>1695</v>
      </c>
      <c r="H911" s="40">
        <v>4</v>
      </c>
      <c r="I911" s="37">
        <v>219260</v>
      </c>
      <c r="J911" s="41" t="s">
        <v>805</v>
      </c>
      <c r="K911" s="42">
        <v>2021</v>
      </c>
    </row>
    <row r="912" spans="1:11" ht="15" customHeight="1" x14ac:dyDescent="0.3">
      <c r="A912" s="31">
        <v>907</v>
      </c>
      <c r="B912" s="32" t="s">
        <v>1918</v>
      </c>
      <c r="C912" s="32" t="s">
        <v>2031</v>
      </c>
      <c r="D912" s="32" t="s">
        <v>2032</v>
      </c>
      <c r="E912" s="32" t="s">
        <v>372</v>
      </c>
      <c r="F912" s="32" t="s">
        <v>276</v>
      </c>
      <c r="G912" s="33">
        <v>520</v>
      </c>
      <c r="H912" s="34">
        <v>0.69099999999999995</v>
      </c>
      <c r="I912" s="31">
        <v>127000</v>
      </c>
      <c r="J912" s="35" t="s">
        <v>805</v>
      </c>
      <c r="K912" s="36">
        <v>2021</v>
      </c>
    </row>
    <row r="913" spans="1:11" ht="15" customHeight="1" x14ac:dyDescent="0.3">
      <c r="A913" s="37">
        <v>908</v>
      </c>
      <c r="B913" s="38" t="s">
        <v>1918</v>
      </c>
      <c r="C913" s="38" t="s">
        <v>2033</v>
      </c>
      <c r="D913" s="38" t="s">
        <v>2034</v>
      </c>
      <c r="E913" s="38" t="s">
        <v>2035</v>
      </c>
      <c r="F913" s="38" t="s">
        <v>335</v>
      </c>
      <c r="G913" s="39">
        <v>1440.41</v>
      </c>
      <c r="H913" s="40">
        <v>2</v>
      </c>
      <c r="I913" s="37">
        <v>163260</v>
      </c>
      <c r="J913" s="41" t="s">
        <v>805</v>
      </c>
      <c r="K913" s="42">
        <v>2021</v>
      </c>
    </row>
    <row r="914" spans="1:11" ht="15" customHeight="1" x14ac:dyDescent="0.3">
      <c r="A914" s="31">
        <v>909</v>
      </c>
      <c r="B914" s="32" t="s">
        <v>1918</v>
      </c>
      <c r="C914" s="32" t="s">
        <v>2036</v>
      </c>
      <c r="D914" s="32" t="s">
        <v>64</v>
      </c>
      <c r="E914" s="32" t="s">
        <v>47</v>
      </c>
      <c r="F914" s="32" t="s">
        <v>335</v>
      </c>
      <c r="G914" s="33">
        <v>2000</v>
      </c>
      <c r="H914" s="34">
        <v>4</v>
      </c>
      <c r="I914" s="31">
        <v>209000</v>
      </c>
      <c r="J914" s="35" t="s">
        <v>805</v>
      </c>
      <c r="K914" s="36">
        <v>2021</v>
      </c>
    </row>
    <row r="915" spans="1:11" ht="15" customHeight="1" x14ac:dyDescent="0.3">
      <c r="A915" s="37">
        <v>910</v>
      </c>
      <c r="B915" s="38" t="s">
        <v>1918</v>
      </c>
      <c r="C915" s="38" t="s">
        <v>2037</v>
      </c>
      <c r="D915" s="38" t="s">
        <v>2038</v>
      </c>
      <c r="E915" s="38" t="s">
        <v>2039</v>
      </c>
      <c r="F915" s="38" t="s">
        <v>2040</v>
      </c>
      <c r="G915" s="39">
        <v>2093</v>
      </c>
      <c r="H915" s="40">
        <v>3</v>
      </c>
      <c r="I915" s="37">
        <v>191260</v>
      </c>
      <c r="J915" s="41" t="s">
        <v>805</v>
      </c>
      <c r="K915" s="42">
        <v>2021</v>
      </c>
    </row>
    <row r="916" spans="1:11" ht="15" customHeight="1" x14ac:dyDescent="0.3">
      <c r="A916" s="31">
        <v>911</v>
      </c>
      <c r="B916" s="32" t="s">
        <v>313</v>
      </c>
      <c r="C916" s="32" t="s">
        <v>2041</v>
      </c>
      <c r="D916" s="32" t="s">
        <v>936</v>
      </c>
      <c r="E916" s="32" t="s">
        <v>35</v>
      </c>
      <c r="F916" s="32" t="s">
        <v>373</v>
      </c>
      <c r="G916" s="33">
        <v>415</v>
      </c>
      <c r="H916" s="34">
        <v>0.82599999999999996</v>
      </c>
      <c r="I916" s="31">
        <v>137260</v>
      </c>
      <c r="J916" s="35" t="s">
        <v>805</v>
      </c>
      <c r="K916" s="36">
        <v>2021</v>
      </c>
    </row>
    <row r="917" spans="1:11" ht="15" customHeight="1" x14ac:dyDescent="0.3">
      <c r="A917" s="37">
        <v>912</v>
      </c>
      <c r="B917" s="38" t="s">
        <v>313</v>
      </c>
      <c r="C917" s="38" t="s">
        <v>2042</v>
      </c>
      <c r="D917" s="38" t="s">
        <v>664</v>
      </c>
      <c r="E917" s="38" t="s">
        <v>37</v>
      </c>
      <c r="F917" s="38" t="s">
        <v>406</v>
      </c>
      <c r="G917" s="39">
        <v>1362</v>
      </c>
      <c r="H917" s="40">
        <v>0.72199999999999998</v>
      </c>
      <c r="I917" s="37">
        <v>137260</v>
      </c>
      <c r="J917" s="41" t="s">
        <v>805</v>
      </c>
      <c r="K917" s="42">
        <v>2021</v>
      </c>
    </row>
    <row r="918" spans="1:11" ht="15" customHeight="1" x14ac:dyDescent="0.3">
      <c r="A918" s="31">
        <v>913</v>
      </c>
      <c r="B918" s="32" t="s">
        <v>313</v>
      </c>
      <c r="C918" s="32" t="s">
        <v>2043</v>
      </c>
      <c r="D918" s="32" t="s">
        <v>763</v>
      </c>
      <c r="E918" s="32" t="s">
        <v>190</v>
      </c>
      <c r="F918" s="32" t="s">
        <v>276</v>
      </c>
      <c r="G918" s="33">
        <v>572</v>
      </c>
      <c r="H918" s="34">
        <v>1.3169999999999999</v>
      </c>
      <c r="I918" s="31">
        <v>137260</v>
      </c>
      <c r="J918" s="35" t="s">
        <v>805</v>
      </c>
      <c r="K918" s="36">
        <v>2021</v>
      </c>
    </row>
    <row r="919" spans="1:11" ht="15" customHeight="1" x14ac:dyDescent="0.3">
      <c r="A919" s="37">
        <v>914</v>
      </c>
      <c r="B919" s="38" t="s">
        <v>313</v>
      </c>
      <c r="C919" s="38" t="s">
        <v>2044</v>
      </c>
      <c r="D919" s="38" t="s">
        <v>2045</v>
      </c>
      <c r="E919" s="38" t="s">
        <v>2046</v>
      </c>
      <c r="F919" s="38" t="s">
        <v>312</v>
      </c>
      <c r="G919" s="39">
        <v>690</v>
      </c>
      <c r="H919" s="40">
        <v>4</v>
      </c>
      <c r="I919" s="37">
        <v>209000</v>
      </c>
      <c r="J919" s="41" t="s">
        <v>805</v>
      </c>
      <c r="K919" s="42">
        <v>2021</v>
      </c>
    </row>
    <row r="920" spans="1:11" ht="15" customHeight="1" x14ac:dyDescent="0.3">
      <c r="A920" s="31">
        <v>915</v>
      </c>
      <c r="B920" s="32" t="s">
        <v>313</v>
      </c>
      <c r="C920" s="32" t="s">
        <v>2047</v>
      </c>
      <c r="D920" s="32" t="s">
        <v>2048</v>
      </c>
      <c r="E920" s="32" t="s">
        <v>1847</v>
      </c>
      <c r="F920" s="32" t="s">
        <v>1237</v>
      </c>
      <c r="G920" s="33">
        <v>357</v>
      </c>
      <c r="H920" s="34">
        <v>4</v>
      </c>
      <c r="I920" s="31">
        <v>219260</v>
      </c>
      <c r="J920" s="35" t="s">
        <v>805</v>
      </c>
      <c r="K920" s="36">
        <v>2021</v>
      </c>
    </row>
    <row r="921" spans="1:11" ht="15" customHeight="1" x14ac:dyDescent="0.3">
      <c r="A921" s="37">
        <v>916</v>
      </c>
      <c r="B921" s="38" t="s">
        <v>313</v>
      </c>
      <c r="C921" s="38" t="s">
        <v>2049</v>
      </c>
      <c r="D921" s="38" t="s">
        <v>2050</v>
      </c>
      <c r="E921" s="38" t="s">
        <v>2051</v>
      </c>
      <c r="F921" s="38" t="s">
        <v>276</v>
      </c>
      <c r="G921" s="39">
        <v>384.51</v>
      </c>
      <c r="H921" s="40">
        <v>1.52</v>
      </c>
      <c r="I921" s="37">
        <v>163260</v>
      </c>
      <c r="J921" s="41" t="s">
        <v>805</v>
      </c>
      <c r="K921" s="42">
        <v>2021</v>
      </c>
    </row>
    <row r="922" spans="1:11" ht="15" customHeight="1" x14ac:dyDescent="0.3">
      <c r="A922" s="31">
        <v>917</v>
      </c>
      <c r="B922" s="32" t="s">
        <v>313</v>
      </c>
      <c r="C922" s="32" t="s">
        <v>2052</v>
      </c>
      <c r="D922" s="32" t="s">
        <v>2053</v>
      </c>
      <c r="E922" s="32" t="s">
        <v>2054</v>
      </c>
      <c r="F922" s="32" t="s">
        <v>386</v>
      </c>
      <c r="G922" s="33">
        <v>2313</v>
      </c>
      <c r="H922" s="34">
        <v>1.1879999999999999</v>
      </c>
      <c r="I922" s="31">
        <v>153000</v>
      </c>
      <c r="J922" s="35" t="s">
        <v>805</v>
      </c>
      <c r="K922" s="36">
        <v>2021</v>
      </c>
    </row>
    <row r="923" spans="1:11" ht="15" customHeight="1" x14ac:dyDescent="0.3">
      <c r="A923" s="37">
        <v>918</v>
      </c>
      <c r="B923" s="38" t="s">
        <v>313</v>
      </c>
      <c r="C923" s="38" t="s">
        <v>2055</v>
      </c>
      <c r="D923" s="38" t="s">
        <v>2056</v>
      </c>
      <c r="E923" s="38" t="s">
        <v>2057</v>
      </c>
      <c r="F923" s="38" t="s">
        <v>276</v>
      </c>
      <c r="G923" s="39">
        <v>132</v>
      </c>
      <c r="H923" s="40">
        <v>1.212</v>
      </c>
      <c r="I923" s="37">
        <v>137260</v>
      </c>
      <c r="J923" s="41" t="s">
        <v>805</v>
      </c>
      <c r="K923" s="42">
        <v>2021</v>
      </c>
    </row>
    <row r="924" spans="1:11" ht="15" customHeight="1" x14ac:dyDescent="0.3">
      <c r="A924" s="31">
        <v>919</v>
      </c>
      <c r="B924" s="32" t="s">
        <v>313</v>
      </c>
      <c r="C924" s="32" t="s">
        <v>2058</v>
      </c>
      <c r="D924" s="32" t="s">
        <v>558</v>
      </c>
      <c r="E924" s="32" t="s">
        <v>2059</v>
      </c>
      <c r="F924" s="32" t="s">
        <v>276</v>
      </c>
      <c r="G924" s="33">
        <v>1130</v>
      </c>
      <c r="H924" s="34">
        <v>2</v>
      </c>
      <c r="I924" s="31">
        <v>153000</v>
      </c>
      <c r="J924" s="35" t="s">
        <v>805</v>
      </c>
      <c r="K924" s="36">
        <v>2021</v>
      </c>
    </row>
    <row r="925" spans="1:11" ht="15" customHeight="1" x14ac:dyDescent="0.3">
      <c r="A925" s="37">
        <v>920</v>
      </c>
      <c r="B925" s="38" t="s">
        <v>313</v>
      </c>
      <c r="C925" s="38" t="s">
        <v>2060</v>
      </c>
      <c r="D925" s="38" t="s">
        <v>2061</v>
      </c>
      <c r="E925" s="38" t="s">
        <v>2062</v>
      </c>
      <c r="F925" s="38" t="s">
        <v>329</v>
      </c>
      <c r="G925" s="39">
        <v>1200</v>
      </c>
      <c r="H925" s="40">
        <v>4</v>
      </c>
      <c r="I925" s="37">
        <v>219260</v>
      </c>
      <c r="J925" s="41" t="s">
        <v>805</v>
      </c>
      <c r="K925" s="42">
        <v>2021</v>
      </c>
    </row>
    <row r="926" spans="1:11" ht="15" customHeight="1" x14ac:dyDescent="0.3">
      <c r="A926" s="31">
        <v>921</v>
      </c>
      <c r="B926" s="32" t="s">
        <v>313</v>
      </c>
      <c r="C926" s="32" t="s">
        <v>2063</v>
      </c>
      <c r="D926" s="32" t="s">
        <v>1189</v>
      </c>
      <c r="E926" s="32" t="s">
        <v>1190</v>
      </c>
      <c r="F926" s="32" t="s">
        <v>2064</v>
      </c>
      <c r="G926" s="33">
        <v>561</v>
      </c>
      <c r="H926" s="34">
        <v>2</v>
      </c>
      <c r="I926" s="31">
        <v>163260</v>
      </c>
      <c r="J926" s="35" t="s">
        <v>805</v>
      </c>
      <c r="K926" s="36">
        <v>2021</v>
      </c>
    </row>
    <row r="927" spans="1:11" ht="15" customHeight="1" x14ac:dyDescent="0.3">
      <c r="A927" s="37">
        <v>922</v>
      </c>
      <c r="B927" s="38" t="s">
        <v>313</v>
      </c>
      <c r="C927" s="38" t="s">
        <v>2065</v>
      </c>
      <c r="D927" s="38" t="s">
        <v>2066</v>
      </c>
      <c r="E927" s="38" t="s">
        <v>2067</v>
      </c>
      <c r="F927" s="38" t="s">
        <v>316</v>
      </c>
      <c r="G927" s="39">
        <v>219</v>
      </c>
      <c r="H927" s="40">
        <v>4</v>
      </c>
      <c r="I927" s="37">
        <v>219260</v>
      </c>
      <c r="J927" s="41" t="s">
        <v>805</v>
      </c>
      <c r="K927" s="42">
        <v>2021</v>
      </c>
    </row>
    <row r="928" spans="1:11" ht="15" customHeight="1" x14ac:dyDescent="0.3">
      <c r="A928" s="31">
        <v>923</v>
      </c>
      <c r="B928" s="32" t="s">
        <v>313</v>
      </c>
      <c r="C928" s="32" t="s">
        <v>2068</v>
      </c>
      <c r="D928" s="32" t="s">
        <v>2069</v>
      </c>
      <c r="E928" s="32" t="s">
        <v>2070</v>
      </c>
      <c r="F928" s="32" t="s">
        <v>276</v>
      </c>
      <c r="G928" s="33">
        <v>216</v>
      </c>
      <c r="H928" s="34">
        <v>0.56699999999999995</v>
      </c>
      <c r="I928" s="31">
        <v>137260</v>
      </c>
      <c r="J928" s="35" t="s">
        <v>805</v>
      </c>
      <c r="K928" s="36">
        <v>2021</v>
      </c>
    </row>
    <row r="929" spans="1:11" ht="15" customHeight="1" x14ac:dyDescent="0.3">
      <c r="A929" s="37">
        <v>924</v>
      </c>
      <c r="B929" s="38" t="s">
        <v>313</v>
      </c>
      <c r="C929" s="38" t="s">
        <v>2071</v>
      </c>
      <c r="D929" s="38" t="s">
        <v>1707</v>
      </c>
      <c r="E929" s="38" t="s">
        <v>39</v>
      </c>
      <c r="F929" s="38" t="s">
        <v>306</v>
      </c>
      <c r="G929" s="39">
        <v>220</v>
      </c>
      <c r="H929" s="40">
        <v>0.45700000000000002</v>
      </c>
      <c r="I929" s="37">
        <v>137260</v>
      </c>
      <c r="J929" s="41" t="s">
        <v>805</v>
      </c>
      <c r="K929" s="42">
        <v>2021</v>
      </c>
    </row>
    <row r="930" spans="1:11" ht="15" customHeight="1" x14ac:dyDescent="0.3">
      <c r="A930" s="31">
        <v>925</v>
      </c>
      <c r="B930" s="32" t="s">
        <v>313</v>
      </c>
      <c r="C930" s="32" t="s">
        <v>2072</v>
      </c>
      <c r="D930" s="32" t="s">
        <v>1705</v>
      </c>
      <c r="E930" s="32" t="s">
        <v>39</v>
      </c>
      <c r="F930" s="32" t="s">
        <v>406</v>
      </c>
      <c r="G930" s="33">
        <v>415</v>
      </c>
      <c r="H930" s="34">
        <v>2</v>
      </c>
      <c r="I930" s="31">
        <v>163260</v>
      </c>
      <c r="J930" s="35" t="s">
        <v>805</v>
      </c>
      <c r="K930" s="36">
        <v>2021</v>
      </c>
    </row>
    <row r="931" spans="1:11" ht="15" customHeight="1" x14ac:dyDescent="0.3">
      <c r="A931" s="37">
        <v>926</v>
      </c>
      <c r="B931" s="38" t="s">
        <v>313</v>
      </c>
      <c r="C931" s="38" t="s">
        <v>2073</v>
      </c>
      <c r="D931" s="38" t="s">
        <v>2074</v>
      </c>
      <c r="E931" s="38" t="s">
        <v>2075</v>
      </c>
      <c r="F931" s="38" t="s">
        <v>373</v>
      </c>
      <c r="G931" s="39">
        <v>1600</v>
      </c>
      <c r="H931" s="40">
        <v>2</v>
      </c>
      <c r="I931" s="37">
        <v>163260</v>
      </c>
      <c r="J931" s="41" t="s">
        <v>805</v>
      </c>
      <c r="K931" s="42">
        <v>2021</v>
      </c>
    </row>
    <row r="932" spans="1:11" ht="15" customHeight="1" x14ac:dyDescent="0.3">
      <c r="A932" s="31">
        <v>927</v>
      </c>
      <c r="B932" s="32" t="s">
        <v>313</v>
      </c>
      <c r="C932" s="32" t="s">
        <v>2076</v>
      </c>
      <c r="D932" s="32" t="s">
        <v>715</v>
      </c>
      <c r="E932" s="32" t="s">
        <v>2077</v>
      </c>
      <c r="F932" s="32" t="s">
        <v>287</v>
      </c>
      <c r="G932" s="33">
        <v>1070</v>
      </c>
      <c r="H932" s="34">
        <v>5</v>
      </c>
      <c r="I932" s="31">
        <v>265000</v>
      </c>
      <c r="J932" s="35" t="s">
        <v>805</v>
      </c>
      <c r="K932" s="36">
        <v>2021</v>
      </c>
    </row>
    <row r="933" spans="1:11" ht="15" customHeight="1" x14ac:dyDescent="0.3">
      <c r="A933" s="37">
        <v>928</v>
      </c>
      <c r="B933" s="38" t="s">
        <v>313</v>
      </c>
      <c r="C933" s="38" t="s">
        <v>2078</v>
      </c>
      <c r="D933" s="38" t="s">
        <v>2079</v>
      </c>
      <c r="E933" s="38" t="s">
        <v>2080</v>
      </c>
      <c r="F933" s="38" t="s">
        <v>435</v>
      </c>
      <c r="G933" s="39">
        <v>1532.11</v>
      </c>
      <c r="H933" s="40">
        <v>7</v>
      </c>
      <c r="I933" s="37">
        <v>303260</v>
      </c>
      <c r="J933" s="41" t="s">
        <v>805</v>
      </c>
      <c r="K933" s="42">
        <v>2021</v>
      </c>
    </row>
    <row r="934" spans="1:11" ht="15" customHeight="1" x14ac:dyDescent="0.3">
      <c r="A934" s="31">
        <v>929</v>
      </c>
      <c r="B934" s="32" t="s">
        <v>313</v>
      </c>
      <c r="C934" s="32" t="s">
        <v>2081</v>
      </c>
      <c r="D934" s="32" t="s">
        <v>2082</v>
      </c>
      <c r="E934" s="32" t="s">
        <v>2083</v>
      </c>
      <c r="F934" s="32" t="s">
        <v>373</v>
      </c>
      <c r="G934" s="33">
        <v>415</v>
      </c>
      <c r="H934" s="34">
        <v>0.54900000000000004</v>
      </c>
      <c r="I934" s="31">
        <v>137260</v>
      </c>
      <c r="J934" s="35" t="s">
        <v>805</v>
      </c>
      <c r="K934" s="36">
        <v>2021</v>
      </c>
    </row>
    <row r="935" spans="1:11" ht="15" customHeight="1" x14ac:dyDescent="0.3">
      <c r="A935" s="37">
        <v>930</v>
      </c>
      <c r="B935" s="38" t="s">
        <v>313</v>
      </c>
      <c r="C935" s="38" t="s">
        <v>2084</v>
      </c>
      <c r="D935" s="38" t="s">
        <v>1658</v>
      </c>
      <c r="E935" s="38" t="s">
        <v>1659</v>
      </c>
      <c r="F935" s="38" t="s">
        <v>287</v>
      </c>
      <c r="G935" s="39">
        <v>158.31</v>
      </c>
      <c r="H935" s="40">
        <v>3.028</v>
      </c>
      <c r="I935" s="37">
        <v>191260</v>
      </c>
      <c r="J935" s="41" t="s">
        <v>805</v>
      </c>
      <c r="K935" s="42">
        <v>2021</v>
      </c>
    </row>
    <row r="936" spans="1:11" ht="15" customHeight="1" x14ac:dyDescent="0.3">
      <c r="A936" s="31">
        <v>931</v>
      </c>
      <c r="B936" s="32" t="s">
        <v>313</v>
      </c>
      <c r="C936" s="32" t="s">
        <v>2085</v>
      </c>
      <c r="D936" s="32" t="s">
        <v>2086</v>
      </c>
      <c r="E936" s="32" t="s">
        <v>2087</v>
      </c>
      <c r="F936" s="32" t="s">
        <v>287</v>
      </c>
      <c r="G936" s="33">
        <v>1503.492</v>
      </c>
      <c r="H936" s="34">
        <v>2.1920000000000002</v>
      </c>
      <c r="I936" s="31">
        <v>163260</v>
      </c>
      <c r="J936" s="35" t="s">
        <v>805</v>
      </c>
      <c r="K936" s="36">
        <v>2021</v>
      </c>
    </row>
    <row r="937" spans="1:11" ht="15" customHeight="1" x14ac:dyDescent="0.3">
      <c r="A937" s="37">
        <v>932</v>
      </c>
      <c r="B937" s="38" t="s">
        <v>313</v>
      </c>
      <c r="C937" s="38" t="s">
        <v>2088</v>
      </c>
      <c r="D937" s="38" t="s">
        <v>2089</v>
      </c>
      <c r="E937" s="38" t="s">
        <v>2090</v>
      </c>
      <c r="F937" s="38" t="s">
        <v>312</v>
      </c>
      <c r="G937" s="39">
        <v>300</v>
      </c>
      <c r="H937" s="40">
        <v>1</v>
      </c>
      <c r="I937" s="37">
        <v>137260</v>
      </c>
      <c r="J937" s="41" t="s">
        <v>805</v>
      </c>
      <c r="K937" s="42">
        <v>2021</v>
      </c>
    </row>
    <row r="938" spans="1:11" ht="15" customHeight="1" x14ac:dyDescent="0.3">
      <c r="A938" s="31">
        <v>933</v>
      </c>
      <c r="B938" s="32" t="s">
        <v>1059</v>
      </c>
      <c r="C938" s="32" t="s">
        <v>2091</v>
      </c>
      <c r="D938" s="32" t="s">
        <v>36</v>
      </c>
      <c r="E938" s="32" t="s">
        <v>43</v>
      </c>
      <c r="F938" s="32" t="s">
        <v>373</v>
      </c>
      <c r="G938" s="33">
        <v>3395</v>
      </c>
      <c r="H938" s="34">
        <v>6</v>
      </c>
      <c r="I938" s="31">
        <v>275260</v>
      </c>
      <c r="J938" s="35" t="s">
        <v>805</v>
      </c>
      <c r="K938" s="36">
        <v>2021</v>
      </c>
    </row>
    <row r="939" spans="1:11" ht="15" customHeight="1" x14ac:dyDescent="0.3">
      <c r="A939" s="37">
        <v>934</v>
      </c>
      <c r="B939" s="38" t="s">
        <v>1059</v>
      </c>
      <c r="C939" s="38" t="s">
        <v>2092</v>
      </c>
      <c r="D939" s="38" t="s">
        <v>671</v>
      </c>
      <c r="E939" s="38" t="s">
        <v>372</v>
      </c>
      <c r="F939" s="38" t="s">
        <v>937</v>
      </c>
      <c r="G939" s="39">
        <v>3708</v>
      </c>
      <c r="H939" s="40">
        <v>8</v>
      </c>
      <c r="I939" s="37">
        <v>323260</v>
      </c>
      <c r="J939" s="41" t="s">
        <v>920</v>
      </c>
      <c r="K939" s="42">
        <v>2021</v>
      </c>
    </row>
    <row r="940" spans="1:11" ht="15" customHeight="1" x14ac:dyDescent="0.3">
      <c r="A940" s="31">
        <v>935</v>
      </c>
      <c r="B940" s="32" t="s">
        <v>1059</v>
      </c>
      <c r="C940" s="32" t="s">
        <v>2093</v>
      </c>
      <c r="D940" s="32" t="s">
        <v>2094</v>
      </c>
      <c r="E940" s="32" t="s">
        <v>2095</v>
      </c>
      <c r="F940" s="32" t="s">
        <v>406</v>
      </c>
      <c r="G940" s="33">
        <v>1134</v>
      </c>
      <c r="H940" s="34">
        <v>3</v>
      </c>
      <c r="I940" s="31">
        <v>191260</v>
      </c>
      <c r="J940" s="35" t="s">
        <v>920</v>
      </c>
      <c r="K940" s="36">
        <v>2021</v>
      </c>
    </row>
    <row r="941" spans="1:11" ht="15" customHeight="1" x14ac:dyDescent="0.3">
      <c r="A941" s="37">
        <v>936</v>
      </c>
      <c r="B941" s="38" t="s">
        <v>1059</v>
      </c>
      <c r="C941" s="38" t="s">
        <v>2096</v>
      </c>
      <c r="D941" s="38" t="s">
        <v>2097</v>
      </c>
      <c r="E941" s="38" t="s">
        <v>2098</v>
      </c>
      <c r="F941" s="38" t="s">
        <v>2099</v>
      </c>
      <c r="G941" s="39">
        <v>653.17999999999995</v>
      </c>
      <c r="H941" s="40">
        <v>7</v>
      </c>
      <c r="I941" s="37">
        <v>303260</v>
      </c>
      <c r="J941" s="41" t="s">
        <v>920</v>
      </c>
      <c r="K941" s="42">
        <v>2021</v>
      </c>
    </row>
    <row r="942" spans="1:11" ht="15" customHeight="1" x14ac:dyDescent="0.3">
      <c r="A942" s="31">
        <v>937</v>
      </c>
      <c r="B942" s="32" t="s">
        <v>1059</v>
      </c>
      <c r="C942" s="32" t="s">
        <v>2100</v>
      </c>
      <c r="D942" s="32" t="s">
        <v>2045</v>
      </c>
      <c r="E942" s="32" t="s">
        <v>2046</v>
      </c>
      <c r="F942" s="32" t="s">
        <v>306</v>
      </c>
      <c r="G942" s="33">
        <v>76</v>
      </c>
      <c r="H942" s="34">
        <v>0.27800000000000002</v>
      </c>
      <c r="I942" s="31">
        <v>135000</v>
      </c>
      <c r="J942" s="35" t="s">
        <v>920</v>
      </c>
      <c r="K942" s="36">
        <v>2021</v>
      </c>
    </row>
    <row r="943" spans="1:11" ht="15" customHeight="1" x14ac:dyDescent="0.3">
      <c r="A943" s="37">
        <v>938</v>
      </c>
      <c r="B943" s="38" t="s">
        <v>1059</v>
      </c>
      <c r="C943" s="38" t="s">
        <v>2101</v>
      </c>
      <c r="D943" s="38" t="s">
        <v>2102</v>
      </c>
      <c r="E943" s="38" t="s">
        <v>61</v>
      </c>
      <c r="F943" s="38" t="s">
        <v>316</v>
      </c>
      <c r="G943" s="39">
        <v>715</v>
      </c>
      <c r="H943" s="40">
        <v>3</v>
      </c>
      <c r="I943" s="37">
        <v>189000</v>
      </c>
      <c r="J943" s="41" t="s">
        <v>920</v>
      </c>
      <c r="K943" s="42">
        <v>2021</v>
      </c>
    </row>
    <row r="944" spans="1:11" ht="15" customHeight="1" x14ac:dyDescent="0.3">
      <c r="A944" s="31">
        <v>939</v>
      </c>
      <c r="B944" s="32" t="s">
        <v>1059</v>
      </c>
      <c r="C944" s="32" t="s">
        <v>2103</v>
      </c>
      <c r="D944" s="32" t="s">
        <v>2104</v>
      </c>
      <c r="E944" s="32" t="s">
        <v>2105</v>
      </c>
      <c r="F944" s="32" t="s">
        <v>1031</v>
      </c>
      <c r="G944" s="33">
        <v>153</v>
      </c>
      <c r="H944" s="34">
        <v>2</v>
      </c>
      <c r="I944" s="31">
        <v>163260</v>
      </c>
      <c r="J944" s="35" t="s">
        <v>920</v>
      </c>
      <c r="K944" s="36">
        <v>2021</v>
      </c>
    </row>
    <row r="945" spans="1:11" ht="15" customHeight="1" x14ac:dyDescent="0.3">
      <c r="A945" s="37">
        <v>940</v>
      </c>
      <c r="B945" s="38" t="s">
        <v>1059</v>
      </c>
      <c r="C945" s="38" t="s">
        <v>2106</v>
      </c>
      <c r="D945" s="38" t="s">
        <v>2107</v>
      </c>
      <c r="E945" s="38" t="s">
        <v>394</v>
      </c>
      <c r="F945" s="38" t="s">
        <v>276</v>
      </c>
      <c r="G945" s="39">
        <v>384</v>
      </c>
      <c r="H945" s="40">
        <v>2</v>
      </c>
      <c r="I945" s="37">
        <v>163260</v>
      </c>
      <c r="J945" s="41" t="s">
        <v>920</v>
      </c>
      <c r="K945" s="42">
        <v>2021</v>
      </c>
    </row>
    <row r="946" spans="1:11" ht="15" customHeight="1" x14ac:dyDescent="0.3">
      <c r="A946" s="31">
        <v>941</v>
      </c>
      <c r="B946" s="32" t="s">
        <v>1059</v>
      </c>
      <c r="C946" s="32" t="s">
        <v>2108</v>
      </c>
      <c r="D946" s="32" t="s">
        <v>2109</v>
      </c>
      <c r="E946" s="32" t="s">
        <v>1276</v>
      </c>
      <c r="F946" s="32" t="s">
        <v>276</v>
      </c>
      <c r="G946" s="33">
        <v>226</v>
      </c>
      <c r="H946" s="34">
        <v>1.282</v>
      </c>
      <c r="I946" s="31">
        <v>137260</v>
      </c>
      <c r="J946" s="35" t="s">
        <v>920</v>
      </c>
      <c r="K946" s="36">
        <v>2021</v>
      </c>
    </row>
    <row r="947" spans="1:11" ht="15" customHeight="1" x14ac:dyDescent="0.3">
      <c r="A947" s="37">
        <v>942</v>
      </c>
      <c r="B947" s="38" t="s">
        <v>1059</v>
      </c>
      <c r="C947" s="38" t="s">
        <v>2110</v>
      </c>
      <c r="D947" s="38" t="s">
        <v>38</v>
      </c>
      <c r="E947" s="38" t="s">
        <v>51</v>
      </c>
      <c r="F947" s="38" t="s">
        <v>306</v>
      </c>
      <c r="G947" s="39">
        <v>2570</v>
      </c>
      <c r="H947" s="40">
        <v>3</v>
      </c>
      <c r="I947" s="37">
        <v>189000</v>
      </c>
      <c r="J947" s="41" t="s">
        <v>920</v>
      </c>
      <c r="K947" s="42">
        <v>2021</v>
      </c>
    </row>
    <row r="948" spans="1:11" ht="15" customHeight="1" x14ac:dyDescent="0.3">
      <c r="A948" s="31">
        <v>943</v>
      </c>
      <c r="B948" s="32" t="s">
        <v>1059</v>
      </c>
      <c r="C948" s="32" t="s">
        <v>2111</v>
      </c>
      <c r="D948" s="32" t="s">
        <v>36</v>
      </c>
      <c r="E948" s="32" t="s">
        <v>43</v>
      </c>
      <c r="F948" s="32" t="s">
        <v>2112</v>
      </c>
      <c r="G948" s="33">
        <v>2449</v>
      </c>
      <c r="H948" s="34">
        <v>10</v>
      </c>
      <c r="I948" s="31">
        <v>377260</v>
      </c>
      <c r="J948" s="35" t="s">
        <v>920</v>
      </c>
      <c r="K948" s="36">
        <v>2021</v>
      </c>
    </row>
    <row r="949" spans="1:11" ht="15" customHeight="1" x14ac:dyDescent="0.3">
      <c r="A949" s="37">
        <v>944</v>
      </c>
      <c r="B949" s="38" t="s">
        <v>1059</v>
      </c>
      <c r="C949" s="38" t="s">
        <v>2113</v>
      </c>
      <c r="D949" s="38" t="s">
        <v>1761</v>
      </c>
      <c r="E949" s="38" t="s">
        <v>1762</v>
      </c>
      <c r="F949" s="38" t="s">
        <v>435</v>
      </c>
      <c r="G949" s="39">
        <v>2827</v>
      </c>
      <c r="H949" s="40">
        <v>5</v>
      </c>
      <c r="I949" s="37">
        <v>245000</v>
      </c>
      <c r="J949" s="41" t="s">
        <v>920</v>
      </c>
      <c r="K949" s="42">
        <v>2021</v>
      </c>
    </row>
    <row r="950" spans="1:11" ht="15" customHeight="1" x14ac:dyDescent="0.3">
      <c r="A950" s="31">
        <v>945</v>
      </c>
      <c r="B950" s="32" t="s">
        <v>1918</v>
      </c>
      <c r="C950" s="32" t="s">
        <v>2114</v>
      </c>
      <c r="D950" s="32" t="s">
        <v>1176</v>
      </c>
      <c r="E950" s="32" t="s">
        <v>2115</v>
      </c>
      <c r="F950" s="32" t="s">
        <v>435</v>
      </c>
      <c r="G950" s="33">
        <v>4790.34</v>
      </c>
      <c r="H950" s="34">
        <v>10</v>
      </c>
      <c r="I950" s="31">
        <v>377260</v>
      </c>
      <c r="J950" s="35" t="s">
        <v>920</v>
      </c>
      <c r="K950" s="36">
        <v>2021</v>
      </c>
    </row>
    <row r="951" spans="1:11" ht="15" customHeight="1" x14ac:dyDescent="0.3">
      <c r="A951" s="37">
        <v>946</v>
      </c>
      <c r="B951" s="38" t="s">
        <v>1918</v>
      </c>
      <c r="C951" s="38" t="s">
        <v>2116</v>
      </c>
      <c r="D951" s="38" t="s">
        <v>54</v>
      </c>
      <c r="E951" s="38" t="s">
        <v>35</v>
      </c>
      <c r="F951" s="38" t="s">
        <v>2117</v>
      </c>
      <c r="G951" s="39">
        <v>4785</v>
      </c>
      <c r="H951" s="40">
        <v>5.3840000000000003</v>
      </c>
      <c r="I951" s="37">
        <v>247260</v>
      </c>
      <c r="J951" s="41" t="s">
        <v>920</v>
      </c>
      <c r="K951" s="42">
        <v>2021</v>
      </c>
    </row>
    <row r="952" spans="1:11" ht="15" customHeight="1" x14ac:dyDescent="0.3">
      <c r="A952" s="31">
        <v>947</v>
      </c>
      <c r="B952" s="32" t="s">
        <v>1918</v>
      </c>
      <c r="C952" s="32" t="s">
        <v>2118</v>
      </c>
      <c r="D952" s="32" t="s">
        <v>2119</v>
      </c>
      <c r="E952" s="32" t="s">
        <v>857</v>
      </c>
      <c r="F952" s="32" t="s">
        <v>689</v>
      </c>
      <c r="G952" s="33">
        <v>1361</v>
      </c>
      <c r="H952" s="34">
        <v>5</v>
      </c>
      <c r="I952" s="31">
        <v>247260</v>
      </c>
      <c r="J952" s="35" t="s">
        <v>920</v>
      </c>
      <c r="K952" s="36">
        <v>2021</v>
      </c>
    </row>
    <row r="953" spans="1:11" ht="15" customHeight="1" x14ac:dyDescent="0.3">
      <c r="A953" s="37">
        <v>948</v>
      </c>
      <c r="B953" s="38" t="s">
        <v>1918</v>
      </c>
      <c r="C953" s="38" t="s">
        <v>2120</v>
      </c>
      <c r="D953" s="38" t="s">
        <v>2121</v>
      </c>
      <c r="E953" s="38" t="s">
        <v>556</v>
      </c>
      <c r="F953" s="38" t="s">
        <v>402</v>
      </c>
      <c r="G953" s="39">
        <v>1444</v>
      </c>
      <c r="H953" s="40">
        <v>7</v>
      </c>
      <c r="I953" s="37">
        <v>303260</v>
      </c>
      <c r="J953" s="41" t="s">
        <v>920</v>
      </c>
      <c r="K953" s="42">
        <v>2021</v>
      </c>
    </row>
    <row r="954" spans="1:11" ht="15" customHeight="1" x14ac:dyDescent="0.3">
      <c r="A954" s="31">
        <v>949</v>
      </c>
      <c r="B954" s="32" t="s">
        <v>1918</v>
      </c>
      <c r="C954" s="32" t="s">
        <v>2122</v>
      </c>
      <c r="D954" s="32" t="s">
        <v>1803</v>
      </c>
      <c r="E954" s="32" t="s">
        <v>804</v>
      </c>
      <c r="F954" s="32" t="s">
        <v>689</v>
      </c>
      <c r="G954" s="33">
        <v>3690.4</v>
      </c>
      <c r="H954" s="34">
        <v>8</v>
      </c>
      <c r="I954" s="31">
        <v>381000</v>
      </c>
      <c r="J954" s="35" t="s">
        <v>920</v>
      </c>
      <c r="K954" s="36">
        <v>2021</v>
      </c>
    </row>
    <row r="955" spans="1:11" ht="15" customHeight="1" x14ac:dyDescent="0.3">
      <c r="A955" s="37">
        <v>950</v>
      </c>
      <c r="B955" s="38" t="s">
        <v>1918</v>
      </c>
      <c r="C955" s="38" t="s">
        <v>2123</v>
      </c>
      <c r="D955" s="38" t="s">
        <v>1623</v>
      </c>
      <c r="E955" s="38" t="s">
        <v>2124</v>
      </c>
      <c r="F955" s="38" t="s">
        <v>276</v>
      </c>
      <c r="G955" s="39">
        <v>600</v>
      </c>
      <c r="H955" s="40">
        <v>1.2</v>
      </c>
      <c r="I955" s="37">
        <v>135000</v>
      </c>
      <c r="J955" s="41" t="s">
        <v>920</v>
      </c>
      <c r="K955" s="42">
        <v>2021</v>
      </c>
    </row>
    <row r="956" spans="1:11" ht="15" customHeight="1" x14ac:dyDescent="0.3">
      <c r="A956" s="31">
        <v>951</v>
      </c>
      <c r="B956" s="32" t="s">
        <v>1918</v>
      </c>
      <c r="C956" s="32" t="s">
        <v>2125</v>
      </c>
      <c r="D956" s="32" t="s">
        <v>1058</v>
      </c>
      <c r="E956" s="32" t="s">
        <v>49</v>
      </c>
      <c r="F956" s="32" t="s">
        <v>2126</v>
      </c>
      <c r="G956" s="33">
        <v>1785</v>
      </c>
      <c r="H956" s="34">
        <v>7</v>
      </c>
      <c r="I956" s="31">
        <v>301000</v>
      </c>
      <c r="J956" s="35" t="s">
        <v>920</v>
      </c>
      <c r="K956" s="36">
        <v>2021</v>
      </c>
    </row>
    <row r="957" spans="1:11" ht="15" customHeight="1" x14ac:dyDescent="0.3">
      <c r="A957" s="37">
        <v>952</v>
      </c>
      <c r="B957" s="38" t="s">
        <v>1918</v>
      </c>
      <c r="C957" s="38" t="s">
        <v>2127</v>
      </c>
      <c r="D957" s="38" t="s">
        <v>64</v>
      </c>
      <c r="E957" s="38" t="s">
        <v>49</v>
      </c>
      <c r="F957" s="38" t="s">
        <v>2128</v>
      </c>
      <c r="G957" s="39">
        <v>745.41</v>
      </c>
      <c r="H957" s="40">
        <v>4</v>
      </c>
      <c r="I957" s="37">
        <v>217000</v>
      </c>
      <c r="J957" s="41" t="s">
        <v>920</v>
      </c>
      <c r="K957" s="42">
        <v>2021</v>
      </c>
    </row>
    <row r="958" spans="1:11" ht="15" customHeight="1" x14ac:dyDescent="0.3">
      <c r="A958" s="31">
        <v>953</v>
      </c>
      <c r="B958" s="32" t="s">
        <v>1918</v>
      </c>
      <c r="C958" s="32" t="s">
        <v>2129</v>
      </c>
      <c r="D958" s="32" t="s">
        <v>38</v>
      </c>
      <c r="E958" s="32" t="s">
        <v>51</v>
      </c>
      <c r="F958" s="32" t="s">
        <v>658</v>
      </c>
      <c r="G958" s="33">
        <v>3724</v>
      </c>
      <c r="H958" s="34">
        <v>2.4860000000000002</v>
      </c>
      <c r="I958" s="31">
        <v>209000</v>
      </c>
      <c r="J958" s="35" t="s">
        <v>920</v>
      </c>
      <c r="K958" s="36">
        <v>2021</v>
      </c>
    </row>
    <row r="959" spans="1:11" ht="15" customHeight="1" x14ac:dyDescent="0.3">
      <c r="A959" s="37">
        <v>954</v>
      </c>
      <c r="B959" s="38" t="s">
        <v>313</v>
      </c>
      <c r="C959" s="38" t="s">
        <v>2130</v>
      </c>
      <c r="D959" s="38" t="s">
        <v>671</v>
      </c>
      <c r="E959" s="38" t="s">
        <v>35</v>
      </c>
      <c r="F959" s="38" t="s">
        <v>2131</v>
      </c>
      <c r="G959" s="39">
        <v>4924</v>
      </c>
      <c r="H959" s="40">
        <v>10</v>
      </c>
      <c r="I959" s="37">
        <v>377260</v>
      </c>
      <c r="J959" s="41" t="s">
        <v>920</v>
      </c>
      <c r="K959" s="42">
        <v>2021</v>
      </c>
    </row>
    <row r="960" spans="1:11" ht="15" customHeight="1" x14ac:dyDescent="0.3">
      <c r="A960" s="31">
        <v>955</v>
      </c>
      <c r="B960" s="32" t="s">
        <v>313</v>
      </c>
      <c r="C960" s="32" t="s">
        <v>2132</v>
      </c>
      <c r="D960" s="32" t="s">
        <v>2133</v>
      </c>
      <c r="E960" s="32" t="s">
        <v>2134</v>
      </c>
      <c r="F960" s="32" t="s">
        <v>287</v>
      </c>
      <c r="G960" s="33">
        <v>1778</v>
      </c>
      <c r="H960" s="34">
        <v>4</v>
      </c>
      <c r="I960" s="31">
        <v>209000</v>
      </c>
      <c r="J960" s="35" t="s">
        <v>920</v>
      </c>
      <c r="K960" s="36">
        <v>2021</v>
      </c>
    </row>
    <row r="961" spans="1:11" ht="15" customHeight="1" x14ac:dyDescent="0.3">
      <c r="A961" s="37">
        <v>956</v>
      </c>
      <c r="B961" s="38" t="s">
        <v>313</v>
      </c>
      <c r="C961" s="38" t="s">
        <v>2135</v>
      </c>
      <c r="D961" s="38" t="s">
        <v>2136</v>
      </c>
      <c r="E961" s="38" t="s">
        <v>2137</v>
      </c>
      <c r="F961" s="38" t="s">
        <v>2040</v>
      </c>
      <c r="G961" s="39">
        <v>199</v>
      </c>
      <c r="H961" s="40">
        <v>4</v>
      </c>
      <c r="I961" s="37">
        <v>219260</v>
      </c>
      <c r="J961" s="41" t="s">
        <v>920</v>
      </c>
      <c r="K961" s="42">
        <v>2021</v>
      </c>
    </row>
    <row r="962" spans="1:11" ht="15" customHeight="1" x14ac:dyDescent="0.3">
      <c r="A962" s="31">
        <v>957</v>
      </c>
      <c r="B962" s="32" t="s">
        <v>313</v>
      </c>
      <c r="C962" s="32" t="s">
        <v>2138</v>
      </c>
      <c r="D962" s="32" t="s">
        <v>2139</v>
      </c>
      <c r="E962" s="32" t="s">
        <v>2140</v>
      </c>
      <c r="F962" s="32" t="s">
        <v>316</v>
      </c>
      <c r="G962" s="33">
        <v>233</v>
      </c>
      <c r="H962" s="34">
        <v>3</v>
      </c>
      <c r="I962" s="31">
        <v>191260</v>
      </c>
      <c r="J962" s="35" t="s">
        <v>920</v>
      </c>
      <c r="K962" s="36">
        <v>2021</v>
      </c>
    </row>
    <row r="963" spans="1:11" ht="15" customHeight="1" x14ac:dyDescent="0.3">
      <c r="A963" s="37">
        <v>958</v>
      </c>
      <c r="B963" s="38" t="s">
        <v>313</v>
      </c>
      <c r="C963" s="38" t="s">
        <v>2141</v>
      </c>
      <c r="D963" s="38" t="s">
        <v>1048</v>
      </c>
      <c r="E963" s="38" t="s">
        <v>2142</v>
      </c>
      <c r="F963" s="38" t="s">
        <v>391</v>
      </c>
      <c r="G963" s="39">
        <v>228</v>
      </c>
      <c r="H963" s="40">
        <v>0.872</v>
      </c>
      <c r="I963" s="37">
        <v>127000</v>
      </c>
      <c r="J963" s="41" t="s">
        <v>920</v>
      </c>
      <c r="K963" s="42">
        <v>2021</v>
      </c>
    </row>
    <row r="964" spans="1:11" ht="15" customHeight="1" x14ac:dyDescent="0.3">
      <c r="A964" s="31">
        <v>959</v>
      </c>
      <c r="B964" s="32" t="s">
        <v>313</v>
      </c>
      <c r="C964" s="32" t="s">
        <v>2143</v>
      </c>
      <c r="D964" s="32" t="s">
        <v>2107</v>
      </c>
      <c r="E964" s="32" t="s">
        <v>394</v>
      </c>
      <c r="F964" s="32" t="s">
        <v>2144</v>
      </c>
      <c r="G964" s="33">
        <v>6150</v>
      </c>
      <c r="H964" s="34">
        <v>8</v>
      </c>
      <c r="I964" s="31">
        <v>323260</v>
      </c>
      <c r="J964" s="35" t="s">
        <v>920</v>
      </c>
      <c r="K964" s="36">
        <v>2021</v>
      </c>
    </row>
    <row r="965" spans="1:11" ht="15" customHeight="1" x14ac:dyDescent="0.3">
      <c r="A965" s="37">
        <v>960</v>
      </c>
      <c r="B965" s="38" t="s">
        <v>313</v>
      </c>
      <c r="C965" s="38" t="s">
        <v>2145</v>
      </c>
      <c r="D965" s="38" t="s">
        <v>2107</v>
      </c>
      <c r="E965" s="38" t="s">
        <v>2146</v>
      </c>
      <c r="F965" s="38" t="s">
        <v>373</v>
      </c>
      <c r="G965" s="39">
        <v>1084</v>
      </c>
      <c r="H965" s="40">
        <v>4</v>
      </c>
      <c r="I965" s="37">
        <v>209000</v>
      </c>
      <c r="J965" s="41" t="s">
        <v>920</v>
      </c>
      <c r="K965" s="42">
        <v>2021</v>
      </c>
    </row>
    <row r="966" spans="1:11" ht="15" customHeight="1" x14ac:dyDescent="0.3">
      <c r="A966" s="31">
        <v>961</v>
      </c>
      <c r="B966" s="32" t="s">
        <v>313</v>
      </c>
      <c r="C966" s="32" t="s">
        <v>2147</v>
      </c>
      <c r="D966" s="32" t="s">
        <v>2148</v>
      </c>
      <c r="E966" s="32" t="s">
        <v>1665</v>
      </c>
      <c r="F966" s="32" t="s">
        <v>406</v>
      </c>
      <c r="G966" s="33">
        <v>217</v>
      </c>
      <c r="H966" s="34">
        <v>4</v>
      </c>
      <c r="I966" s="31">
        <v>209000</v>
      </c>
      <c r="J966" s="35" t="s">
        <v>920</v>
      </c>
      <c r="K966" s="36">
        <v>2021</v>
      </c>
    </row>
    <row r="967" spans="1:11" ht="15" customHeight="1" x14ac:dyDescent="0.3">
      <c r="A967" s="37">
        <v>962</v>
      </c>
      <c r="B967" s="38" t="s">
        <v>313</v>
      </c>
      <c r="C967" s="38" t="s">
        <v>2149</v>
      </c>
      <c r="D967" s="38" t="s">
        <v>38</v>
      </c>
      <c r="E967" s="38" t="s">
        <v>51</v>
      </c>
      <c r="F967" s="38" t="s">
        <v>2150</v>
      </c>
      <c r="G967" s="39">
        <v>243</v>
      </c>
      <c r="H967" s="40">
        <v>0.60099999999999998</v>
      </c>
      <c r="I967" s="37">
        <v>127000</v>
      </c>
      <c r="J967" s="41" t="s">
        <v>920</v>
      </c>
      <c r="K967" s="42">
        <v>2021</v>
      </c>
    </row>
    <row r="968" spans="1:11" ht="15" customHeight="1" x14ac:dyDescent="0.3">
      <c r="A968" s="31">
        <v>963</v>
      </c>
      <c r="B968" s="32" t="s">
        <v>313</v>
      </c>
      <c r="C968" s="32" t="s">
        <v>2151</v>
      </c>
      <c r="D968" s="32" t="s">
        <v>36</v>
      </c>
      <c r="E968" s="32" t="s">
        <v>43</v>
      </c>
      <c r="F968" s="32" t="s">
        <v>2152</v>
      </c>
      <c r="G968" s="33">
        <v>2100</v>
      </c>
      <c r="H968" s="34">
        <v>4</v>
      </c>
      <c r="I968" s="31">
        <v>219260</v>
      </c>
      <c r="J968" s="35" t="s">
        <v>920</v>
      </c>
      <c r="K968" s="36">
        <v>2021</v>
      </c>
    </row>
    <row r="969" spans="1:11" ht="15" customHeight="1" x14ac:dyDescent="0.3">
      <c r="A969" s="37">
        <v>964</v>
      </c>
      <c r="B969" s="38" t="s">
        <v>313</v>
      </c>
      <c r="C969" s="38" t="s">
        <v>2153</v>
      </c>
      <c r="D969" s="38" t="s">
        <v>2154</v>
      </c>
      <c r="E969" s="38" t="s">
        <v>2155</v>
      </c>
      <c r="F969" s="38" t="s">
        <v>287</v>
      </c>
      <c r="G969" s="39">
        <v>2675</v>
      </c>
      <c r="H969" s="40">
        <v>2.1960000000000002</v>
      </c>
      <c r="I969" s="37">
        <v>191260</v>
      </c>
      <c r="J969" s="41" t="s">
        <v>920</v>
      </c>
      <c r="K969" s="42">
        <v>2021</v>
      </c>
    </row>
    <row r="970" spans="1:11" ht="15" customHeight="1" x14ac:dyDescent="0.3">
      <c r="A970" s="31">
        <v>965</v>
      </c>
      <c r="B970" s="32" t="s">
        <v>1790</v>
      </c>
      <c r="C970" s="32" t="s">
        <v>2156</v>
      </c>
      <c r="D970" s="32" t="s">
        <v>2157</v>
      </c>
      <c r="E970" s="32" t="s">
        <v>2158</v>
      </c>
      <c r="F970" s="32" t="s">
        <v>2159</v>
      </c>
      <c r="G970" s="33">
        <v>4071</v>
      </c>
      <c r="H970" s="34">
        <v>10</v>
      </c>
      <c r="I970" s="31">
        <v>377260</v>
      </c>
      <c r="J970" s="35" t="s">
        <v>920</v>
      </c>
      <c r="K970" s="36">
        <v>2021</v>
      </c>
    </row>
    <row r="971" spans="1:11" ht="15" customHeight="1" x14ac:dyDescent="0.3">
      <c r="A971" s="37">
        <v>966</v>
      </c>
      <c r="B971" s="38" t="s">
        <v>1790</v>
      </c>
      <c r="C971" s="38" t="s">
        <v>2160</v>
      </c>
      <c r="D971" s="38" t="s">
        <v>2161</v>
      </c>
      <c r="E971" s="38" t="s">
        <v>2162</v>
      </c>
      <c r="F971" s="38" t="s">
        <v>306</v>
      </c>
      <c r="G971" s="39">
        <v>322</v>
      </c>
      <c r="H971" s="40">
        <v>1.369</v>
      </c>
      <c r="I971" s="37">
        <v>137260</v>
      </c>
      <c r="J971" s="41" t="s">
        <v>920</v>
      </c>
      <c r="K971" s="42">
        <v>2021</v>
      </c>
    </row>
    <row r="972" spans="1:11" ht="15" customHeight="1" x14ac:dyDescent="0.3">
      <c r="A972" s="31">
        <v>967</v>
      </c>
      <c r="B972" s="32" t="s">
        <v>1790</v>
      </c>
      <c r="C972" s="32" t="s">
        <v>2163</v>
      </c>
      <c r="D972" s="32" t="s">
        <v>1516</v>
      </c>
      <c r="E972" s="32" t="s">
        <v>35</v>
      </c>
      <c r="F972" s="32" t="s">
        <v>486</v>
      </c>
      <c r="G972" s="33">
        <v>13635.9</v>
      </c>
      <c r="H972" s="34">
        <v>10.502000000000001</v>
      </c>
      <c r="I972" s="31">
        <v>377260</v>
      </c>
      <c r="J972" s="35" t="s">
        <v>920</v>
      </c>
      <c r="K972" s="36">
        <v>2021</v>
      </c>
    </row>
    <row r="973" spans="1:11" ht="15" customHeight="1" x14ac:dyDescent="0.3">
      <c r="A973" s="37">
        <v>968</v>
      </c>
      <c r="B973" s="38" t="s">
        <v>1790</v>
      </c>
      <c r="C973" s="38" t="s">
        <v>2164</v>
      </c>
      <c r="D973" s="38" t="s">
        <v>2165</v>
      </c>
      <c r="E973" s="38" t="s">
        <v>1771</v>
      </c>
      <c r="F973" s="38" t="s">
        <v>435</v>
      </c>
      <c r="G973" s="39">
        <v>1735</v>
      </c>
      <c r="H973" s="40">
        <v>8.1479999999999997</v>
      </c>
      <c r="I973" s="37">
        <v>323260</v>
      </c>
      <c r="J973" s="41" t="s">
        <v>920</v>
      </c>
      <c r="K973" s="42">
        <v>2021</v>
      </c>
    </row>
    <row r="974" spans="1:11" ht="15" customHeight="1" x14ac:dyDescent="0.3">
      <c r="A974" s="31">
        <v>969</v>
      </c>
      <c r="B974" s="32" t="s">
        <v>1790</v>
      </c>
      <c r="C974" s="32" t="s">
        <v>2166</v>
      </c>
      <c r="D974" s="32" t="s">
        <v>2167</v>
      </c>
      <c r="E974" s="32" t="s">
        <v>1975</v>
      </c>
      <c r="F974" s="32" t="s">
        <v>373</v>
      </c>
      <c r="G974" s="33">
        <v>5600</v>
      </c>
      <c r="H974" s="34">
        <v>3.4000000000000002E-2</v>
      </c>
      <c r="I974" s="31">
        <v>127000</v>
      </c>
      <c r="J974" s="35" t="s">
        <v>920</v>
      </c>
      <c r="K974" s="36">
        <v>2021</v>
      </c>
    </row>
    <row r="975" spans="1:11" ht="15" customHeight="1" x14ac:dyDescent="0.3">
      <c r="A975" s="37">
        <v>970</v>
      </c>
      <c r="B975" s="38" t="s">
        <v>1790</v>
      </c>
      <c r="C975" s="38" t="s">
        <v>2168</v>
      </c>
      <c r="D975" s="38" t="s">
        <v>2017</v>
      </c>
      <c r="E975" s="38" t="s">
        <v>49</v>
      </c>
      <c r="F975" s="38" t="s">
        <v>1044</v>
      </c>
      <c r="G975" s="39">
        <v>1480</v>
      </c>
      <c r="H975" s="40">
        <v>1.214</v>
      </c>
      <c r="I975" s="37">
        <v>134000</v>
      </c>
      <c r="J975" s="41" t="s">
        <v>920</v>
      </c>
      <c r="K975" s="42">
        <v>2021</v>
      </c>
    </row>
    <row r="976" spans="1:11" ht="15" customHeight="1" x14ac:dyDescent="0.3">
      <c r="A976" s="31">
        <v>971</v>
      </c>
      <c r="B976" s="32" t="s">
        <v>1790</v>
      </c>
      <c r="C976" s="32" t="s">
        <v>2169</v>
      </c>
      <c r="D976" s="32" t="s">
        <v>2170</v>
      </c>
      <c r="E976" s="32" t="s">
        <v>2171</v>
      </c>
      <c r="F976" s="32" t="s">
        <v>276</v>
      </c>
      <c r="G976" s="33">
        <v>181</v>
      </c>
      <c r="H976" s="34">
        <v>0.76800000000000002</v>
      </c>
      <c r="I976" s="31">
        <v>137260</v>
      </c>
      <c r="J976" s="35" t="s">
        <v>920</v>
      </c>
      <c r="K976" s="36">
        <v>2021</v>
      </c>
    </row>
    <row r="977" spans="1:11" ht="15" customHeight="1" x14ac:dyDescent="0.3">
      <c r="A977" s="37">
        <v>972</v>
      </c>
      <c r="B977" s="38" t="s">
        <v>313</v>
      </c>
      <c r="C977" s="38" t="s">
        <v>2172</v>
      </c>
      <c r="D977" s="38" t="s">
        <v>36</v>
      </c>
      <c r="E977" s="38" t="s">
        <v>43</v>
      </c>
      <c r="F977" s="38" t="s">
        <v>2173</v>
      </c>
      <c r="G977" s="39">
        <v>371.4</v>
      </c>
      <c r="H977" s="40">
        <v>4</v>
      </c>
      <c r="I977" s="37">
        <v>219260</v>
      </c>
      <c r="J977" s="41" t="s">
        <v>1006</v>
      </c>
      <c r="K977" s="42">
        <v>2021</v>
      </c>
    </row>
    <row r="978" spans="1:11" ht="15" customHeight="1" x14ac:dyDescent="0.3">
      <c r="A978" s="31">
        <v>973</v>
      </c>
      <c r="B978" s="32" t="s">
        <v>313</v>
      </c>
      <c r="C978" s="32" t="s">
        <v>2174</v>
      </c>
      <c r="D978" s="32" t="s">
        <v>54</v>
      </c>
      <c r="E978" s="32" t="s">
        <v>35</v>
      </c>
      <c r="F978" s="32" t="s">
        <v>276</v>
      </c>
      <c r="G978" s="33">
        <v>81</v>
      </c>
      <c r="H978" s="34">
        <v>0.221</v>
      </c>
      <c r="I978" s="31">
        <v>137260</v>
      </c>
      <c r="J978" s="35" t="s">
        <v>1006</v>
      </c>
      <c r="K978" s="36">
        <v>2021</v>
      </c>
    </row>
    <row r="979" spans="1:11" ht="15" customHeight="1" x14ac:dyDescent="0.3">
      <c r="A979" s="37">
        <v>974</v>
      </c>
      <c r="B979" s="38" t="s">
        <v>313</v>
      </c>
      <c r="C979" s="38" t="s">
        <v>2175</v>
      </c>
      <c r="D979" s="38" t="s">
        <v>826</v>
      </c>
      <c r="E979" s="38" t="s">
        <v>35</v>
      </c>
      <c r="F979" s="38" t="s">
        <v>276</v>
      </c>
      <c r="G979" s="39">
        <v>235</v>
      </c>
      <c r="H979" s="40">
        <v>0.29699999999999999</v>
      </c>
      <c r="I979" s="37">
        <v>137260</v>
      </c>
      <c r="J979" s="41" t="s">
        <v>1006</v>
      </c>
      <c r="K979" s="42">
        <v>2021</v>
      </c>
    </row>
    <row r="980" spans="1:11" ht="15" customHeight="1" x14ac:dyDescent="0.3">
      <c r="A980" s="31">
        <v>975</v>
      </c>
      <c r="B980" s="32" t="s">
        <v>313</v>
      </c>
      <c r="C980" s="32" t="s">
        <v>2176</v>
      </c>
      <c r="D980" s="32" t="s">
        <v>2177</v>
      </c>
      <c r="E980" s="32" t="s">
        <v>2178</v>
      </c>
      <c r="F980" s="32" t="s">
        <v>1095</v>
      </c>
      <c r="G980" s="33">
        <v>898</v>
      </c>
      <c r="H980" s="34">
        <v>5.2759999999999998</v>
      </c>
      <c r="I980" s="31">
        <v>247260</v>
      </c>
      <c r="J980" s="35" t="s">
        <v>1006</v>
      </c>
      <c r="K980" s="36">
        <v>2021</v>
      </c>
    </row>
    <row r="981" spans="1:11" ht="15" customHeight="1" x14ac:dyDescent="0.3">
      <c r="A981" s="37">
        <v>976</v>
      </c>
      <c r="B981" s="38" t="s">
        <v>313</v>
      </c>
      <c r="C981" s="38" t="s">
        <v>2179</v>
      </c>
      <c r="D981" s="38" t="s">
        <v>1913</v>
      </c>
      <c r="E981" s="38" t="s">
        <v>35</v>
      </c>
      <c r="F981" s="38" t="s">
        <v>1044</v>
      </c>
      <c r="G981" s="39">
        <v>2801</v>
      </c>
      <c r="H981" s="40">
        <v>7</v>
      </c>
      <c r="I981" s="37">
        <v>303260</v>
      </c>
      <c r="J981" s="41" t="s">
        <v>1006</v>
      </c>
      <c r="K981" s="42">
        <v>2021</v>
      </c>
    </row>
    <row r="982" spans="1:11" ht="15" customHeight="1" x14ac:dyDescent="0.3">
      <c r="A982" s="31">
        <v>977</v>
      </c>
      <c r="B982" s="32" t="s">
        <v>313</v>
      </c>
      <c r="C982" s="32" t="s">
        <v>2180</v>
      </c>
      <c r="D982" s="32" t="s">
        <v>1913</v>
      </c>
      <c r="E982" s="32" t="s">
        <v>35</v>
      </c>
      <c r="F982" s="32" t="s">
        <v>1044</v>
      </c>
      <c r="G982" s="33">
        <v>1699</v>
      </c>
      <c r="H982" s="34">
        <v>7</v>
      </c>
      <c r="I982" s="31">
        <v>303260</v>
      </c>
      <c r="J982" s="35" t="s">
        <v>1006</v>
      </c>
      <c r="K982" s="36">
        <v>2021</v>
      </c>
    </row>
    <row r="983" spans="1:11" ht="15" customHeight="1" x14ac:dyDescent="0.3">
      <c r="A983" s="37">
        <v>978</v>
      </c>
      <c r="B983" s="38" t="s">
        <v>313</v>
      </c>
      <c r="C983" s="38" t="s">
        <v>2181</v>
      </c>
      <c r="D983" s="38" t="s">
        <v>38</v>
      </c>
      <c r="E983" s="38" t="s">
        <v>51</v>
      </c>
      <c r="F983" s="38" t="s">
        <v>306</v>
      </c>
      <c r="G983" s="39">
        <v>468</v>
      </c>
      <c r="H983" s="40">
        <v>2</v>
      </c>
      <c r="I983" s="37">
        <v>163260</v>
      </c>
      <c r="J983" s="41" t="s">
        <v>1006</v>
      </c>
      <c r="K983" s="42">
        <v>2021</v>
      </c>
    </row>
    <row r="984" spans="1:11" ht="15" customHeight="1" x14ac:dyDescent="0.3">
      <c r="A984" s="31">
        <v>979</v>
      </c>
      <c r="B984" s="32" t="s">
        <v>2182</v>
      </c>
      <c r="C984" s="32" t="s">
        <v>2183</v>
      </c>
      <c r="D984" s="32" t="s">
        <v>1193</v>
      </c>
      <c r="E984" s="32" t="s">
        <v>2184</v>
      </c>
      <c r="F984" s="32" t="s">
        <v>316</v>
      </c>
      <c r="G984" s="33">
        <v>228</v>
      </c>
      <c r="H984" s="34">
        <v>2</v>
      </c>
      <c r="I984" s="31">
        <v>163260</v>
      </c>
      <c r="J984" s="35" t="s">
        <v>1006</v>
      </c>
      <c r="K984" s="36">
        <v>2021</v>
      </c>
    </row>
    <row r="985" spans="1:11" ht="15" customHeight="1" x14ac:dyDescent="0.3">
      <c r="A985" s="37">
        <v>980</v>
      </c>
      <c r="B985" s="38" t="s">
        <v>2182</v>
      </c>
      <c r="C985" s="38" t="s">
        <v>2185</v>
      </c>
      <c r="D985" s="38" t="s">
        <v>2186</v>
      </c>
      <c r="E985" s="38" t="s">
        <v>2187</v>
      </c>
      <c r="F985" s="38" t="s">
        <v>287</v>
      </c>
      <c r="G985" s="39">
        <v>2040</v>
      </c>
      <c r="H985" s="40">
        <v>0.81599999999999995</v>
      </c>
      <c r="I985" s="37">
        <v>163260</v>
      </c>
      <c r="J985" s="41" t="s">
        <v>1006</v>
      </c>
      <c r="K985" s="42">
        <v>2021</v>
      </c>
    </row>
    <row r="986" spans="1:11" ht="15" customHeight="1" x14ac:dyDescent="0.3">
      <c r="A986" s="31">
        <v>981</v>
      </c>
      <c r="B986" s="32" t="s">
        <v>2182</v>
      </c>
      <c r="C986" s="32" t="s">
        <v>2188</v>
      </c>
      <c r="D986" s="32" t="s">
        <v>57</v>
      </c>
      <c r="E986" s="32" t="s">
        <v>57</v>
      </c>
      <c r="F986" s="32" t="s">
        <v>698</v>
      </c>
      <c r="G986" s="33">
        <v>689</v>
      </c>
      <c r="H986" s="34">
        <v>4</v>
      </c>
      <c r="I986" s="31">
        <v>209000</v>
      </c>
      <c r="J986" s="35" t="s">
        <v>1006</v>
      </c>
      <c r="K986" s="36">
        <v>2021</v>
      </c>
    </row>
    <row r="987" spans="1:11" ht="15" customHeight="1" x14ac:dyDescent="0.3">
      <c r="A987" s="37">
        <v>982</v>
      </c>
      <c r="B987" s="38" t="s">
        <v>2182</v>
      </c>
      <c r="C987" s="38" t="s">
        <v>2189</v>
      </c>
      <c r="D987" s="38" t="s">
        <v>274</v>
      </c>
      <c r="E987" s="38" t="s">
        <v>278</v>
      </c>
      <c r="F987" s="38" t="s">
        <v>435</v>
      </c>
      <c r="G987" s="39">
        <v>1191</v>
      </c>
      <c r="H987" s="40">
        <v>7</v>
      </c>
      <c r="I987" s="37">
        <v>303260</v>
      </c>
      <c r="J987" s="41" t="s">
        <v>1006</v>
      </c>
      <c r="K987" s="42">
        <v>2021</v>
      </c>
    </row>
    <row r="988" spans="1:11" ht="15" customHeight="1" x14ac:dyDescent="0.3">
      <c r="A988" s="31">
        <v>983</v>
      </c>
      <c r="B988" s="32" t="s">
        <v>2182</v>
      </c>
      <c r="C988" s="32" t="s">
        <v>2190</v>
      </c>
      <c r="D988" s="32" t="s">
        <v>1642</v>
      </c>
      <c r="E988" s="32" t="s">
        <v>61</v>
      </c>
      <c r="F988" s="32" t="s">
        <v>435</v>
      </c>
      <c r="G988" s="33">
        <v>3746.24</v>
      </c>
      <c r="H988" s="34">
        <v>5</v>
      </c>
      <c r="I988" s="31">
        <v>245000</v>
      </c>
      <c r="J988" s="35" t="s">
        <v>1006</v>
      </c>
      <c r="K988" s="36">
        <v>2021</v>
      </c>
    </row>
    <row r="989" spans="1:11" ht="15" customHeight="1" x14ac:dyDescent="0.3">
      <c r="A989" s="37">
        <v>984</v>
      </c>
      <c r="B989" s="38" t="s">
        <v>2182</v>
      </c>
      <c r="C989" s="38" t="s">
        <v>2191</v>
      </c>
      <c r="D989" s="38" t="s">
        <v>2192</v>
      </c>
      <c r="E989" s="38" t="s">
        <v>868</v>
      </c>
      <c r="F989" s="38" t="s">
        <v>1560</v>
      </c>
      <c r="G989" s="39">
        <v>1086.21</v>
      </c>
      <c r="H989" s="40">
        <v>4</v>
      </c>
      <c r="I989" s="37">
        <v>245000</v>
      </c>
      <c r="J989" s="41" t="s">
        <v>1006</v>
      </c>
      <c r="K989" s="42">
        <v>2021</v>
      </c>
    </row>
    <row r="990" spans="1:11" ht="15" customHeight="1" x14ac:dyDescent="0.3">
      <c r="A990" s="31">
        <v>985</v>
      </c>
      <c r="B990" s="32" t="s">
        <v>2182</v>
      </c>
      <c r="C990" s="32" t="s">
        <v>2193</v>
      </c>
      <c r="D990" s="32" t="s">
        <v>2194</v>
      </c>
      <c r="E990" s="32" t="s">
        <v>39</v>
      </c>
      <c r="F990" s="32" t="s">
        <v>373</v>
      </c>
      <c r="G990" s="33">
        <v>563</v>
      </c>
      <c r="H990" s="34">
        <v>0.53900000000000003</v>
      </c>
      <c r="I990" s="31">
        <v>137260</v>
      </c>
      <c r="J990" s="35" t="s">
        <v>1006</v>
      </c>
      <c r="K990" s="36">
        <v>2021</v>
      </c>
    </row>
    <row r="991" spans="1:11" ht="15" customHeight="1" x14ac:dyDescent="0.3">
      <c r="A991" s="37">
        <v>986</v>
      </c>
      <c r="B991" s="38" t="s">
        <v>2182</v>
      </c>
      <c r="C991" s="38" t="s">
        <v>2195</v>
      </c>
      <c r="D991" s="38" t="s">
        <v>1386</v>
      </c>
      <c r="E991" s="38" t="s">
        <v>1746</v>
      </c>
      <c r="F991" s="38" t="s">
        <v>435</v>
      </c>
      <c r="G991" s="39">
        <v>3640</v>
      </c>
      <c r="H991" s="40">
        <v>8</v>
      </c>
      <c r="I991" s="37">
        <v>321000</v>
      </c>
      <c r="J991" s="41" t="s">
        <v>1006</v>
      </c>
      <c r="K991" s="42">
        <v>2021</v>
      </c>
    </row>
    <row r="992" spans="1:11" ht="15" customHeight="1" x14ac:dyDescent="0.3">
      <c r="A992" s="31">
        <v>987</v>
      </c>
      <c r="B992" s="32" t="s">
        <v>2182</v>
      </c>
      <c r="C992" s="32" t="s">
        <v>2196</v>
      </c>
      <c r="D992" s="32" t="s">
        <v>2197</v>
      </c>
      <c r="E992" s="32" t="s">
        <v>2198</v>
      </c>
      <c r="F992" s="32" t="s">
        <v>316</v>
      </c>
      <c r="G992" s="33">
        <v>580</v>
      </c>
      <c r="H992" s="34">
        <v>5</v>
      </c>
      <c r="I992" s="31">
        <v>247260</v>
      </c>
      <c r="J992" s="35" t="s">
        <v>1006</v>
      </c>
      <c r="K992" s="36">
        <v>2021</v>
      </c>
    </row>
    <row r="993" spans="1:11" ht="15" customHeight="1" x14ac:dyDescent="0.3">
      <c r="A993" s="37">
        <v>988</v>
      </c>
      <c r="B993" s="38" t="s">
        <v>2182</v>
      </c>
      <c r="C993" s="38" t="s">
        <v>2199</v>
      </c>
      <c r="D993" s="38" t="s">
        <v>619</v>
      </c>
      <c r="E993" s="38" t="s">
        <v>620</v>
      </c>
      <c r="F993" s="38" t="s">
        <v>289</v>
      </c>
      <c r="G993" s="39">
        <v>3422.6</v>
      </c>
      <c r="H993" s="40">
        <v>5</v>
      </c>
      <c r="I993" s="37">
        <v>247260</v>
      </c>
      <c r="J993" s="41" t="s">
        <v>1006</v>
      </c>
      <c r="K993" s="42">
        <v>2021</v>
      </c>
    </row>
    <row r="994" spans="1:11" ht="15" customHeight="1" x14ac:dyDescent="0.3">
      <c r="A994" s="31">
        <v>989</v>
      </c>
      <c r="B994" s="32" t="s">
        <v>2182</v>
      </c>
      <c r="C994" s="32" t="s">
        <v>2200</v>
      </c>
      <c r="D994" s="32" t="s">
        <v>2201</v>
      </c>
      <c r="E994" s="32" t="s">
        <v>2202</v>
      </c>
      <c r="F994" s="32" t="s">
        <v>569</v>
      </c>
      <c r="G994" s="33">
        <v>850</v>
      </c>
      <c r="H994" s="34">
        <v>3</v>
      </c>
      <c r="I994" s="31">
        <v>191260</v>
      </c>
      <c r="J994" s="35" t="s">
        <v>1006</v>
      </c>
      <c r="K994" s="36">
        <v>2021</v>
      </c>
    </row>
    <row r="995" spans="1:11" ht="15" customHeight="1" x14ac:dyDescent="0.3">
      <c r="A995" s="37">
        <v>990</v>
      </c>
      <c r="B995" s="38" t="s">
        <v>2182</v>
      </c>
      <c r="C995" s="38" t="s">
        <v>2203</v>
      </c>
      <c r="D995" s="38" t="s">
        <v>38</v>
      </c>
      <c r="E995" s="38" t="s">
        <v>51</v>
      </c>
      <c r="F995" s="38" t="s">
        <v>276</v>
      </c>
      <c r="G995" s="39">
        <v>58</v>
      </c>
      <c r="H995" s="40">
        <v>0.47399999999999998</v>
      </c>
      <c r="I995" s="37">
        <v>135000</v>
      </c>
      <c r="J995" s="41" t="s">
        <v>1006</v>
      </c>
      <c r="K995" s="42">
        <v>2021</v>
      </c>
    </row>
    <row r="996" spans="1:11" ht="15" customHeight="1" x14ac:dyDescent="0.3">
      <c r="A996" s="31">
        <v>991</v>
      </c>
      <c r="B996" s="32" t="s">
        <v>2182</v>
      </c>
      <c r="C996" s="32" t="s">
        <v>2204</v>
      </c>
      <c r="D996" s="32" t="s">
        <v>38</v>
      </c>
      <c r="E996" s="32" t="s">
        <v>51</v>
      </c>
      <c r="F996" s="32" t="s">
        <v>406</v>
      </c>
      <c r="G996" s="33">
        <v>1600</v>
      </c>
      <c r="H996" s="34">
        <v>2</v>
      </c>
      <c r="I996" s="31">
        <v>163260</v>
      </c>
      <c r="J996" s="35" t="s">
        <v>1006</v>
      </c>
      <c r="K996" s="36">
        <v>2021</v>
      </c>
    </row>
    <row r="997" spans="1:11" ht="15" customHeight="1" x14ac:dyDescent="0.3">
      <c r="A997" s="37">
        <v>992</v>
      </c>
      <c r="B997" s="38" t="s">
        <v>272</v>
      </c>
      <c r="C997" s="38" t="s">
        <v>2205</v>
      </c>
      <c r="D997" s="38" t="s">
        <v>1983</v>
      </c>
      <c r="E997" s="38" t="s">
        <v>41</v>
      </c>
      <c r="F997" s="38" t="s">
        <v>276</v>
      </c>
      <c r="G997" s="39">
        <v>512</v>
      </c>
      <c r="H997" s="40">
        <v>0.96</v>
      </c>
      <c r="I997" s="37">
        <v>137260</v>
      </c>
      <c r="J997" s="41" t="s">
        <v>1006</v>
      </c>
      <c r="K997" s="42">
        <v>2021</v>
      </c>
    </row>
    <row r="998" spans="1:11" ht="15" customHeight="1" x14ac:dyDescent="0.3">
      <c r="A998" s="31">
        <v>993</v>
      </c>
      <c r="B998" s="32" t="s">
        <v>272</v>
      </c>
      <c r="C998" s="32" t="s">
        <v>2206</v>
      </c>
      <c r="D998" s="32" t="s">
        <v>2207</v>
      </c>
      <c r="E998" s="32" t="s">
        <v>940</v>
      </c>
      <c r="F998" s="32" t="s">
        <v>517</v>
      </c>
      <c r="G998" s="33">
        <v>5911</v>
      </c>
      <c r="H998" s="34">
        <v>15.840999999999999</v>
      </c>
      <c r="I998" s="31">
        <v>614260</v>
      </c>
      <c r="J998" s="35" t="s">
        <v>1006</v>
      </c>
      <c r="K998" s="36">
        <v>2021</v>
      </c>
    </row>
    <row r="999" spans="1:11" ht="15" customHeight="1" x14ac:dyDescent="0.3">
      <c r="A999" s="37">
        <v>994</v>
      </c>
      <c r="B999" s="38" t="s">
        <v>272</v>
      </c>
      <c r="C999" s="38" t="s">
        <v>2208</v>
      </c>
      <c r="D999" s="38" t="s">
        <v>44</v>
      </c>
      <c r="E999" s="38" t="s">
        <v>35</v>
      </c>
      <c r="F999" s="38" t="s">
        <v>435</v>
      </c>
      <c r="G999" s="39">
        <v>3420</v>
      </c>
      <c r="H999" s="40">
        <v>5</v>
      </c>
      <c r="I999" s="37">
        <v>247260</v>
      </c>
      <c r="J999" s="41" t="s">
        <v>1006</v>
      </c>
      <c r="K999" s="42">
        <v>2021</v>
      </c>
    </row>
    <row r="1000" spans="1:11" ht="15" customHeight="1" x14ac:dyDescent="0.3">
      <c r="A1000" s="31">
        <v>995</v>
      </c>
      <c r="B1000" s="32" t="s">
        <v>272</v>
      </c>
      <c r="C1000" s="32" t="s">
        <v>2209</v>
      </c>
      <c r="D1000" s="32" t="s">
        <v>60</v>
      </c>
      <c r="E1000" s="32" t="s">
        <v>37</v>
      </c>
      <c r="F1000" s="32" t="s">
        <v>276</v>
      </c>
      <c r="G1000" s="33">
        <v>1300</v>
      </c>
      <c r="H1000" s="34">
        <v>2</v>
      </c>
      <c r="I1000" s="31">
        <v>137260</v>
      </c>
      <c r="J1000" s="35" t="s">
        <v>1006</v>
      </c>
      <c r="K1000" s="36">
        <v>2021</v>
      </c>
    </row>
    <row r="1001" spans="1:11" ht="15" customHeight="1" x14ac:dyDescent="0.3">
      <c r="A1001" s="37">
        <v>996</v>
      </c>
      <c r="B1001" s="38" t="s">
        <v>272</v>
      </c>
      <c r="C1001" s="38" t="s">
        <v>2210</v>
      </c>
      <c r="D1001" s="38" t="s">
        <v>2107</v>
      </c>
      <c r="E1001" s="38" t="s">
        <v>394</v>
      </c>
      <c r="F1001" s="38" t="s">
        <v>316</v>
      </c>
      <c r="G1001" s="39">
        <v>504</v>
      </c>
      <c r="H1001" s="40">
        <v>6.0709999999999997</v>
      </c>
      <c r="I1001" s="37">
        <v>275260</v>
      </c>
      <c r="J1001" s="41" t="s">
        <v>1006</v>
      </c>
      <c r="K1001" s="42">
        <v>2021</v>
      </c>
    </row>
    <row r="1002" spans="1:11" ht="15" customHeight="1" x14ac:dyDescent="0.3">
      <c r="A1002" s="31">
        <v>997</v>
      </c>
      <c r="B1002" s="32" t="s">
        <v>272</v>
      </c>
      <c r="C1002" s="32" t="s">
        <v>2211</v>
      </c>
      <c r="D1002" s="32" t="s">
        <v>1949</v>
      </c>
      <c r="E1002" s="32" t="s">
        <v>2212</v>
      </c>
      <c r="F1002" s="32" t="s">
        <v>287</v>
      </c>
      <c r="G1002" s="33">
        <v>786</v>
      </c>
      <c r="H1002" s="34">
        <v>2.181</v>
      </c>
      <c r="I1002" s="31">
        <v>163260</v>
      </c>
      <c r="J1002" s="35" t="s">
        <v>1006</v>
      </c>
      <c r="K1002" s="36">
        <v>2021</v>
      </c>
    </row>
    <row r="1003" spans="1:11" ht="15" customHeight="1" x14ac:dyDescent="0.3">
      <c r="A1003" s="37">
        <v>998</v>
      </c>
      <c r="B1003" s="38" t="s">
        <v>272</v>
      </c>
      <c r="C1003" s="38" t="s">
        <v>2213</v>
      </c>
      <c r="D1003" s="38" t="s">
        <v>2214</v>
      </c>
      <c r="E1003" s="38" t="s">
        <v>2215</v>
      </c>
      <c r="F1003" s="38" t="s">
        <v>373</v>
      </c>
      <c r="G1003" s="39">
        <v>1195</v>
      </c>
      <c r="H1003" s="40">
        <v>10</v>
      </c>
      <c r="I1003" s="37">
        <v>377260</v>
      </c>
      <c r="J1003" s="41" t="s">
        <v>1006</v>
      </c>
      <c r="K1003" s="42">
        <v>2021</v>
      </c>
    </row>
    <row r="1004" spans="1:11" ht="15" customHeight="1" x14ac:dyDescent="0.3">
      <c r="A1004" s="31">
        <v>999</v>
      </c>
      <c r="B1004" s="32" t="s">
        <v>272</v>
      </c>
      <c r="C1004" s="32" t="s">
        <v>2216</v>
      </c>
      <c r="D1004" s="32" t="s">
        <v>2217</v>
      </c>
      <c r="E1004" s="32" t="s">
        <v>2218</v>
      </c>
      <c r="F1004" s="32" t="s">
        <v>2219</v>
      </c>
      <c r="G1004" s="33">
        <v>222</v>
      </c>
      <c r="H1004" s="34">
        <v>0.871</v>
      </c>
      <c r="I1004" s="31">
        <v>137260</v>
      </c>
      <c r="J1004" s="35" t="s">
        <v>1006</v>
      </c>
      <c r="K1004" s="36">
        <v>2021</v>
      </c>
    </row>
    <row r="1005" spans="1:11" ht="15" customHeight="1" x14ac:dyDescent="0.3">
      <c r="A1005" s="37">
        <v>1000</v>
      </c>
      <c r="B1005" s="38" t="s">
        <v>272</v>
      </c>
      <c r="C1005" s="38" t="s">
        <v>2220</v>
      </c>
      <c r="D1005" s="38" t="s">
        <v>1745</v>
      </c>
      <c r="E1005" s="38" t="s">
        <v>1746</v>
      </c>
      <c r="F1005" s="38" t="s">
        <v>406</v>
      </c>
      <c r="G1005" s="39">
        <v>1136</v>
      </c>
      <c r="H1005" s="40">
        <v>1.1419999999999999</v>
      </c>
      <c r="I1005" s="37">
        <v>127000</v>
      </c>
      <c r="J1005" s="41" t="s">
        <v>1006</v>
      </c>
      <c r="K1005" s="42">
        <v>2021</v>
      </c>
    </row>
    <row r="1006" spans="1:11" ht="15" customHeight="1" x14ac:dyDescent="0.3">
      <c r="A1006" s="31">
        <v>1001</v>
      </c>
      <c r="B1006" s="32" t="s">
        <v>272</v>
      </c>
      <c r="C1006" s="32" t="s">
        <v>2221</v>
      </c>
      <c r="D1006" s="32" t="s">
        <v>2222</v>
      </c>
      <c r="E1006" s="32" t="s">
        <v>394</v>
      </c>
      <c r="F1006" s="32" t="s">
        <v>406</v>
      </c>
      <c r="G1006" s="33">
        <v>172</v>
      </c>
      <c r="H1006" s="34">
        <v>2.2250000000000001</v>
      </c>
      <c r="I1006" s="31">
        <v>163260</v>
      </c>
      <c r="J1006" s="35" t="s">
        <v>1006</v>
      </c>
      <c r="K1006" s="36">
        <v>2021</v>
      </c>
    </row>
    <row r="1007" spans="1:11" ht="15" customHeight="1" x14ac:dyDescent="0.3">
      <c r="A1007" s="37">
        <v>1002</v>
      </c>
      <c r="B1007" s="38" t="s">
        <v>313</v>
      </c>
      <c r="C1007" s="38" t="s">
        <v>2223</v>
      </c>
      <c r="D1007" s="38" t="s">
        <v>963</v>
      </c>
      <c r="E1007" s="38" t="s">
        <v>928</v>
      </c>
      <c r="F1007" s="38" t="s">
        <v>2224</v>
      </c>
      <c r="G1007" s="39">
        <v>82</v>
      </c>
      <c r="H1007" s="40">
        <v>1.2829999999999999</v>
      </c>
      <c r="I1007" s="37">
        <v>137260</v>
      </c>
      <c r="J1007" s="41" t="s">
        <v>1132</v>
      </c>
      <c r="K1007" s="42">
        <v>2021</v>
      </c>
    </row>
    <row r="1008" spans="1:11" ht="15" customHeight="1" x14ac:dyDescent="0.3">
      <c r="A1008" s="31">
        <v>1003</v>
      </c>
      <c r="B1008" s="32" t="s">
        <v>313</v>
      </c>
      <c r="C1008" s="32" t="s">
        <v>2225</v>
      </c>
      <c r="D1008" s="32" t="s">
        <v>60</v>
      </c>
      <c r="E1008" s="32" t="s">
        <v>35</v>
      </c>
      <c r="F1008" s="32" t="s">
        <v>435</v>
      </c>
      <c r="G1008" s="33">
        <v>540</v>
      </c>
      <c r="H1008" s="34">
        <v>2.3919999999999999</v>
      </c>
      <c r="I1008" s="31">
        <v>163260</v>
      </c>
      <c r="J1008" s="35" t="s">
        <v>1132</v>
      </c>
      <c r="K1008" s="36">
        <v>2021</v>
      </c>
    </row>
    <row r="1009" spans="1:11" ht="15" customHeight="1" x14ac:dyDescent="0.3">
      <c r="A1009" s="37">
        <v>1004</v>
      </c>
      <c r="B1009" s="38" t="s">
        <v>313</v>
      </c>
      <c r="C1009" s="38" t="s">
        <v>2226</v>
      </c>
      <c r="D1009" s="38" t="s">
        <v>848</v>
      </c>
      <c r="E1009" s="38" t="s">
        <v>477</v>
      </c>
      <c r="F1009" s="38" t="s">
        <v>1728</v>
      </c>
      <c r="G1009" s="39">
        <v>1140</v>
      </c>
      <c r="H1009" s="40">
        <v>6</v>
      </c>
      <c r="I1009" s="37">
        <v>275260</v>
      </c>
      <c r="J1009" s="41" t="s">
        <v>1132</v>
      </c>
      <c r="K1009" s="42">
        <v>2021</v>
      </c>
    </row>
    <row r="1010" spans="1:11" ht="15" customHeight="1" x14ac:dyDescent="0.3">
      <c r="A1010" s="31">
        <v>1005</v>
      </c>
      <c r="B1010" s="32" t="s">
        <v>313</v>
      </c>
      <c r="C1010" s="32" t="s">
        <v>2227</v>
      </c>
      <c r="D1010" s="32" t="s">
        <v>1702</v>
      </c>
      <c r="E1010" s="32" t="s">
        <v>57</v>
      </c>
      <c r="F1010" s="32" t="s">
        <v>698</v>
      </c>
      <c r="G1010" s="33">
        <v>589.67600000000004</v>
      </c>
      <c r="H1010" s="34">
        <v>4</v>
      </c>
      <c r="I1010" s="31">
        <v>209000</v>
      </c>
      <c r="J1010" s="35" t="s">
        <v>1132</v>
      </c>
      <c r="K1010" s="36">
        <v>2021</v>
      </c>
    </row>
    <row r="1011" spans="1:11" ht="15" customHeight="1" x14ac:dyDescent="0.3">
      <c r="A1011" s="37">
        <v>1006</v>
      </c>
      <c r="B1011" s="38" t="s">
        <v>313</v>
      </c>
      <c r="C1011" s="38" t="s">
        <v>2228</v>
      </c>
      <c r="D1011" s="38" t="s">
        <v>2229</v>
      </c>
      <c r="E1011" s="38" t="s">
        <v>2230</v>
      </c>
      <c r="F1011" s="38" t="s">
        <v>276</v>
      </c>
      <c r="G1011" s="39">
        <v>76</v>
      </c>
      <c r="H1011" s="40">
        <v>0.64300000000000002</v>
      </c>
      <c r="I1011" s="37">
        <v>127000</v>
      </c>
      <c r="J1011" s="41" t="s">
        <v>1132</v>
      </c>
      <c r="K1011" s="42">
        <v>2021</v>
      </c>
    </row>
    <row r="1012" spans="1:11" ht="15" customHeight="1" x14ac:dyDescent="0.3">
      <c r="A1012" s="31">
        <v>1007</v>
      </c>
      <c r="B1012" s="32" t="s">
        <v>313</v>
      </c>
      <c r="C1012" s="32" t="s">
        <v>2231</v>
      </c>
      <c r="D1012" s="32" t="s">
        <v>1632</v>
      </c>
      <c r="E1012" s="32" t="s">
        <v>49</v>
      </c>
      <c r="F1012" s="32" t="s">
        <v>316</v>
      </c>
      <c r="G1012" s="33">
        <v>620</v>
      </c>
      <c r="H1012" s="34">
        <v>3</v>
      </c>
      <c r="I1012" s="31">
        <v>191260</v>
      </c>
      <c r="J1012" s="35" t="s">
        <v>1132</v>
      </c>
      <c r="K1012" s="36">
        <v>2021</v>
      </c>
    </row>
    <row r="1013" spans="1:11" ht="15" customHeight="1" x14ac:dyDescent="0.3">
      <c r="A1013" s="37">
        <v>1008</v>
      </c>
      <c r="B1013" s="38" t="s">
        <v>313</v>
      </c>
      <c r="C1013" s="38" t="s">
        <v>2232</v>
      </c>
      <c r="D1013" s="38" t="s">
        <v>48</v>
      </c>
      <c r="E1013" s="38" t="s">
        <v>35</v>
      </c>
      <c r="F1013" s="38" t="s">
        <v>395</v>
      </c>
      <c r="G1013" s="39">
        <v>3563</v>
      </c>
      <c r="H1013" s="40">
        <v>13.95</v>
      </c>
      <c r="I1013" s="37">
        <v>377260</v>
      </c>
      <c r="J1013" s="41" t="s">
        <v>1132</v>
      </c>
      <c r="K1013" s="42">
        <v>2021</v>
      </c>
    </row>
    <row r="1014" spans="1:11" ht="15" customHeight="1" x14ac:dyDescent="0.3">
      <c r="A1014" s="31">
        <v>1009</v>
      </c>
      <c r="B1014" s="32" t="s">
        <v>313</v>
      </c>
      <c r="C1014" s="32" t="s">
        <v>2233</v>
      </c>
      <c r="D1014" s="32" t="s">
        <v>48</v>
      </c>
      <c r="E1014" s="32" t="s">
        <v>76</v>
      </c>
      <c r="F1014" s="32" t="s">
        <v>276</v>
      </c>
      <c r="G1014" s="33">
        <v>66</v>
      </c>
      <c r="H1014" s="34">
        <v>0.129</v>
      </c>
      <c r="I1014" s="31">
        <v>137260</v>
      </c>
      <c r="J1014" s="35" t="s">
        <v>1132</v>
      </c>
      <c r="K1014" s="36">
        <v>2021</v>
      </c>
    </row>
    <row r="1015" spans="1:11" ht="15" customHeight="1" x14ac:dyDescent="0.3">
      <c r="A1015" s="37">
        <v>1010</v>
      </c>
      <c r="B1015" s="38" t="s">
        <v>313</v>
      </c>
      <c r="C1015" s="38" t="s">
        <v>2234</v>
      </c>
      <c r="D1015" s="38" t="s">
        <v>1528</v>
      </c>
      <c r="E1015" s="38" t="s">
        <v>35</v>
      </c>
      <c r="F1015" s="38" t="s">
        <v>312</v>
      </c>
      <c r="G1015" s="39">
        <v>1700</v>
      </c>
      <c r="H1015" s="40">
        <v>7</v>
      </c>
      <c r="I1015" s="37">
        <v>303260</v>
      </c>
      <c r="J1015" s="41" t="s">
        <v>1132</v>
      </c>
      <c r="K1015" s="42">
        <v>2021</v>
      </c>
    </row>
    <row r="1016" spans="1:11" ht="15" customHeight="1" x14ac:dyDescent="0.3">
      <c r="A1016" s="31">
        <v>1011</v>
      </c>
      <c r="B1016" s="32" t="s">
        <v>313</v>
      </c>
      <c r="C1016" s="32" t="s">
        <v>2235</v>
      </c>
      <c r="D1016" s="32" t="s">
        <v>505</v>
      </c>
      <c r="E1016" s="32" t="s">
        <v>43</v>
      </c>
      <c r="F1016" s="32" t="s">
        <v>312</v>
      </c>
      <c r="G1016" s="33">
        <v>2290</v>
      </c>
      <c r="H1016" s="34">
        <v>1.202</v>
      </c>
      <c r="I1016" s="31">
        <v>163260</v>
      </c>
      <c r="J1016" s="35" t="s">
        <v>1132</v>
      </c>
      <c r="K1016" s="36">
        <v>2021</v>
      </c>
    </row>
    <row r="1017" spans="1:11" ht="15" customHeight="1" x14ac:dyDescent="0.3">
      <c r="A1017" s="37">
        <v>1012</v>
      </c>
      <c r="B1017" s="38" t="s">
        <v>313</v>
      </c>
      <c r="C1017" s="38" t="s">
        <v>2236</v>
      </c>
      <c r="D1017" s="38" t="s">
        <v>1291</v>
      </c>
      <c r="E1017" s="38" t="s">
        <v>1015</v>
      </c>
      <c r="F1017" s="38" t="s">
        <v>316</v>
      </c>
      <c r="G1017" s="39">
        <v>2250</v>
      </c>
      <c r="H1017" s="40">
        <v>3</v>
      </c>
      <c r="I1017" s="37">
        <v>191260</v>
      </c>
      <c r="J1017" s="41" t="s">
        <v>1132</v>
      </c>
      <c r="K1017" s="42">
        <v>2021</v>
      </c>
    </row>
    <row r="1018" spans="1:11" ht="15" customHeight="1" x14ac:dyDescent="0.3">
      <c r="A1018" s="31">
        <v>1013</v>
      </c>
      <c r="B1018" s="32" t="s">
        <v>313</v>
      </c>
      <c r="C1018" s="32" t="s">
        <v>2237</v>
      </c>
      <c r="D1018" s="32" t="s">
        <v>2238</v>
      </c>
      <c r="E1018" s="32" t="s">
        <v>405</v>
      </c>
      <c r="F1018" s="32" t="s">
        <v>2239</v>
      </c>
      <c r="G1018" s="33">
        <v>947</v>
      </c>
      <c r="H1018" s="34">
        <v>2.3839999999999999</v>
      </c>
      <c r="I1018" s="31">
        <v>163260</v>
      </c>
      <c r="J1018" s="35" t="s">
        <v>1132</v>
      </c>
      <c r="K1018" s="36">
        <v>2021</v>
      </c>
    </row>
    <row r="1019" spans="1:11" ht="15" customHeight="1" x14ac:dyDescent="0.3">
      <c r="A1019" s="37">
        <v>1014</v>
      </c>
      <c r="B1019" s="38" t="s">
        <v>313</v>
      </c>
      <c r="C1019" s="38" t="s">
        <v>2240</v>
      </c>
      <c r="D1019" s="38" t="s">
        <v>476</v>
      </c>
      <c r="E1019" s="38" t="s">
        <v>47</v>
      </c>
      <c r="F1019" s="38" t="s">
        <v>306</v>
      </c>
      <c r="G1019" s="39">
        <v>163</v>
      </c>
      <c r="H1019" s="40">
        <v>0.248</v>
      </c>
      <c r="I1019" s="37">
        <v>127000</v>
      </c>
      <c r="J1019" s="41" t="s">
        <v>1132</v>
      </c>
      <c r="K1019" s="42">
        <v>2021</v>
      </c>
    </row>
    <row r="1020" spans="1:11" ht="15" customHeight="1" x14ac:dyDescent="0.3">
      <c r="A1020" s="31">
        <v>1015</v>
      </c>
      <c r="B1020" s="32" t="s">
        <v>313</v>
      </c>
      <c r="C1020" s="32" t="s">
        <v>2241</v>
      </c>
      <c r="D1020" s="32" t="s">
        <v>2242</v>
      </c>
      <c r="E1020" s="32" t="s">
        <v>35</v>
      </c>
      <c r="F1020" s="32" t="s">
        <v>1044</v>
      </c>
      <c r="G1020" s="33">
        <v>1442</v>
      </c>
      <c r="H1020" s="34">
        <v>6</v>
      </c>
      <c r="I1020" s="31">
        <v>275260</v>
      </c>
      <c r="J1020" s="35" t="s">
        <v>1132</v>
      </c>
      <c r="K1020" s="36">
        <v>2021</v>
      </c>
    </row>
    <row r="1021" spans="1:11" ht="15" customHeight="1" x14ac:dyDescent="0.3">
      <c r="A1021" s="37">
        <v>1016</v>
      </c>
      <c r="B1021" s="38" t="s">
        <v>313</v>
      </c>
      <c r="C1021" s="38" t="s">
        <v>2243</v>
      </c>
      <c r="D1021" s="38" t="s">
        <v>36</v>
      </c>
      <c r="E1021" s="38" t="s">
        <v>43</v>
      </c>
      <c r="F1021" s="38" t="s">
        <v>306</v>
      </c>
      <c r="G1021" s="39">
        <v>2530</v>
      </c>
      <c r="H1021" s="40">
        <v>1.08</v>
      </c>
      <c r="I1021" s="37">
        <v>191260</v>
      </c>
      <c r="J1021" s="41" t="s">
        <v>1132</v>
      </c>
      <c r="K1021" s="42">
        <v>2021</v>
      </c>
    </row>
    <row r="1022" spans="1:11" ht="15" customHeight="1" x14ac:dyDescent="0.3">
      <c r="A1022" s="31">
        <v>1017</v>
      </c>
      <c r="B1022" s="32" t="s">
        <v>2182</v>
      </c>
      <c r="C1022" s="32" t="s">
        <v>2244</v>
      </c>
      <c r="D1022" s="32" t="s">
        <v>1559</v>
      </c>
      <c r="E1022" s="32" t="s">
        <v>206</v>
      </c>
      <c r="F1022" s="32" t="s">
        <v>287</v>
      </c>
      <c r="G1022" s="33">
        <v>528</v>
      </c>
      <c r="H1022" s="34">
        <v>2</v>
      </c>
      <c r="I1022" s="31">
        <v>163260</v>
      </c>
      <c r="J1022" s="35" t="s">
        <v>1132</v>
      </c>
      <c r="K1022" s="36">
        <v>2021</v>
      </c>
    </row>
    <row r="1023" spans="1:11" ht="15" customHeight="1" x14ac:dyDescent="0.3">
      <c r="A1023" s="37">
        <v>1018</v>
      </c>
      <c r="B1023" s="38" t="s">
        <v>2182</v>
      </c>
      <c r="C1023" s="38" t="s">
        <v>2245</v>
      </c>
      <c r="D1023" s="38" t="s">
        <v>841</v>
      </c>
      <c r="E1023" s="38" t="s">
        <v>37</v>
      </c>
      <c r="F1023" s="38" t="s">
        <v>329</v>
      </c>
      <c r="G1023" s="39">
        <v>1380</v>
      </c>
      <c r="H1023" s="40">
        <v>3</v>
      </c>
      <c r="I1023" s="37">
        <v>191260</v>
      </c>
      <c r="J1023" s="41" t="s">
        <v>1132</v>
      </c>
      <c r="K1023" s="42">
        <v>2021</v>
      </c>
    </row>
    <row r="1024" spans="1:11" ht="15" customHeight="1" x14ac:dyDescent="0.3">
      <c r="A1024" s="31">
        <v>1019</v>
      </c>
      <c r="B1024" s="32" t="s">
        <v>2182</v>
      </c>
      <c r="C1024" s="32" t="s">
        <v>2246</v>
      </c>
      <c r="D1024" s="32" t="s">
        <v>841</v>
      </c>
      <c r="E1024" s="32" t="s">
        <v>37</v>
      </c>
      <c r="F1024" s="32" t="s">
        <v>2064</v>
      </c>
      <c r="G1024" s="33">
        <v>3503</v>
      </c>
      <c r="H1024" s="34">
        <v>7</v>
      </c>
      <c r="I1024" s="31">
        <v>303260</v>
      </c>
      <c r="J1024" s="35" t="s">
        <v>1132</v>
      </c>
      <c r="K1024" s="36">
        <v>2021</v>
      </c>
    </row>
    <row r="1025" spans="1:11" ht="15" customHeight="1" x14ac:dyDescent="0.3">
      <c r="A1025" s="37">
        <v>1020</v>
      </c>
      <c r="B1025" s="38" t="s">
        <v>2182</v>
      </c>
      <c r="C1025" s="38" t="s">
        <v>2247</v>
      </c>
      <c r="D1025" s="38" t="s">
        <v>325</v>
      </c>
      <c r="E1025" s="38" t="s">
        <v>59</v>
      </c>
      <c r="F1025" s="38" t="s">
        <v>2248</v>
      </c>
      <c r="G1025" s="39">
        <v>187</v>
      </c>
      <c r="H1025" s="40">
        <v>1.3440000000000001</v>
      </c>
      <c r="I1025" s="37">
        <v>137260</v>
      </c>
      <c r="J1025" s="41" t="s">
        <v>1132</v>
      </c>
      <c r="K1025" s="42">
        <v>2021</v>
      </c>
    </row>
    <row r="1026" spans="1:11" ht="15" customHeight="1" x14ac:dyDescent="0.3">
      <c r="A1026" s="31">
        <v>1021</v>
      </c>
      <c r="B1026" s="32" t="s">
        <v>2182</v>
      </c>
      <c r="C1026" s="32"/>
      <c r="D1026" s="32"/>
      <c r="E1026" s="32" t="s">
        <v>2249</v>
      </c>
      <c r="F1026" s="32" t="s">
        <v>306</v>
      </c>
      <c r="G1026" s="33">
        <v>1790</v>
      </c>
      <c r="H1026" s="34">
        <v>1.74</v>
      </c>
      <c r="I1026" s="31">
        <v>163260</v>
      </c>
      <c r="J1026" s="35" t="s">
        <v>1132</v>
      </c>
      <c r="K1026" s="36">
        <v>2021</v>
      </c>
    </row>
    <row r="1027" spans="1:11" ht="15" customHeight="1" x14ac:dyDescent="0.3">
      <c r="A1027" s="37">
        <v>1022</v>
      </c>
      <c r="B1027" s="38" t="s">
        <v>2182</v>
      </c>
      <c r="C1027" s="38"/>
      <c r="D1027" s="38"/>
      <c r="E1027" s="38" t="s">
        <v>39</v>
      </c>
      <c r="F1027" s="38" t="s">
        <v>316</v>
      </c>
      <c r="G1027" s="39">
        <v>187</v>
      </c>
      <c r="H1027" s="40">
        <v>1.3440000000000001</v>
      </c>
      <c r="I1027" s="37">
        <v>137260</v>
      </c>
      <c r="J1027" s="41" t="s">
        <v>1132</v>
      </c>
      <c r="K1027" s="42">
        <v>2021</v>
      </c>
    </row>
    <row r="1028" spans="1:11" ht="15" customHeight="1" x14ac:dyDescent="0.3">
      <c r="A1028" s="31">
        <v>1023</v>
      </c>
      <c r="B1028" s="32" t="s">
        <v>2182</v>
      </c>
      <c r="C1028" s="32"/>
      <c r="D1028" s="32"/>
      <c r="E1028" s="32" t="s">
        <v>35</v>
      </c>
      <c r="F1028" s="32" t="s">
        <v>316</v>
      </c>
      <c r="G1028" s="33">
        <v>1126.23</v>
      </c>
      <c r="H1028" s="34">
        <v>2.0099999999999998</v>
      </c>
      <c r="I1028" s="31">
        <v>163260</v>
      </c>
      <c r="J1028" s="35" t="s">
        <v>1132</v>
      </c>
      <c r="K1028" s="36">
        <v>2021</v>
      </c>
    </row>
    <row r="1029" spans="1:11" ht="15" customHeight="1" x14ac:dyDescent="0.3">
      <c r="A1029" s="37">
        <v>1024</v>
      </c>
      <c r="B1029" s="38" t="s">
        <v>2182</v>
      </c>
      <c r="C1029" s="38"/>
      <c r="D1029" s="38"/>
      <c r="E1029" s="38" t="s">
        <v>2250</v>
      </c>
      <c r="F1029" s="38" t="s">
        <v>937</v>
      </c>
      <c r="G1029" s="39">
        <v>1045</v>
      </c>
      <c r="H1029" s="40">
        <v>5.2670000000000003</v>
      </c>
      <c r="I1029" s="37">
        <v>247260</v>
      </c>
      <c r="J1029" s="41" t="s">
        <v>1132</v>
      </c>
      <c r="K1029" s="42">
        <v>2021</v>
      </c>
    </row>
    <row r="1030" spans="1:11" ht="15" customHeight="1" x14ac:dyDescent="0.3">
      <c r="A1030" s="31">
        <v>1025</v>
      </c>
      <c r="B1030" s="32" t="s">
        <v>2182</v>
      </c>
      <c r="C1030" s="32"/>
      <c r="D1030" s="32"/>
      <c r="E1030" s="32" t="s">
        <v>41</v>
      </c>
      <c r="F1030" s="32" t="s">
        <v>1031</v>
      </c>
      <c r="G1030" s="33">
        <v>245</v>
      </c>
      <c r="H1030" s="34">
        <v>2.0409999999999999</v>
      </c>
      <c r="I1030" s="31">
        <v>163260</v>
      </c>
      <c r="J1030" s="35" t="s">
        <v>1132</v>
      </c>
      <c r="K1030" s="36">
        <v>2021</v>
      </c>
    </row>
    <row r="1031" spans="1:11" ht="15" customHeight="1" x14ac:dyDescent="0.3">
      <c r="A1031" s="37">
        <v>1026</v>
      </c>
      <c r="B1031" s="38" t="s">
        <v>2182</v>
      </c>
      <c r="C1031" s="38"/>
      <c r="D1031" s="38"/>
      <c r="E1031" s="38" t="s">
        <v>2251</v>
      </c>
      <c r="F1031" s="38" t="s">
        <v>312</v>
      </c>
      <c r="G1031" s="39">
        <v>225</v>
      </c>
      <c r="H1031" s="40">
        <v>0.42699999999999999</v>
      </c>
      <c r="I1031" s="37">
        <v>127000</v>
      </c>
      <c r="J1031" s="41" t="s">
        <v>1132</v>
      </c>
      <c r="K1031" s="42">
        <v>2021</v>
      </c>
    </row>
    <row r="1032" spans="1:11" ht="15" customHeight="1" x14ac:dyDescent="0.3">
      <c r="A1032" s="31">
        <v>1027</v>
      </c>
      <c r="B1032" s="32" t="s">
        <v>2182</v>
      </c>
      <c r="C1032" s="32" t="s">
        <v>2252</v>
      </c>
      <c r="D1032" s="32" t="s">
        <v>1632</v>
      </c>
      <c r="E1032" s="32" t="s">
        <v>47</v>
      </c>
      <c r="F1032" s="32" t="s">
        <v>276</v>
      </c>
      <c r="G1032" s="33">
        <v>258</v>
      </c>
      <c r="H1032" s="34">
        <v>1.0920000000000001</v>
      </c>
      <c r="I1032" s="31">
        <v>137260</v>
      </c>
      <c r="J1032" s="35" t="s">
        <v>1132</v>
      </c>
      <c r="K1032" s="36">
        <v>2021</v>
      </c>
    </row>
    <row r="1033" spans="1:11" ht="15" customHeight="1" x14ac:dyDescent="0.3">
      <c r="A1033" s="37">
        <v>1028</v>
      </c>
      <c r="B1033" s="38" t="s">
        <v>2182</v>
      </c>
      <c r="C1033" s="38" t="s">
        <v>2253</v>
      </c>
      <c r="D1033" s="38" t="s">
        <v>36</v>
      </c>
      <c r="E1033" s="38" t="s">
        <v>43</v>
      </c>
      <c r="F1033" s="38" t="s">
        <v>276</v>
      </c>
      <c r="G1033" s="39">
        <v>591</v>
      </c>
      <c r="H1033" s="40">
        <v>1.286</v>
      </c>
      <c r="I1033" s="37">
        <v>137260</v>
      </c>
      <c r="J1033" s="41" t="s">
        <v>1132</v>
      </c>
      <c r="K1033" s="42">
        <v>2021</v>
      </c>
    </row>
    <row r="1034" spans="1:11" ht="15" customHeight="1" x14ac:dyDescent="0.3">
      <c r="A1034" s="31">
        <v>1029</v>
      </c>
      <c r="B1034" s="32" t="s">
        <v>2182</v>
      </c>
      <c r="C1034" s="32" t="s">
        <v>2254</v>
      </c>
      <c r="D1034" s="32" t="s">
        <v>2255</v>
      </c>
      <c r="E1034" s="32" t="s">
        <v>2256</v>
      </c>
      <c r="F1034" s="32" t="s">
        <v>316</v>
      </c>
      <c r="G1034" s="33">
        <v>1560.36</v>
      </c>
      <c r="H1034" s="34">
        <v>3.21</v>
      </c>
      <c r="I1034" s="31">
        <v>127000</v>
      </c>
      <c r="J1034" s="35" t="s">
        <v>1132</v>
      </c>
      <c r="K1034" s="36">
        <v>2021</v>
      </c>
    </row>
    <row r="1035" spans="1:11" ht="15" customHeight="1" x14ac:dyDescent="0.3">
      <c r="A1035" s="37">
        <v>1030</v>
      </c>
      <c r="B1035" s="38" t="s">
        <v>2182</v>
      </c>
      <c r="C1035" s="38" t="s">
        <v>2257</v>
      </c>
      <c r="D1035" s="38" t="s">
        <v>91</v>
      </c>
      <c r="E1035" s="38" t="s">
        <v>1643</v>
      </c>
      <c r="F1035" s="38" t="s">
        <v>316</v>
      </c>
      <c r="G1035" s="39">
        <v>864.5</v>
      </c>
      <c r="H1035" s="40">
        <v>2</v>
      </c>
      <c r="I1035" s="37">
        <v>153000</v>
      </c>
      <c r="J1035" s="41" t="s">
        <v>1132</v>
      </c>
      <c r="K1035" s="42">
        <v>2021</v>
      </c>
    </row>
    <row r="1036" spans="1:11" ht="15" customHeight="1" x14ac:dyDescent="0.3">
      <c r="A1036" s="31">
        <v>1031</v>
      </c>
      <c r="B1036" s="32" t="s">
        <v>2182</v>
      </c>
      <c r="C1036" s="32" t="s">
        <v>2258</v>
      </c>
      <c r="D1036" s="32" t="s">
        <v>2259</v>
      </c>
      <c r="E1036" s="32" t="s">
        <v>2260</v>
      </c>
      <c r="F1036" s="32" t="s">
        <v>276</v>
      </c>
      <c r="G1036" s="33">
        <v>174.5</v>
      </c>
      <c r="H1036" s="34">
        <v>0.79</v>
      </c>
      <c r="I1036" s="31">
        <v>137260</v>
      </c>
      <c r="J1036" s="35" t="s">
        <v>1132</v>
      </c>
      <c r="K1036" s="36">
        <v>2021</v>
      </c>
    </row>
    <row r="1037" spans="1:11" ht="15" customHeight="1" x14ac:dyDescent="0.3">
      <c r="A1037" s="37">
        <v>1032</v>
      </c>
      <c r="B1037" s="38" t="s">
        <v>2182</v>
      </c>
      <c r="C1037" s="38" t="s">
        <v>2261</v>
      </c>
      <c r="D1037" s="38" t="s">
        <v>64</v>
      </c>
      <c r="E1037" s="38" t="s">
        <v>47</v>
      </c>
      <c r="F1037" s="38" t="s">
        <v>435</v>
      </c>
      <c r="G1037" s="39">
        <v>1154</v>
      </c>
      <c r="H1037" s="40">
        <v>3</v>
      </c>
      <c r="I1037" s="37">
        <v>181000</v>
      </c>
      <c r="J1037" s="41" t="s">
        <v>1132</v>
      </c>
      <c r="K1037" s="42">
        <v>2021</v>
      </c>
    </row>
    <row r="1038" spans="1:11" ht="15" customHeight="1" x14ac:dyDescent="0.3">
      <c r="A1038" s="31">
        <v>1033</v>
      </c>
      <c r="B1038" s="32" t="s">
        <v>2182</v>
      </c>
      <c r="C1038" s="32" t="s">
        <v>2262</v>
      </c>
      <c r="D1038" s="32" t="s">
        <v>2263</v>
      </c>
      <c r="E1038" s="32" t="s">
        <v>2264</v>
      </c>
      <c r="F1038" s="32" t="s">
        <v>276</v>
      </c>
      <c r="G1038" s="33">
        <v>749.98</v>
      </c>
      <c r="H1038" s="34">
        <v>2</v>
      </c>
      <c r="I1038" s="31">
        <v>153000</v>
      </c>
      <c r="J1038" s="35" t="s">
        <v>1132</v>
      </c>
      <c r="K1038" s="36">
        <v>2021</v>
      </c>
    </row>
    <row r="1039" spans="1:11" ht="15" customHeight="1" x14ac:dyDescent="0.3">
      <c r="A1039" s="37">
        <v>1034</v>
      </c>
      <c r="B1039" s="38" t="s">
        <v>2182</v>
      </c>
      <c r="C1039" s="38" t="s">
        <v>2265</v>
      </c>
      <c r="D1039" s="38" t="s">
        <v>2266</v>
      </c>
      <c r="E1039" s="38" t="s">
        <v>2267</v>
      </c>
      <c r="F1039" s="38" t="s">
        <v>435</v>
      </c>
      <c r="G1039" s="39">
        <v>1172.28</v>
      </c>
      <c r="H1039" s="40">
        <v>7</v>
      </c>
      <c r="I1039" s="37">
        <v>303260</v>
      </c>
      <c r="J1039" s="41" t="s">
        <v>1132</v>
      </c>
      <c r="K1039" s="42">
        <v>2021</v>
      </c>
    </row>
    <row r="1040" spans="1:11" ht="15" customHeight="1" x14ac:dyDescent="0.3">
      <c r="A1040" s="31">
        <v>1035</v>
      </c>
      <c r="B1040" s="32" t="s">
        <v>2182</v>
      </c>
      <c r="C1040" s="32" t="s">
        <v>2268</v>
      </c>
      <c r="D1040" s="32" t="s">
        <v>2266</v>
      </c>
      <c r="E1040" s="32" t="s">
        <v>2269</v>
      </c>
      <c r="F1040" s="32" t="s">
        <v>276</v>
      </c>
      <c r="G1040" s="33">
        <v>366.82</v>
      </c>
      <c r="H1040" s="34">
        <v>1.2190000000000001</v>
      </c>
      <c r="I1040" s="31">
        <v>137260</v>
      </c>
      <c r="J1040" s="35" t="s">
        <v>1132</v>
      </c>
      <c r="K1040" s="36">
        <v>2021</v>
      </c>
    </row>
    <row r="1041" spans="1:11" ht="15" customHeight="1" x14ac:dyDescent="0.3">
      <c r="A1041" s="37">
        <v>1036</v>
      </c>
      <c r="B1041" s="38" t="s">
        <v>272</v>
      </c>
      <c r="C1041" s="38" t="s">
        <v>2270</v>
      </c>
      <c r="D1041" s="38" t="s">
        <v>2271</v>
      </c>
      <c r="E1041" s="38" t="s">
        <v>2272</v>
      </c>
      <c r="F1041" s="38" t="s">
        <v>435</v>
      </c>
      <c r="G1041" s="39">
        <v>3800</v>
      </c>
      <c r="H1041" s="40">
        <v>5.0880000000000001</v>
      </c>
      <c r="I1041" s="37">
        <v>247260</v>
      </c>
      <c r="J1041" s="41" t="s">
        <v>1132</v>
      </c>
      <c r="K1041" s="42">
        <v>2021</v>
      </c>
    </row>
    <row r="1042" spans="1:11" ht="15" customHeight="1" x14ac:dyDescent="0.3">
      <c r="A1042" s="31">
        <v>1037</v>
      </c>
      <c r="B1042" s="32" t="s">
        <v>272</v>
      </c>
      <c r="C1042" s="32" t="s">
        <v>2273</v>
      </c>
      <c r="D1042" s="32" t="s">
        <v>44</v>
      </c>
      <c r="E1042" s="32" t="s">
        <v>35</v>
      </c>
      <c r="F1042" s="32" t="s">
        <v>689</v>
      </c>
      <c r="G1042" s="33">
        <v>4170</v>
      </c>
      <c r="H1042" s="34">
        <v>7</v>
      </c>
      <c r="I1042" s="31">
        <v>303260</v>
      </c>
      <c r="J1042" s="35" t="s">
        <v>1132</v>
      </c>
      <c r="K1042" s="36">
        <v>2021</v>
      </c>
    </row>
    <row r="1043" spans="1:11" ht="15" customHeight="1" x14ac:dyDescent="0.3">
      <c r="A1043" s="37">
        <v>1038</v>
      </c>
      <c r="B1043" s="38" t="s">
        <v>272</v>
      </c>
      <c r="C1043" s="38" t="s">
        <v>2274</v>
      </c>
      <c r="D1043" s="38" t="s">
        <v>2259</v>
      </c>
      <c r="E1043" s="38" t="s">
        <v>51</v>
      </c>
      <c r="F1043" s="38" t="s">
        <v>846</v>
      </c>
      <c r="G1043" s="39">
        <v>330</v>
      </c>
      <c r="H1043" s="40">
        <v>0.61599999999999999</v>
      </c>
      <c r="I1043" s="37">
        <v>137260</v>
      </c>
      <c r="J1043" s="41" t="s">
        <v>1132</v>
      </c>
      <c r="K1043" s="42">
        <v>2021</v>
      </c>
    </row>
    <row r="1044" spans="1:11" ht="15" customHeight="1" x14ac:dyDescent="0.3">
      <c r="A1044" s="31">
        <v>1039</v>
      </c>
      <c r="B1044" s="32" t="s">
        <v>272</v>
      </c>
      <c r="C1044" s="32" t="s">
        <v>2275</v>
      </c>
      <c r="D1044" s="32" t="s">
        <v>826</v>
      </c>
      <c r="E1044" s="32" t="s">
        <v>35</v>
      </c>
      <c r="F1044" s="32" t="s">
        <v>316</v>
      </c>
      <c r="G1044" s="33">
        <v>332</v>
      </c>
      <c r="H1044" s="34">
        <v>2.4729999999999999</v>
      </c>
      <c r="I1044" s="31">
        <v>163260</v>
      </c>
      <c r="J1044" s="35" t="s">
        <v>1132</v>
      </c>
      <c r="K1044" s="36">
        <v>2021</v>
      </c>
    </row>
    <row r="1045" spans="1:11" ht="15" customHeight="1" x14ac:dyDescent="0.3">
      <c r="A1045" s="37">
        <v>1040</v>
      </c>
      <c r="B1045" s="38" t="s">
        <v>272</v>
      </c>
      <c r="C1045" s="38" t="s">
        <v>2276</v>
      </c>
      <c r="D1045" s="38" t="s">
        <v>2277</v>
      </c>
      <c r="E1045" s="38" t="s">
        <v>2278</v>
      </c>
      <c r="F1045" s="38" t="s">
        <v>406</v>
      </c>
      <c r="G1045" s="39">
        <v>238</v>
      </c>
      <c r="H1045" s="40">
        <v>0.629</v>
      </c>
      <c r="I1045" s="37">
        <v>137260</v>
      </c>
      <c r="J1045" s="41" t="s">
        <v>1132</v>
      </c>
      <c r="K1045" s="42">
        <v>2021</v>
      </c>
    </row>
    <row r="1046" spans="1:11" ht="15" customHeight="1" x14ac:dyDescent="0.3">
      <c r="A1046" s="31">
        <v>1041</v>
      </c>
      <c r="B1046" s="32" t="s">
        <v>272</v>
      </c>
      <c r="C1046" s="32" t="s">
        <v>2279</v>
      </c>
      <c r="D1046" s="32" t="s">
        <v>837</v>
      </c>
      <c r="E1046" s="32" t="s">
        <v>2280</v>
      </c>
      <c r="F1046" s="32" t="s">
        <v>316</v>
      </c>
      <c r="G1046" s="33">
        <v>281</v>
      </c>
      <c r="H1046" s="34">
        <v>1.032</v>
      </c>
      <c r="I1046" s="31">
        <v>137260</v>
      </c>
      <c r="J1046" s="35" t="s">
        <v>1132</v>
      </c>
      <c r="K1046" s="36">
        <v>2021</v>
      </c>
    </row>
    <row r="1047" spans="1:11" ht="15" customHeight="1" x14ac:dyDescent="0.3">
      <c r="A1047" s="37">
        <v>1042</v>
      </c>
      <c r="B1047" s="38" t="s">
        <v>272</v>
      </c>
      <c r="C1047" s="38" t="s">
        <v>2281</v>
      </c>
      <c r="D1047" s="38" t="s">
        <v>2282</v>
      </c>
      <c r="E1047" s="38" t="s">
        <v>2283</v>
      </c>
      <c r="F1047" s="38" t="s">
        <v>2248</v>
      </c>
      <c r="G1047" s="39">
        <v>270</v>
      </c>
      <c r="H1047" s="40">
        <v>1.04</v>
      </c>
      <c r="I1047" s="37">
        <v>137260</v>
      </c>
      <c r="J1047" s="41" t="s">
        <v>1132</v>
      </c>
      <c r="K1047" s="42">
        <v>2021</v>
      </c>
    </row>
    <row r="1048" spans="1:11" ht="15" customHeight="1" x14ac:dyDescent="0.3">
      <c r="A1048" s="31">
        <v>1043</v>
      </c>
      <c r="B1048" s="32" t="s">
        <v>272</v>
      </c>
      <c r="C1048" s="32" t="s">
        <v>2284</v>
      </c>
      <c r="D1048" s="32" t="s">
        <v>2032</v>
      </c>
      <c r="E1048" s="32" t="s">
        <v>372</v>
      </c>
      <c r="F1048" s="32" t="s">
        <v>402</v>
      </c>
      <c r="G1048" s="33">
        <v>2533</v>
      </c>
      <c r="H1048" s="34">
        <v>6</v>
      </c>
      <c r="I1048" s="31">
        <v>273000</v>
      </c>
      <c r="J1048" s="35" t="s">
        <v>1132</v>
      </c>
      <c r="K1048" s="36">
        <v>2021</v>
      </c>
    </row>
    <row r="1049" spans="1:11" ht="15" customHeight="1" x14ac:dyDescent="0.3">
      <c r="A1049" s="37">
        <v>1044</v>
      </c>
      <c r="B1049" s="38" t="s">
        <v>272</v>
      </c>
      <c r="C1049" s="38" t="s">
        <v>2285</v>
      </c>
      <c r="D1049" s="38" t="s">
        <v>1386</v>
      </c>
      <c r="E1049" s="38" t="s">
        <v>1746</v>
      </c>
      <c r="F1049" s="38" t="s">
        <v>689</v>
      </c>
      <c r="G1049" s="39">
        <v>6490</v>
      </c>
      <c r="H1049" s="40">
        <v>4.2080000000000002</v>
      </c>
      <c r="I1049" s="37">
        <v>273000</v>
      </c>
      <c r="J1049" s="41" t="s">
        <v>1132</v>
      </c>
      <c r="K1049" s="42">
        <v>2021</v>
      </c>
    </row>
    <row r="1050" spans="1:11" ht="15" customHeight="1" x14ac:dyDescent="0.3">
      <c r="A1050" s="31">
        <v>1045</v>
      </c>
      <c r="B1050" s="32" t="s">
        <v>272</v>
      </c>
      <c r="C1050" s="32" t="s">
        <v>2286</v>
      </c>
      <c r="D1050" s="32" t="s">
        <v>1942</v>
      </c>
      <c r="E1050" s="32" t="s">
        <v>1018</v>
      </c>
      <c r="F1050" s="32" t="s">
        <v>276</v>
      </c>
      <c r="G1050" s="33">
        <v>115</v>
      </c>
      <c r="H1050" s="34">
        <v>1.8620000000000001</v>
      </c>
      <c r="I1050" s="31">
        <v>153000</v>
      </c>
      <c r="J1050" s="35" t="s">
        <v>1132</v>
      </c>
      <c r="K1050" s="36">
        <v>2021</v>
      </c>
    </row>
    <row r="1051" spans="1:11" ht="15" customHeight="1" x14ac:dyDescent="0.3">
      <c r="A1051" s="37">
        <v>1046</v>
      </c>
      <c r="B1051" s="38" t="s">
        <v>272</v>
      </c>
      <c r="C1051" s="38" t="s">
        <v>2287</v>
      </c>
      <c r="D1051" s="38" t="s">
        <v>2288</v>
      </c>
      <c r="E1051" s="38" t="s">
        <v>2289</v>
      </c>
      <c r="F1051" s="38" t="s">
        <v>287</v>
      </c>
      <c r="G1051" s="39">
        <v>1503</v>
      </c>
      <c r="H1051" s="40">
        <v>6</v>
      </c>
      <c r="I1051" s="37">
        <v>275260</v>
      </c>
      <c r="J1051" s="41" t="s">
        <v>1132</v>
      </c>
      <c r="K1051" s="42">
        <v>2021</v>
      </c>
    </row>
    <row r="1052" spans="1:11" ht="15" customHeight="1" x14ac:dyDescent="0.3">
      <c r="A1052" s="31">
        <v>1047</v>
      </c>
      <c r="B1052" s="32" t="s">
        <v>272</v>
      </c>
      <c r="C1052" s="32" t="s">
        <v>2290</v>
      </c>
      <c r="D1052" s="32" t="s">
        <v>2291</v>
      </c>
      <c r="E1052" s="32" t="s">
        <v>2292</v>
      </c>
      <c r="F1052" s="32" t="s">
        <v>316</v>
      </c>
      <c r="G1052" s="33">
        <v>1728</v>
      </c>
      <c r="H1052" s="34">
        <v>3.2639999999999998</v>
      </c>
      <c r="I1052" s="31">
        <v>191260</v>
      </c>
      <c r="J1052" s="35" t="s">
        <v>1132</v>
      </c>
      <c r="K1052" s="36">
        <v>2021</v>
      </c>
    </row>
    <row r="1053" spans="1:11" ht="15" customHeight="1" x14ac:dyDescent="0.3">
      <c r="A1053" s="37">
        <v>1048</v>
      </c>
      <c r="B1053" s="38" t="s">
        <v>272</v>
      </c>
      <c r="C1053" s="38" t="s">
        <v>2293</v>
      </c>
      <c r="D1053" s="38" t="s">
        <v>2294</v>
      </c>
      <c r="E1053" s="38" t="s">
        <v>35</v>
      </c>
      <c r="F1053" s="38" t="s">
        <v>386</v>
      </c>
      <c r="G1053" s="39">
        <v>699</v>
      </c>
      <c r="H1053" s="40">
        <v>2.403</v>
      </c>
      <c r="I1053" s="37">
        <v>163260</v>
      </c>
      <c r="J1053" s="41" t="s">
        <v>1132</v>
      </c>
      <c r="K1053" s="42">
        <v>2021</v>
      </c>
    </row>
    <row r="1054" spans="1:11" ht="15" customHeight="1" x14ac:dyDescent="0.3">
      <c r="A1054" s="31">
        <v>1049</v>
      </c>
      <c r="B1054" s="32" t="s">
        <v>272</v>
      </c>
      <c r="C1054" s="32" t="s">
        <v>2295</v>
      </c>
      <c r="D1054" s="32" t="s">
        <v>2296</v>
      </c>
      <c r="E1054" s="32" t="s">
        <v>2297</v>
      </c>
      <c r="F1054" s="32" t="s">
        <v>312</v>
      </c>
      <c r="G1054" s="33">
        <v>950</v>
      </c>
      <c r="H1054" s="34">
        <v>2</v>
      </c>
      <c r="I1054" s="31">
        <v>161000</v>
      </c>
      <c r="J1054" s="35" t="s">
        <v>1132</v>
      </c>
      <c r="K1054" s="36">
        <v>2021</v>
      </c>
    </row>
    <row r="1055" spans="1:11" ht="15" customHeight="1" x14ac:dyDescent="0.3">
      <c r="A1055" s="37">
        <v>1050</v>
      </c>
      <c r="B1055" s="38" t="s">
        <v>272</v>
      </c>
      <c r="C1055" s="38" t="s">
        <v>2298</v>
      </c>
      <c r="D1055" s="38" t="s">
        <v>691</v>
      </c>
      <c r="E1055" s="38" t="s">
        <v>243</v>
      </c>
      <c r="F1055" s="38" t="s">
        <v>335</v>
      </c>
      <c r="G1055" s="39">
        <v>1320</v>
      </c>
      <c r="H1055" s="40">
        <v>4.0990000000000002</v>
      </c>
      <c r="I1055" s="37">
        <v>217000</v>
      </c>
      <c r="J1055" s="41" t="s">
        <v>1132</v>
      </c>
      <c r="K1055" s="42">
        <v>2021</v>
      </c>
    </row>
    <row r="1056" spans="1:11" ht="15" customHeight="1" x14ac:dyDescent="0.3">
      <c r="A1056" s="31">
        <v>1051</v>
      </c>
      <c r="B1056" s="32" t="s">
        <v>336</v>
      </c>
      <c r="C1056" s="32" t="s">
        <v>2299</v>
      </c>
      <c r="D1056" s="32" t="s">
        <v>342</v>
      </c>
      <c r="E1056" s="32" t="s">
        <v>47</v>
      </c>
      <c r="F1056" s="32" t="s">
        <v>312</v>
      </c>
      <c r="G1056" s="33">
        <v>311</v>
      </c>
      <c r="H1056" s="34">
        <v>0.74</v>
      </c>
      <c r="I1056" s="31">
        <v>137260</v>
      </c>
      <c r="J1056" s="35" t="s">
        <v>1132</v>
      </c>
      <c r="K1056" s="36">
        <v>2021</v>
      </c>
    </row>
    <row r="1057" spans="1:11" ht="15" customHeight="1" x14ac:dyDescent="0.3">
      <c r="A1057" s="37">
        <v>1052</v>
      </c>
      <c r="B1057" s="38" t="s">
        <v>336</v>
      </c>
      <c r="C1057" s="38" t="s">
        <v>2300</v>
      </c>
      <c r="D1057" s="38" t="s">
        <v>1806</v>
      </c>
      <c r="E1057" s="38" t="s">
        <v>372</v>
      </c>
      <c r="F1057" s="38" t="s">
        <v>395</v>
      </c>
      <c r="G1057" s="39">
        <v>561</v>
      </c>
      <c r="H1057" s="40">
        <v>7.0549999999999997</v>
      </c>
      <c r="I1057" s="37">
        <v>303260</v>
      </c>
      <c r="J1057" s="41" t="s">
        <v>1132</v>
      </c>
      <c r="K1057" s="42">
        <v>2021</v>
      </c>
    </row>
    <row r="1058" spans="1:11" ht="15" customHeight="1" x14ac:dyDescent="0.3">
      <c r="A1058" s="31">
        <v>1053</v>
      </c>
      <c r="B1058" s="32" t="s">
        <v>336</v>
      </c>
      <c r="C1058" s="32" t="s">
        <v>2301</v>
      </c>
      <c r="D1058" s="32" t="s">
        <v>2302</v>
      </c>
      <c r="E1058" s="32" t="s">
        <v>57</v>
      </c>
      <c r="F1058" s="32" t="s">
        <v>2303</v>
      </c>
      <c r="G1058" s="33">
        <v>136</v>
      </c>
      <c r="H1058" s="34">
        <v>2</v>
      </c>
      <c r="I1058" s="31">
        <v>153000</v>
      </c>
      <c r="J1058" s="35" t="s">
        <v>1132</v>
      </c>
      <c r="K1058" s="36">
        <v>2021</v>
      </c>
    </row>
    <row r="1059" spans="1:11" ht="15" customHeight="1" x14ac:dyDescent="0.3">
      <c r="A1059" s="37">
        <v>1054</v>
      </c>
      <c r="B1059" s="38" t="s">
        <v>336</v>
      </c>
      <c r="C1059" s="38" t="s">
        <v>2304</v>
      </c>
      <c r="D1059" s="38" t="s">
        <v>2305</v>
      </c>
      <c r="E1059" s="38" t="s">
        <v>2306</v>
      </c>
      <c r="F1059" s="38" t="s">
        <v>316</v>
      </c>
      <c r="G1059" s="39">
        <v>178</v>
      </c>
      <c r="H1059" s="40">
        <v>1.1599999999999999</v>
      </c>
      <c r="I1059" s="37">
        <v>137260</v>
      </c>
      <c r="J1059" s="41" t="s">
        <v>1132</v>
      </c>
      <c r="K1059" s="42">
        <v>2021</v>
      </c>
    </row>
    <row r="1060" spans="1:11" ht="15" customHeight="1" x14ac:dyDescent="0.3">
      <c r="A1060" s="31">
        <v>1055</v>
      </c>
      <c r="B1060" s="32" t="s">
        <v>336</v>
      </c>
      <c r="C1060" s="32" t="s">
        <v>2307</v>
      </c>
      <c r="D1060" s="32" t="s">
        <v>1623</v>
      </c>
      <c r="E1060" s="32" t="s">
        <v>648</v>
      </c>
      <c r="F1060" s="32" t="s">
        <v>1359</v>
      </c>
      <c r="G1060" s="33">
        <v>176</v>
      </c>
      <c r="H1060" s="34">
        <v>10</v>
      </c>
      <c r="I1060" s="31">
        <v>377260</v>
      </c>
      <c r="J1060" s="35" t="s">
        <v>1132</v>
      </c>
      <c r="K1060" s="36">
        <v>2021</v>
      </c>
    </row>
    <row r="1061" spans="1:11" ht="15" customHeight="1" x14ac:dyDescent="0.3">
      <c r="A1061" s="37">
        <v>1056</v>
      </c>
      <c r="B1061" s="38" t="s">
        <v>336</v>
      </c>
      <c r="C1061" s="38" t="s">
        <v>2308</v>
      </c>
      <c r="D1061" s="38" t="s">
        <v>2309</v>
      </c>
      <c r="E1061" s="38" t="s">
        <v>2310</v>
      </c>
      <c r="F1061" s="38" t="s">
        <v>373</v>
      </c>
      <c r="G1061" s="39">
        <v>223</v>
      </c>
      <c r="H1061" s="40">
        <v>0.77100000000000002</v>
      </c>
      <c r="I1061" s="37">
        <v>137260</v>
      </c>
      <c r="J1061" s="41" t="s">
        <v>1132</v>
      </c>
      <c r="K1061" s="42">
        <v>2021</v>
      </c>
    </row>
    <row r="1062" spans="1:11" ht="15" customHeight="1" x14ac:dyDescent="0.3">
      <c r="A1062" s="31">
        <v>1057</v>
      </c>
      <c r="B1062" s="32" t="s">
        <v>336</v>
      </c>
      <c r="C1062" s="32" t="s">
        <v>2311</v>
      </c>
      <c r="D1062" s="32" t="s">
        <v>2312</v>
      </c>
      <c r="E1062" s="32" t="s">
        <v>2313</v>
      </c>
      <c r="F1062" s="32" t="s">
        <v>287</v>
      </c>
      <c r="G1062" s="33">
        <v>712</v>
      </c>
      <c r="H1062" s="34">
        <v>6</v>
      </c>
      <c r="I1062" s="31">
        <v>275260</v>
      </c>
      <c r="J1062" s="35" t="s">
        <v>1132</v>
      </c>
      <c r="K1062" s="36">
        <v>2021</v>
      </c>
    </row>
    <row r="1063" spans="1:11" ht="15" customHeight="1" x14ac:dyDescent="0.3">
      <c r="A1063" s="37">
        <v>1058</v>
      </c>
      <c r="B1063" s="38" t="s">
        <v>336</v>
      </c>
      <c r="C1063" s="38" t="s">
        <v>2314</v>
      </c>
      <c r="D1063" s="38" t="s">
        <v>36</v>
      </c>
      <c r="E1063" s="38" t="s">
        <v>43</v>
      </c>
      <c r="F1063" s="38" t="s">
        <v>306</v>
      </c>
      <c r="G1063" s="39">
        <v>320</v>
      </c>
      <c r="H1063" s="40">
        <v>1</v>
      </c>
      <c r="I1063" s="37">
        <v>137260</v>
      </c>
      <c r="J1063" s="41" t="s">
        <v>1132</v>
      </c>
      <c r="K1063" s="42">
        <v>2021</v>
      </c>
    </row>
    <row r="1064" spans="1:11" ht="15" customHeight="1" x14ac:dyDescent="0.3">
      <c r="A1064" s="31">
        <v>1059</v>
      </c>
      <c r="B1064" s="32" t="s">
        <v>1918</v>
      </c>
      <c r="C1064" s="32" t="s">
        <v>2315</v>
      </c>
      <c r="D1064" s="32" t="s">
        <v>2316</v>
      </c>
      <c r="E1064" s="32" t="s">
        <v>2292</v>
      </c>
      <c r="F1064" s="32" t="s">
        <v>276</v>
      </c>
      <c r="G1064" s="33">
        <v>204</v>
      </c>
      <c r="H1064" s="34">
        <v>0.438</v>
      </c>
      <c r="I1064" s="31">
        <v>137260</v>
      </c>
      <c r="J1064" s="35" t="s">
        <v>1132</v>
      </c>
      <c r="K1064" s="36">
        <v>2021</v>
      </c>
    </row>
    <row r="1065" spans="1:11" ht="15" customHeight="1" x14ac:dyDescent="0.3">
      <c r="A1065" s="37">
        <v>1060</v>
      </c>
      <c r="B1065" s="38" t="s">
        <v>1918</v>
      </c>
      <c r="C1065" s="38" t="s">
        <v>2317</v>
      </c>
      <c r="D1065" s="38" t="s">
        <v>54</v>
      </c>
      <c r="E1065" s="38" t="s">
        <v>35</v>
      </c>
      <c r="F1065" s="38" t="s">
        <v>1183</v>
      </c>
      <c r="G1065" s="39">
        <v>6120</v>
      </c>
      <c r="H1065" s="40">
        <v>2.8460000000000001</v>
      </c>
      <c r="I1065" s="37">
        <v>275260</v>
      </c>
      <c r="J1065" s="41" t="s">
        <v>1132</v>
      </c>
      <c r="K1065" s="42">
        <v>2021</v>
      </c>
    </row>
    <row r="1066" spans="1:11" ht="15" customHeight="1" x14ac:dyDescent="0.3">
      <c r="A1066" s="31">
        <v>1061</v>
      </c>
      <c r="B1066" s="32" t="s">
        <v>1918</v>
      </c>
      <c r="C1066" s="32" t="s">
        <v>2318</v>
      </c>
      <c r="D1066" s="32" t="s">
        <v>1149</v>
      </c>
      <c r="E1066" s="32" t="s">
        <v>41</v>
      </c>
      <c r="F1066" s="32" t="s">
        <v>276</v>
      </c>
      <c r="G1066" s="33">
        <v>227</v>
      </c>
      <c r="H1066" s="34">
        <v>0.33600000000000002</v>
      </c>
      <c r="I1066" s="31">
        <v>137260</v>
      </c>
      <c r="J1066" s="35" t="s">
        <v>1132</v>
      </c>
      <c r="K1066" s="36">
        <v>2021</v>
      </c>
    </row>
    <row r="1067" spans="1:11" ht="15" customHeight="1" x14ac:dyDescent="0.3">
      <c r="A1067" s="37">
        <v>1062</v>
      </c>
      <c r="B1067" s="38" t="s">
        <v>1918</v>
      </c>
      <c r="C1067" s="38" t="s">
        <v>2319</v>
      </c>
      <c r="D1067" s="38" t="s">
        <v>325</v>
      </c>
      <c r="E1067" s="38" t="s">
        <v>59</v>
      </c>
      <c r="F1067" s="38" t="s">
        <v>306</v>
      </c>
      <c r="G1067" s="39">
        <v>2258.36</v>
      </c>
      <c r="H1067" s="40">
        <v>5.86</v>
      </c>
      <c r="I1067" s="37">
        <v>137260</v>
      </c>
      <c r="J1067" s="41" t="s">
        <v>1132</v>
      </c>
      <c r="K1067" s="42">
        <v>2021</v>
      </c>
    </row>
    <row r="1068" spans="1:11" ht="15" customHeight="1" x14ac:dyDescent="0.3">
      <c r="A1068" s="31">
        <v>1063</v>
      </c>
      <c r="B1068" s="32" t="s">
        <v>1918</v>
      </c>
      <c r="C1068" s="32"/>
      <c r="D1068" s="32"/>
      <c r="E1068" s="32" t="s">
        <v>2027</v>
      </c>
      <c r="F1068" s="32"/>
      <c r="G1068" s="33"/>
      <c r="H1068" s="34"/>
      <c r="I1068" s="31">
        <v>247260</v>
      </c>
      <c r="J1068" s="35" t="s">
        <v>1132</v>
      </c>
      <c r="K1068" s="36">
        <v>2021</v>
      </c>
    </row>
    <row r="1069" spans="1:11" ht="15" customHeight="1" x14ac:dyDescent="0.3">
      <c r="A1069" s="37">
        <v>1064</v>
      </c>
      <c r="B1069" s="38" t="s">
        <v>1918</v>
      </c>
      <c r="C1069" s="38"/>
      <c r="D1069" s="38"/>
      <c r="E1069" s="38" t="s">
        <v>2320</v>
      </c>
      <c r="F1069" s="38"/>
      <c r="G1069" s="39"/>
      <c r="H1069" s="40"/>
      <c r="I1069" s="37">
        <v>127000</v>
      </c>
      <c r="J1069" s="41" t="s">
        <v>1132</v>
      </c>
      <c r="K1069" s="42">
        <v>2021</v>
      </c>
    </row>
    <row r="1070" spans="1:11" ht="15" customHeight="1" x14ac:dyDescent="0.3">
      <c r="A1070" s="31">
        <v>1065</v>
      </c>
      <c r="B1070" s="32" t="s">
        <v>1918</v>
      </c>
      <c r="C1070" s="32" t="s">
        <v>2321</v>
      </c>
      <c r="D1070" s="32" t="s">
        <v>2322</v>
      </c>
      <c r="E1070" s="32" t="s">
        <v>1654</v>
      </c>
      <c r="F1070" s="32" t="s">
        <v>316</v>
      </c>
      <c r="G1070" s="33">
        <v>171</v>
      </c>
      <c r="H1070" s="34">
        <v>1.7729999999999999</v>
      </c>
      <c r="I1070" s="31">
        <v>163260</v>
      </c>
      <c r="J1070" s="35" t="s">
        <v>1132</v>
      </c>
      <c r="K1070" s="36">
        <v>2021</v>
      </c>
    </row>
    <row r="1071" spans="1:11" ht="15" customHeight="1" x14ac:dyDescent="0.3">
      <c r="A1071" s="37">
        <v>1066</v>
      </c>
      <c r="B1071" s="38" t="s">
        <v>1918</v>
      </c>
      <c r="C1071" s="38" t="s">
        <v>2323</v>
      </c>
      <c r="D1071" s="38" t="s">
        <v>2324</v>
      </c>
      <c r="E1071" s="38" t="s">
        <v>2325</v>
      </c>
      <c r="F1071" s="38" t="s">
        <v>846</v>
      </c>
      <c r="G1071" s="39">
        <v>1078</v>
      </c>
      <c r="H1071" s="40">
        <v>1.385</v>
      </c>
      <c r="I1071" s="37">
        <v>135000</v>
      </c>
      <c r="J1071" s="41" t="s">
        <v>1132</v>
      </c>
      <c r="K1071" s="42">
        <v>2021</v>
      </c>
    </row>
    <row r="1072" spans="1:11" ht="15" customHeight="1" x14ac:dyDescent="0.3">
      <c r="A1072" s="31">
        <v>1067</v>
      </c>
      <c r="B1072" s="32" t="s">
        <v>1918</v>
      </c>
      <c r="C1072" s="32" t="s">
        <v>2326</v>
      </c>
      <c r="D1072" s="32" t="s">
        <v>1938</v>
      </c>
      <c r="E1072" s="32" t="s">
        <v>1939</v>
      </c>
      <c r="F1072" s="32" t="s">
        <v>435</v>
      </c>
      <c r="G1072" s="33">
        <v>1722</v>
      </c>
      <c r="H1072" s="34">
        <v>6</v>
      </c>
      <c r="I1072" s="31">
        <v>265000</v>
      </c>
      <c r="J1072" s="35" t="s">
        <v>1132</v>
      </c>
      <c r="K1072" s="36">
        <v>2021</v>
      </c>
    </row>
    <row r="1073" spans="1:11" ht="15" customHeight="1" x14ac:dyDescent="0.3">
      <c r="A1073" s="37">
        <v>1068</v>
      </c>
      <c r="B1073" s="38" t="s">
        <v>1918</v>
      </c>
      <c r="C1073" s="38" t="s">
        <v>2327</v>
      </c>
      <c r="D1073" s="38" t="s">
        <v>2328</v>
      </c>
      <c r="E1073" s="38" t="s">
        <v>2329</v>
      </c>
      <c r="F1073" s="38" t="s">
        <v>276</v>
      </c>
      <c r="G1073" s="39">
        <v>130</v>
      </c>
      <c r="H1073" s="40">
        <v>0.56599999999999995</v>
      </c>
      <c r="I1073" s="37">
        <v>137260</v>
      </c>
      <c r="J1073" s="41" t="s">
        <v>1132</v>
      </c>
      <c r="K1073" s="42">
        <v>2021</v>
      </c>
    </row>
    <row r="1074" spans="1:11" ht="15" customHeight="1" x14ac:dyDescent="0.3">
      <c r="A1074" s="31">
        <v>1069</v>
      </c>
      <c r="B1074" s="32" t="s">
        <v>1918</v>
      </c>
      <c r="C1074" s="32" t="s">
        <v>2330</v>
      </c>
      <c r="D1074" s="32" t="s">
        <v>242</v>
      </c>
      <c r="E1074" s="32" t="s">
        <v>243</v>
      </c>
      <c r="F1074" s="32" t="s">
        <v>316</v>
      </c>
      <c r="G1074" s="33">
        <v>1271</v>
      </c>
      <c r="H1074" s="34">
        <v>2</v>
      </c>
      <c r="I1074" s="31">
        <v>15300</v>
      </c>
      <c r="J1074" s="35" t="s">
        <v>1132</v>
      </c>
      <c r="K1074" s="36">
        <v>2021</v>
      </c>
    </row>
    <row r="1075" spans="1:11" ht="15" customHeight="1" x14ac:dyDescent="0.3">
      <c r="A1075" s="37">
        <v>1070</v>
      </c>
      <c r="B1075" s="38" t="s">
        <v>1918</v>
      </c>
      <c r="C1075" s="38" t="s">
        <v>2331</v>
      </c>
      <c r="D1075" s="38" t="s">
        <v>1386</v>
      </c>
      <c r="E1075" s="38" t="s">
        <v>1746</v>
      </c>
      <c r="F1075" s="38" t="s">
        <v>937</v>
      </c>
      <c r="G1075" s="39">
        <v>6470</v>
      </c>
      <c r="H1075" s="40">
        <v>3.4820000000000002</v>
      </c>
      <c r="I1075" s="37">
        <v>265000</v>
      </c>
      <c r="J1075" s="41" t="s">
        <v>1132</v>
      </c>
      <c r="K1075" s="42">
        <v>2021</v>
      </c>
    </row>
    <row r="1076" spans="1:11" ht="15" customHeight="1" x14ac:dyDescent="0.3">
      <c r="A1076" s="31">
        <v>1071</v>
      </c>
      <c r="B1076" s="32" t="s">
        <v>1918</v>
      </c>
      <c r="C1076" s="32" t="s">
        <v>2332</v>
      </c>
      <c r="D1076" s="32" t="s">
        <v>2333</v>
      </c>
      <c r="E1076" s="32" t="s">
        <v>37</v>
      </c>
      <c r="F1076" s="32" t="s">
        <v>373</v>
      </c>
      <c r="G1076" s="33">
        <v>10</v>
      </c>
      <c r="H1076" s="34">
        <v>3.9E-2</v>
      </c>
      <c r="I1076" s="31">
        <v>137260</v>
      </c>
      <c r="J1076" s="35" t="s">
        <v>1132</v>
      </c>
      <c r="K1076" s="36">
        <v>2021</v>
      </c>
    </row>
    <row r="1077" spans="1:11" ht="15" customHeight="1" x14ac:dyDescent="0.3">
      <c r="A1077" s="37">
        <v>1072</v>
      </c>
      <c r="B1077" s="38" t="s">
        <v>2334</v>
      </c>
      <c r="C1077" s="38" t="s">
        <v>2335</v>
      </c>
      <c r="D1077" s="38" t="s">
        <v>2336</v>
      </c>
      <c r="E1077" s="38" t="s">
        <v>41</v>
      </c>
      <c r="F1077" s="38" t="s">
        <v>435</v>
      </c>
      <c r="G1077" s="39">
        <v>4048</v>
      </c>
      <c r="H1077" s="40">
        <v>3.7250000000000001</v>
      </c>
      <c r="I1077" s="37">
        <v>219260</v>
      </c>
      <c r="J1077" s="41" t="s">
        <v>1259</v>
      </c>
      <c r="K1077" s="42">
        <v>2021</v>
      </c>
    </row>
    <row r="1078" spans="1:11" ht="15" customHeight="1" x14ac:dyDescent="0.3">
      <c r="A1078" s="31">
        <v>1073</v>
      </c>
      <c r="B1078" s="32" t="s">
        <v>2334</v>
      </c>
      <c r="C1078" s="32" t="s">
        <v>2337</v>
      </c>
      <c r="D1078" s="32" t="s">
        <v>2338</v>
      </c>
      <c r="E1078" s="32" t="s">
        <v>1801</v>
      </c>
      <c r="F1078" s="32" t="s">
        <v>335</v>
      </c>
      <c r="G1078" s="33">
        <v>343.72</v>
      </c>
      <c r="H1078" s="34">
        <v>1.2729999999999999</v>
      </c>
      <c r="I1078" s="31">
        <v>137260</v>
      </c>
      <c r="J1078" s="35" t="s">
        <v>1259</v>
      </c>
      <c r="K1078" s="36">
        <v>2021</v>
      </c>
    </row>
    <row r="1079" spans="1:11" ht="15" customHeight="1" x14ac:dyDescent="0.3">
      <c r="A1079" s="37">
        <v>1074</v>
      </c>
      <c r="B1079" s="38" t="s">
        <v>2334</v>
      </c>
      <c r="C1079" s="38" t="s">
        <v>2339</v>
      </c>
      <c r="D1079" s="38" t="s">
        <v>1702</v>
      </c>
      <c r="E1079" s="38" t="s">
        <v>57</v>
      </c>
      <c r="F1079" s="38" t="s">
        <v>698</v>
      </c>
      <c r="G1079" s="39">
        <v>611</v>
      </c>
      <c r="H1079" s="40">
        <v>6</v>
      </c>
      <c r="I1079" s="37">
        <v>275260</v>
      </c>
      <c r="J1079" s="41" t="s">
        <v>1259</v>
      </c>
      <c r="K1079" s="42">
        <v>2021</v>
      </c>
    </row>
    <row r="1080" spans="1:11" ht="15" customHeight="1" x14ac:dyDescent="0.3">
      <c r="A1080" s="31">
        <v>1075</v>
      </c>
      <c r="B1080" s="32" t="s">
        <v>2334</v>
      </c>
      <c r="C1080" s="32" t="s">
        <v>2340</v>
      </c>
      <c r="D1080" s="32" t="s">
        <v>36</v>
      </c>
      <c r="E1080" s="32" t="s">
        <v>43</v>
      </c>
      <c r="F1080" s="32" t="s">
        <v>276</v>
      </c>
      <c r="G1080" s="33">
        <v>558</v>
      </c>
      <c r="H1080" s="34">
        <v>2</v>
      </c>
      <c r="I1080" s="31">
        <v>163260</v>
      </c>
      <c r="J1080" s="35" t="s">
        <v>1259</v>
      </c>
      <c r="K1080" s="36">
        <v>2021</v>
      </c>
    </row>
    <row r="1081" spans="1:11" ht="15" customHeight="1" x14ac:dyDescent="0.3">
      <c r="A1081" s="37">
        <v>1076</v>
      </c>
      <c r="B1081" s="38" t="s">
        <v>2334</v>
      </c>
      <c r="C1081" s="38" t="s">
        <v>2341</v>
      </c>
      <c r="D1081" s="38" t="s">
        <v>1058</v>
      </c>
      <c r="E1081" s="38" t="s">
        <v>477</v>
      </c>
      <c r="F1081" s="38" t="s">
        <v>312</v>
      </c>
      <c r="G1081" s="39">
        <v>410</v>
      </c>
      <c r="H1081" s="40">
        <v>0.48899999999999999</v>
      </c>
      <c r="I1081" s="37">
        <v>137260</v>
      </c>
      <c r="J1081" s="41" t="s">
        <v>1259</v>
      </c>
      <c r="K1081" s="42">
        <v>2021</v>
      </c>
    </row>
    <row r="1082" spans="1:11" ht="15" customHeight="1" x14ac:dyDescent="0.3">
      <c r="A1082" s="31">
        <v>1077</v>
      </c>
      <c r="B1082" s="32" t="s">
        <v>2334</v>
      </c>
      <c r="C1082" s="32" t="s">
        <v>2342</v>
      </c>
      <c r="D1082" s="32" t="s">
        <v>1664</v>
      </c>
      <c r="E1082" s="32" t="s">
        <v>1665</v>
      </c>
      <c r="F1082" s="32" t="s">
        <v>435</v>
      </c>
      <c r="G1082" s="33">
        <v>3676</v>
      </c>
      <c r="H1082" s="34">
        <v>8</v>
      </c>
      <c r="I1082" s="31">
        <v>321000</v>
      </c>
      <c r="J1082" s="35" t="s">
        <v>1259</v>
      </c>
      <c r="K1082" s="36">
        <v>2021</v>
      </c>
    </row>
    <row r="1083" spans="1:11" ht="15" customHeight="1" x14ac:dyDescent="0.3">
      <c r="A1083" s="37">
        <v>1078</v>
      </c>
      <c r="B1083" s="38" t="s">
        <v>2334</v>
      </c>
      <c r="C1083" s="38" t="s">
        <v>2343</v>
      </c>
      <c r="D1083" s="38" t="s">
        <v>325</v>
      </c>
      <c r="E1083" s="38" t="s">
        <v>59</v>
      </c>
      <c r="F1083" s="38" t="s">
        <v>276</v>
      </c>
      <c r="G1083" s="39">
        <v>395</v>
      </c>
      <c r="H1083" s="40">
        <v>2</v>
      </c>
      <c r="I1083" s="37">
        <v>163260</v>
      </c>
      <c r="J1083" s="41" t="s">
        <v>1259</v>
      </c>
      <c r="K1083" s="42">
        <v>2021</v>
      </c>
    </row>
    <row r="1084" spans="1:11" ht="15" customHeight="1" x14ac:dyDescent="0.3">
      <c r="A1084" s="31">
        <v>1079</v>
      </c>
      <c r="B1084" s="32" t="s">
        <v>2334</v>
      </c>
      <c r="C1084" s="32" t="s">
        <v>2344</v>
      </c>
      <c r="D1084" s="32" t="s">
        <v>2345</v>
      </c>
      <c r="E1084" s="32" t="s">
        <v>857</v>
      </c>
      <c r="F1084" s="32" t="s">
        <v>306</v>
      </c>
      <c r="G1084" s="33">
        <v>105</v>
      </c>
      <c r="H1084" s="34">
        <v>0.69399999999999995</v>
      </c>
      <c r="I1084" s="31">
        <v>137260</v>
      </c>
      <c r="J1084" s="35" t="s">
        <v>1259</v>
      </c>
      <c r="K1084" s="36">
        <v>2021</v>
      </c>
    </row>
    <row r="1085" spans="1:11" ht="15" customHeight="1" x14ac:dyDescent="0.3">
      <c r="A1085" s="37">
        <v>1080</v>
      </c>
      <c r="B1085" s="38" t="s">
        <v>272</v>
      </c>
      <c r="C1085" s="38" t="s">
        <v>2346</v>
      </c>
      <c r="D1085" s="38" t="s">
        <v>2347</v>
      </c>
      <c r="E1085" s="38" t="s">
        <v>2348</v>
      </c>
      <c r="F1085" s="38" t="s">
        <v>276</v>
      </c>
      <c r="G1085" s="39">
        <v>172.5</v>
      </c>
      <c r="H1085" s="40">
        <v>0.48</v>
      </c>
      <c r="I1085" s="37">
        <v>137260</v>
      </c>
      <c r="J1085" s="41" t="s">
        <v>1259</v>
      </c>
      <c r="K1085" s="42">
        <v>2021</v>
      </c>
    </row>
    <row r="1086" spans="1:11" ht="15" customHeight="1" x14ac:dyDescent="0.3">
      <c r="A1086" s="31">
        <v>1081</v>
      </c>
      <c r="B1086" s="32" t="s">
        <v>272</v>
      </c>
      <c r="C1086" s="32" t="s">
        <v>2349</v>
      </c>
      <c r="D1086" s="32" t="s">
        <v>538</v>
      </c>
      <c r="E1086" s="32" t="s">
        <v>37</v>
      </c>
      <c r="F1086" s="32" t="s">
        <v>276</v>
      </c>
      <c r="G1086" s="33">
        <v>560</v>
      </c>
      <c r="H1086" s="34">
        <v>1.8720000000000001</v>
      </c>
      <c r="I1086" s="31">
        <v>163260</v>
      </c>
      <c r="J1086" s="35" t="s">
        <v>1259</v>
      </c>
      <c r="K1086" s="36">
        <v>2021</v>
      </c>
    </row>
    <row r="1087" spans="1:11" ht="15" customHeight="1" x14ac:dyDescent="0.3">
      <c r="A1087" s="37">
        <v>1082</v>
      </c>
      <c r="B1087" s="38" t="s">
        <v>272</v>
      </c>
      <c r="C1087" s="38" t="s">
        <v>2350</v>
      </c>
      <c r="D1087" s="38" t="s">
        <v>2351</v>
      </c>
      <c r="E1087" s="38" t="s">
        <v>2352</v>
      </c>
      <c r="F1087" s="38" t="s">
        <v>276</v>
      </c>
      <c r="G1087" s="39">
        <v>600</v>
      </c>
      <c r="H1087" s="40">
        <v>5</v>
      </c>
      <c r="I1087" s="37">
        <v>245000</v>
      </c>
      <c r="J1087" s="41" t="s">
        <v>1259</v>
      </c>
      <c r="K1087" s="42">
        <v>2021</v>
      </c>
    </row>
    <row r="1088" spans="1:11" ht="15" customHeight="1" x14ac:dyDescent="0.3">
      <c r="A1088" s="31">
        <v>1083</v>
      </c>
      <c r="B1088" s="32" t="s">
        <v>272</v>
      </c>
      <c r="C1088" s="32" t="s">
        <v>2353</v>
      </c>
      <c r="D1088" s="32" t="s">
        <v>1623</v>
      </c>
      <c r="E1088" s="32" t="s">
        <v>648</v>
      </c>
      <c r="F1088" s="32" t="s">
        <v>402</v>
      </c>
      <c r="G1088" s="33">
        <v>3123.44</v>
      </c>
      <c r="H1088" s="34">
        <v>4</v>
      </c>
      <c r="I1088" s="31">
        <v>219260</v>
      </c>
      <c r="J1088" s="35" t="s">
        <v>1259</v>
      </c>
      <c r="K1088" s="36">
        <v>2021</v>
      </c>
    </row>
    <row r="1089" spans="1:11" ht="15" customHeight="1" x14ac:dyDescent="0.3">
      <c r="A1089" s="37">
        <v>1084</v>
      </c>
      <c r="B1089" s="38" t="s">
        <v>272</v>
      </c>
      <c r="C1089" s="38" t="s">
        <v>2354</v>
      </c>
      <c r="D1089" s="38" t="s">
        <v>2355</v>
      </c>
      <c r="E1089" s="38" t="s">
        <v>2356</v>
      </c>
      <c r="F1089" s="38" t="s">
        <v>276</v>
      </c>
      <c r="G1089" s="39">
        <v>167</v>
      </c>
      <c r="H1089" s="40">
        <v>0.82599999999999996</v>
      </c>
      <c r="I1089" s="37">
        <v>137260</v>
      </c>
      <c r="J1089" s="41" t="s">
        <v>1259</v>
      </c>
      <c r="K1089" s="42">
        <v>2021</v>
      </c>
    </row>
    <row r="1090" spans="1:11" ht="15" customHeight="1" x14ac:dyDescent="0.3">
      <c r="A1090" s="31">
        <v>1085</v>
      </c>
      <c r="B1090" s="32" t="s">
        <v>272</v>
      </c>
      <c r="C1090" s="32" t="s">
        <v>2357</v>
      </c>
      <c r="D1090" s="32" t="s">
        <v>48</v>
      </c>
      <c r="E1090" s="32" t="s">
        <v>35</v>
      </c>
      <c r="F1090" s="32" t="s">
        <v>276</v>
      </c>
      <c r="G1090" s="33">
        <v>383</v>
      </c>
      <c r="H1090" s="34">
        <v>0.72899999999999998</v>
      </c>
      <c r="I1090" s="31">
        <v>137260</v>
      </c>
      <c r="J1090" s="35" t="s">
        <v>1259</v>
      </c>
      <c r="K1090" s="36">
        <v>2021</v>
      </c>
    </row>
    <row r="1091" spans="1:11" ht="15" customHeight="1" x14ac:dyDescent="0.3">
      <c r="A1091" s="37">
        <v>1086</v>
      </c>
      <c r="B1091" s="38" t="s">
        <v>272</v>
      </c>
      <c r="C1091" s="38" t="s">
        <v>2358</v>
      </c>
      <c r="D1091" s="38" t="s">
        <v>2359</v>
      </c>
      <c r="E1091" s="38" t="s">
        <v>2360</v>
      </c>
      <c r="F1091" s="38" t="s">
        <v>435</v>
      </c>
      <c r="G1091" s="39">
        <v>1577</v>
      </c>
      <c r="H1091" s="40">
        <v>2.4580000000000002</v>
      </c>
      <c r="I1091" s="37">
        <v>163260</v>
      </c>
      <c r="J1091" s="41" t="s">
        <v>1259</v>
      </c>
      <c r="K1091" s="42">
        <v>2021</v>
      </c>
    </row>
    <row r="1092" spans="1:11" ht="15" customHeight="1" x14ac:dyDescent="0.3">
      <c r="A1092" s="31">
        <v>1087</v>
      </c>
      <c r="B1092" s="32" t="s">
        <v>272</v>
      </c>
      <c r="C1092" s="32" t="s">
        <v>2361</v>
      </c>
      <c r="D1092" s="32" t="s">
        <v>1844</v>
      </c>
      <c r="E1092" s="32" t="s">
        <v>35</v>
      </c>
      <c r="F1092" s="32" t="s">
        <v>689</v>
      </c>
      <c r="G1092" s="33">
        <v>3607</v>
      </c>
      <c r="H1092" s="34">
        <v>3.2879999999999998</v>
      </c>
      <c r="I1092" s="31">
        <v>219260</v>
      </c>
      <c r="J1092" s="35" t="s">
        <v>1259</v>
      </c>
      <c r="K1092" s="36">
        <v>2021</v>
      </c>
    </row>
    <row r="1093" spans="1:11" ht="15" customHeight="1" x14ac:dyDescent="0.3">
      <c r="A1093" s="37">
        <v>1088</v>
      </c>
      <c r="B1093" s="38" t="s">
        <v>272</v>
      </c>
      <c r="C1093" s="38" t="s">
        <v>2362</v>
      </c>
      <c r="D1093" s="38" t="s">
        <v>2363</v>
      </c>
      <c r="E1093" s="38" t="s">
        <v>43</v>
      </c>
      <c r="F1093" s="38" t="s">
        <v>306</v>
      </c>
      <c r="G1093" s="39">
        <v>680</v>
      </c>
      <c r="H1093" s="40">
        <v>2.2080000000000002</v>
      </c>
      <c r="I1093" s="37">
        <v>161000</v>
      </c>
      <c r="J1093" s="41" t="s">
        <v>1259</v>
      </c>
      <c r="K1093" s="42">
        <v>2021</v>
      </c>
    </row>
    <row r="1094" spans="1:11" ht="15" customHeight="1" x14ac:dyDescent="0.3">
      <c r="A1094" s="31">
        <v>1089</v>
      </c>
      <c r="B1094" s="32" t="s">
        <v>272</v>
      </c>
      <c r="C1094" s="32" t="s">
        <v>2364</v>
      </c>
      <c r="D1094" s="32" t="s">
        <v>2365</v>
      </c>
      <c r="E1094" s="32" t="s">
        <v>35</v>
      </c>
      <c r="F1094" s="32" t="s">
        <v>312</v>
      </c>
      <c r="G1094" s="33">
        <v>194</v>
      </c>
      <c r="H1094" s="34">
        <v>0.54400000000000004</v>
      </c>
      <c r="I1094" s="31">
        <v>137260</v>
      </c>
      <c r="J1094" s="35" t="s">
        <v>1259</v>
      </c>
      <c r="K1094" s="36">
        <v>2021</v>
      </c>
    </row>
    <row r="1095" spans="1:11" ht="15" customHeight="1" x14ac:dyDescent="0.3">
      <c r="A1095" s="37">
        <v>1090</v>
      </c>
      <c r="B1095" s="38" t="s">
        <v>272</v>
      </c>
      <c r="C1095" s="38" t="s">
        <v>2366</v>
      </c>
      <c r="D1095" s="38" t="s">
        <v>2367</v>
      </c>
      <c r="E1095" s="38" t="s">
        <v>2368</v>
      </c>
      <c r="F1095" s="38" t="s">
        <v>316</v>
      </c>
      <c r="G1095" s="39">
        <v>814</v>
      </c>
      <c r="H1095" s="40">
        <v>2</v>
      </c>
      <c r="I1095" s="37">
        <v>161000</v>
      </c>
      <c r="J1095" s="41" t="s">
        <v>1259</v>
      </c>
      <c r="K1095" s="42">
        <v>2021</v>
      </c>
    </row>
    <row r="1096" spans="1:11" ht="15" customHeight="1" x14ac:dyDescent="0.3">
      <c r="A1096" s="31">
        <v>1091</v>
      </c>
      <c r="B1096" s="32" t="s">
        <v>272</v>
      </c>
      <c r="C1096" s="32" t="s">
        <v>2369</v>
      </c>
      <c r="D1096" s="32" t="s">
        <v>1198</v>
      </c>
      <c r="E1096" s="32" t="s">
        <v>1613</v>
      </c>
      <c r="F1096" s="32" t="s">
        <v>287</v>
      </c>
      <c r="G1096" s="33">
        <v>1545.1</v>
      </c>
      <c r="H1096" s="34">
        <v>4</v>
      </c>
      <c r="I1096" s="31">
        <v>219260</v>
      </c>
      <c r="J1096" s="35" t="s">
        <v>1259</v>
      </c>
      <c r="K1096" s="36">
        <v>2021</v>
      </c>
    </row>
    <row r="1097" spans="1:11" ht="15" customHeight="1" x14ac:dyDescent="0.3">
      <c r="A1097" s="37">
        <v>1092</v>
      </c>
      <c r="B1097" s="38" t="s">
        <v>272</v>
      </c>
      <c r="C1097" s="38" t="s">
        <v>2370</v>
      </c>
      <c r="D1097" s="38" t="s">
        <v>2371</v>
      </c>
      <c r="E1097" s="38" t="s">
        <v>2372</v>
      </c>
      <c r="F1097" s="38" t="s">
        <v>287</v>
      </c>
      <c r="G1097" s="39">
        <v>260</v>
      </c>
      <c r="H1097" s="40">
        <v>4.2839999999999998</v>
      </c>
      <c r="I1097" s="37">
        <v>219260</v>
      </c>
      <c r="J1097" s="41" t="s">
        <v>1259</v>
      </c>
      <c r="K1097" s="42">
        <v>2021</v>
      </c>
    </row>
    <row r="1098" spans="1:11" ht="15" customHeight="1" x14ac:dyDescent="0.3">
      <c r="A1098" s="31">
        <v>1093</v>
      </c>
      <c r="B1098" s="32" t="s">
        <v>1918</v>
      </c>
      <c r="C1098" s="32" t="s">
        <v>2246</v>
      </c>
      <c r="D1098" s="32" t="s">
        <v>1642</v>
      </c>
      <c r="E1098" s="32" t="s">
        <v>61</v>
      </c>
      <c r="F1098" s="32" t="s">
        <v>276</v>
      </c>
      <c r="G1098" s="33">
        <v>936.8</v>
      </c>
      <c r="H1098" s="34">
        <v>1.3939999999999999</v>
      </c>
      <c r="I1098" s="31">
        <v>135000</v>
      </c>
      <c r="J1098" s="35" t="s">
        <v>1259</v>
      </c>
      <c r="K1098" s="36">
        <v>2021</v>
      </c>
    </row>
    <row r="1099" spans="1:11" ht="15" customHeight="1" x14ac:dyDescent="0.3">
      <c r="A1099" s="37">
        <v>1094</v>
      </c>
      <c r="B1099" s="38" t="s">
        <v>1918</v>
      </c>
      <c r="C1099" s="38" t="s">
        <v>2373</v>
      </c>
      <c r="D1099" s="38" t="s">
        <v>2374</v>
      </c>
      <c r="E1099" s="38" t="s">
        <v>2375</v>
      </c>
      <c r="F1099" s="38" t="s">
        <v>329</v>
      </c>
      <c r="G1099" s="39">
        <v>110</v>
      </c>
      <c r="H1099" s="40">
        <v>0.874</v>
      </c>
      <c r="I1099" s="37">
        <v>135000</v>
      </c>
      <c r="J1099" s="41" t="s">
        <v>1259</v>
      </c>
      <c r="K1099" s="42">
        <v>2021</v>
      </c>
    </row>
    <row r="1100" spans="1:11" ht="15" customHeight="1" x14ac:dyDescent="0.3">
      <c r="A1100" s="31">
        <v>1095</v>
      </c>
      <c r="B1100" s="32" t="s">
        <v>1918</v>
      </c>
      <c r="C1100" s="32" t="s">
        <v>2376</v>
      </c>
      <c r="D1100" s="32" t="s">
        <v>841</v>
      </c>
      <c r="E1100" s="32" t="s">
        <v>37</v>
      </c>
      <c r="F1100" s="32" t="s">
        <v>312</v>
      </c>
      <c r="G1100" s="33">
        <v>138</v>
      </c>
      <c r="H1100" s="34">
        <v>0.35599999999999998</v>
      </c>
      <c r="I1100" s="31">
        <v>137260</v>
      </c>
      <c r="J1100" s="35" t="s">
        <v>1259</v>
      </c>
      <c r="K1100" s="36">
        <v>2021</v>
      </c>
    </row>
    <row r="1101" spans="1:11" ht="15" customHeight="1" x14ac:dyDescent="0.3">
      <c r="A1101" s="37">
        <v>1096</v>
      </c>
      <c r="B1101" s="38" t="s">
        <v>1918</v>
      </c>
      <c r="C1101" s="38" t="s">
        <v>2377</v>
      </c>
      <c r="D1101" s="38" t="s">
        <v>54</v>
      </c>
      <c r="E1101" s="38" t="s">
        <v>35</v>
      </c>
      <c r="F1101" s="38" t="s">
        <v>406</v>
      </c>
      <c r="G1101" s="39">
        <v>1028</v>
      </c>
      <c r="H1101" s="40">
        <v>0.26400000000000001</v>
      </c>
      <c r="I1101" s="37">
        <v>137260</v>
      </c>
      <c r="J1101" s="41" t="s">
        <v>1259</v>
      </c>
      <c r="K1101" s="42">
        <v>2021</v>
      </c>
    </row>
    <row r="1102" spans="1:11" ht="15" customHeight="1" x14ac:dyDescent="0.3">
      <c r="A1102" s="31">
        <v>1097</v>
      </c>
      <c r="B1102" s="32" t="s">
        <v>1918</v>
      </c>
      <c r="C1102" s="32" t="s">
        <v>2378</v>
      </c>
      <c r="D1102" s="32" t="s">
        <v>2379</v>
      </c>
      <c r="E1102" s="32" t="s">
        <v>2380</v>
      </c>
      <c r="F1102" s="32" t="s">
        <v>316</v>
      </c>
      <c r="G1102" s="33">
        <v>316</v>
      </c>
      <c r="H1102" s="34">
        <v>2.52</v>
      </c>
      <c r="I1102" s="31">
        <v>163260</v>
      </c>
      <c r="J1102" s="35" t="s">
        <v>1259</v>
      </c>
      <c r="K1102" s="36">
        <v>2021</v>
      </c>
    </row>
    <row r="1103" spans="1:11" ht="15" customHeight="1" x14ac:dyDescent="0.3">
      <c r="A1103" s="37">
        <v>1098</v>
      </c>
      <c r="B1103" s="38" t="s">
        <v>1918</v>
      </c>
      <c r="C1103" s="38" t="s">
        <v>2381</v>
      </c>
      <c r="D1103" s="38" t="s">
        <v>2382</v>
      </c>
      <c r="E1103" s="38" t="s">
        <v>2383</v>
      </c>
      <c r="F1103" s="38" t="s">
        <v>276</v>
      </c>
      <c r="G1103" s="39">
        <v>70</v>
      </c>
      <c r="H1103" s="40">
        <v>0.91200000000000003</v>
      </c>
      <c r="I1103" s="37">
        <v>137260</v>
      </c>
      <c r="J1103" s="41" t="s">
        <v>1259</v>
      </c>
      <c r="K1103" s="42">
        <v>2021</v>
      </c>
    </row>
    <row r="1104" spans="1:11" ht="15" customHeight="1" x14ac:dyDescent="0.3">
      <c r="A1104" s="31">
        <v>1099</v>
      </c>
      <c r="B1104" s="32" t="s">
        <v>1918</v>
      </c>
      <c r="C1104" s="32" t="s">
        <v>2384</v>
      </c>
      <c r="D1104" s="32" t="s">
        <v>1806</v>
      </c>
      <c r="E1104" s="32" t="s">
        <v>49</v>
      </c>
      <c r="F1104" s="32" t="s">
        <v>1095</v>
      </c>
      <c r="G1104" s="33">
        <v>100.33</v>
      </c>
      <c r="H1104" s="34">
        <v>0.61</v>
      </c>
      <c r="I1104" s="31">
        <v>135000</v>
      </c>
      <c r="J1104" s="35" t="s">
        <v>1259</v>
      </c>
      <c r="K1104" s="36">
        <v>2021</v>
      </c>
    </row>
    <row r="1105" spans="1:11" ht="15" customHeight="1" x14ac:dyDescent="0.3">
      <c r="A1105" s="37">
        <v>1100</v>
      </c>
      <c r="B1105" s="38" t="s">
        <v>1918</v>
      </c>
      <c r="C1105" s="38" t="s">
        <v>2385</v>
      </c>
      <c r="D1105" s="38" t="s">
        <v>2107</v>
      </c>
      <c r="E1105" s="38" t="s">
        <v>2386</v>
      </c>
      <c r="F1105" s="38" t="s">
        <v>693</v>
      </c>
      <c r="G1105" s="39">
        <v>1588.0429999999999</v>
      </c>
      <c r="H1105" s="40">
        <v>4.1660000000000004</v>
      </c>
      <c r="I1105" s="37">
        <v>219260</v>
      </c>
      <c r="J1105" s="41" t="s">
        <v>1259</v>
      </c>
      <c r="K1105" s="42">
        <v>2021</v>
      </c>
    </row>
    <row r="1106" spans="1:11" ht="15" customHeight="1" x14ac:dyDescent="0.3">
      <c r="A1106" s="31">
        <v>1101</v>
      </c>
      <c r="B1106" s="32" t="s">
        <v>1918</v>
      </c>
      <c r="C1106" s="32" t="s">
        <v>2387</v>
      </c>
      <c r="D1106" s="32" t="s">
        <v>2388</v>
      </c>
      <c r="E1106" s="32" t="s">
        <v>2389</v>
      </c>
      <c r="F1106" s="32" t="s">
        <v>276</v>
      </c>
      <c r="G1106" s="33">
        <v>111.5</v>
      </c>
      <c r="H1106" s="34">
        <v>0.52800000000000002</v>
      </c>
      <c r="I1106" s="31">
        <v>137260</v>
      </c>
      <c r="J1106" s="35" t="s">
        <v>1259</v>
      </c>
      <c r="K1106" s="36">
        <v>2021</v>
      </c>
    </row>
    <row r="1107" spans="1:11" ht="15" customHeight="1" x14ac:dyDescent="0.3">
      <c r="A1107" s="37">
        <v>1102</v>
      </c>
      <c r="B1107" s="38" t="s">
        <v>1918</v>
      </c>
      <c r="C1107" s="38" t="s">
        <v>2390</v>
      </c>
      <c r="D1107" s="38" t="s">
        <v>933</v>
      </c>
      <c r="E1107" s="38" t="s">
        <v>2391</v>
      </c>
      <c r="F1107" s="38" t="s">
        <v>373</v>
      </c>
      <c r="G1107" s="39">
        <v>970</v>
      </c>
      <c r="H1107" s="40">
        <v>6</v>
      </c>
      <c r="I1107" s="37">
        <v>273000</v>
      </c>
      <c r="J1107" s="41" t="s">
        <v>1259</v>
      </c>
      <c r="K1107" s="42">
        <v>2021</v>
      </c>
    </row>
    <row r="1108" spans="1:11" ht="15" customHeight="1" x14ac:dyDescent="0.3">
      <c r="A1108" s="31">
        <v>1103</v>
      </c>
      <c r="B1108" s="32" t="s">
        <v>1918</v>
      </c>
      <c r="C1108" s="32" t="s">
        <v>2392</v>
      </c>
      <c r="D1108" s="32" t="s">
        <v>2393</v>
      </c>
      <c r="E1108" s="32" t="s">
        <v>2394</v>
      </c>
      <c r="F1108" s="32" t="s">
        <v>517</v>
      </c>
      <c r="G1108" s="33">
        <v>2403</v>
      </c>
      <c r="H1108" s="34">
        <v>2.2050000000000001</v>
      </c>
      <c r="I1108" s="31">
        <v>163260</v>
      </c>
      <c r="J1108" s="35" t="s">
        <v>1259</v>
      </c>
      <c r="K1108" s="36">
        <v>2021</v>
      </c>
    </row>
    <row r="1109" spans="1:11" ht="15" customHeight="1" x14ac:dyDescent="0.3">
      <c r="A1109" s="37">
        <v>1104</v>
      </c>
      <c r="B1109" s="38" t="s">
        <v>1918</v>
      </c>
      <c r="C1109" s="38" t="s">
        <v>2395</v>
      </c>
      <c r="D1109" s="38" t="s">
        <v>38</v>
      </c>
      <c r="E1109" s="38" t="s">
        <v>51</v>
      </c>
      <c r="F1109" s="38" t="s">
        <v>689</v>
      </c>
      <c r="G1109" s="39">
        <v>2408.79</v>
      </c>
      <c r="H1109" s="40">
        <v>9</v>
      </c>
      <c r="I1109" s="37">
        <v>348000</v>
      </c>
      <c r="J1109" s="41" t="s">
        <v>1259</v>
      </c>
      <c r="K1109" s="42">
        <v>2021</v>
      </c>
    </row>
    <row r="1110" spans="1:11" ht="15" customHeight="1" x14ac:dyDescent="0.3">
      <c r="A1110" s="31">
        <v>1105</v>
      </c>
      <c r="B1110" s="32" t="s">
        <v>1918</v>
      </c>
      <c r="C1110" s="32" t="s">
        <v>2396</v>
      </c>
      <c r="D1110" s="32" t="s">
        <v>38</v>
      </c>
      <c r="E1110" s="32" t="s">
        <v>51</v>
      </c>
      <c r="F1110" s="32" t="s">
        <v>276</v>
      </c>
      <c r="G1110" s="33">
        <v>288</v>
      </c>
      <c r="H1110" s="34">
        <v>2</v>
      </c>
      <c r="I1110" s="31">
        <v>163260</v>
      </c>
      <c r="J1110" s="35" t="s">
        <v>1259</v>
      </c>
      <c r="K1110" s="36">
        <v>2021</v>
      </c>
    </row>
    <row r="1111" spans="1:11" ht="15" customHeight="1" x14ac:dyDescent="0.3">
      <c r="A1111" s="37">
        <v>1106</v>
      </c>
      <c r="B1111" s="38" t="s">
        <v>1918</v>
      </c>
      <c r="C1111" s="38" t="s">
        <v>2397</v>
      </c>
      <c r="D1111" s="38" t="s">
        <v>38</v>
      </c>
      <c r="E1111" s="38" t="s">
        <v>51</v>
      </c>
      <c r="F1111" s="38" t="s">
        <v>312</v>
      </c>
      <c r="G1111" s="39">
        <v>103</v>
      </c>
      <c r="H1111" s="40">
        <v>0.1</v>
      </c>
      <c r="I1111" s="37">
        <v>135000</v>
      </c>
      <c r="J1111" s="41" t="s">
        <v>1259</v>
      </c>
      <c r="K1111" s="42">
        <v>2021</v>
      </c>
    </row>
    <row r="1112" spans="1:11" ht="15" customHeight="1" x14ac:dyDescent="0.3">
      <c r="A1112" s="31">
        <v>1107</v>
      </c>
      <c r="B1112" s="32" t="s">
        <v>1918</v>
      </c>
      <c r="C1112" s="32" t="s">
        <v>2398</v>
      </c>
      <c r="D1112" s="32" t="s">
        <v>38</v>
      </c>
      <c r="E1112" s="32" t="s">
        <v>51</v>
      </c>
      <c r="F1112" s="32" t="s">
        <v>287</v>
      </c>
      <c r="G1112" s="33">
        <v>1710</v>
      </c>
      <c r="H1112" s="34">
        <v>5</v>
      </c>
      <c r="I1112" s="31">
        <v>247260</v>
      </c>
      <c r="J1112" s="35" t="s">
        <v>1259</v>
      </c>
      <c r="K1112" s="36">
        <v>2021</v>
      </c>
    </row>
    <row r="1113" spans="1:11" ht="15" customHeight="1" x14ac:dyDescent="0.3">
      <c r="A1113" s="37">
        <v>1108</v>
      </c>
      <c r="B1113" s="38" t="s">
        <v>1918</v>
      </c>
      <c r="C1113" s="38" t="s">
        <v>2399</v>
      </c>
      <c r="D1113" s="38" t="s">
        <v>36</v>
      </c>
      <c r="E1113" s="38" t="s">
        <v>43</v>
      </c>
      <c r="F1113" s="38" t="s">
        <v>312</v>
      </c>
      <c r="G1113" s="39">
        <v>195</v>
      </c>
      <c r="H1113" s="40">
        <v>0.67200000000000004</v>
      </c>
      <c r="I1113" s="37">
        <v>137260</v>
      </c>
      <c r="J1113" s="41" t="s">
        <v>1259</v>
      </c>
      <c r="K1113" s="42">
        <v>2021</v>
      </c>
    </row>
    <row r="1114" spans="1:11" ht="15" customHeight="1" x14ac:dyDescent="0.3">
      <c r="A1114" s="31">
        <v>1109</v>
      </c>
      <c r="B1114" s="32" t="s">
        <v>1918</v>
      </c>
      <c r="C1114" s="32" t="s">
        <v>2400</v>
      </c>
      <c r="D1114" s="32" t="s">
        <v>2266</v>
      </c>
      <c r="E1114" s="32" t="s">
        <v>2267</v>
      </c>
      <c r="F1114" s="32" t="s">
        <v>435</v>
      </c>
      <c r="G1114" s="33">
        <v>1563.19</v>
      </c>
      <c r="H1114" s="34">
        <v>6</v>
      </c>
      <c r="I1114" s="31">
        <v>275260</v>
      </c>
      <c r="J1114" s="35" t="s">
        <v>1259</v>
      </c>
      <c r="K1114" s="36">
        <v>2021</v>
      </c>
    </row>
    <row r="1115" spans="1:11" ht="15" customHeight="1" x14ac:dyDescent="0.3">
      <c r="A1115" s="37">
        <v>1110</v>
      </c>
      <c r="B1115" s="38" t="s">
        <v>1918</v>
      </c>
      <c r="C1115" s="38" t="s">
        <v>2401</v>
      </c>
      <c r="D1115" s="38" t="s">
        <v>2402</v>
      </c>
      <c r="E1115" s="38" t="s">
        <v>2403</v>
      </c>
      <c r="F1115" s="38" t="s">
        <v>312</v>
      </c>
      <c r="G1115" s="39">
        <v>450</v>
      </c>
      <c r="H1115" s="40">
        <v>2.6</v>
      </c>
      <c r="I1115" s="37">
        <v>189000</v>
      </c>
      <c r="J1115" s="41" t="s">
        <v>1259</v>
      </c>
      <c r="K1115" s="42">
        <v>2021</v>
      </c>
    </row>
    <row r="1116" spans="1:11" ht="15" customHeight="1" x14ac:dyDescent="0.3">
      <c r="A1116" s="31">
        <v>1111</v>
      </c>
      <c r="B1116" s="32" t="s">
        <v>2404</v>
      </c>
      <c r="C1116" s="32" t="s">
        <v>2405</v>
      </c>
      <c r="D1116" s="32" t="s">
        <v>2406</v>
      </c>
      <c r="E1116" s="32" t="s">
        <v>37</v>
      </c>
      <c r="F1116" s="32" t="s">
        <v>287</v>
      </c>
      <c r="G1116" s="33">
        <v>2830</v>
      </c>
      <c r="H1116" s="34">
        <v>3</v>
      </c>
      <c r="I1116" s="31">
        <v>191260</v>
      </c>
      <c r="J1116" s="35" t="s">
        <v>1371</v>
      </c>
      <c r="K1116" s="36">
        <v>2021</v>
      </c>
    </row>
    <row r="1117" spans="1:11" ht="15" customHeight="1" x14ac:dyDescent="0.3">
      <c r="A1117" s="37">
        <v>1112</v>
      </c>
      <c r="B1117" s="38" t="s">
        <v>2404</v>
      </c>
      <c r="C1117" s="38" t="s">
        <v>2407</v>
      </c>
      <c r="D1117" s="38" t="s">
        <v>60</v>
      </c>
      <c r="E1117" s="38" t="s">
        <v>35</v>
      </c>
      <c r="F1117" s="38" t="s">
        <v>276</v>
      </c>
      <c r="G1117" s="39">
        <v>80</v>
      </c>
      <c r="H1117" s="40">
        <v>0.52800000000000002</v>
      </c>
      <c r="I1117" s="37">
        <v>137260</v>
      </c>
      <c r="J1117" s="41" t="s">
        <v>1371</v>
      </c>
      <c r="K1117" s="42">
        <v>2021</v>
      </c>
    </row>
    <row r="1118" spans="1:11" ht="15" customHeight="1" x14ac:dyDescent="0.3">
      <c r="A1118" s="31">
        <v>1113</v>
      </c>
      <c r="B1118" s="32" t="s">
        <v>2404</v>
      </c>
      <c r="C1118" s="32" t="s">
        <v>2408</v>
      </c>
      <c r="D1118" s="32" t="s">
        <v>2409</v>
      </c>
      <c r="E1118" s="32" t="s">
        <v>2410</v>
      </c>
      <c r="F1118" s="32" t="s">
        <v>2411</v>
      </c>
      <c r="G1118" s="33">
        <v>463</v>
      </c>
      <c r="H1118" s="34">
        <v>0.80400000000000005</v>
      </c>
      <c r="I1118" s="31">
        <v>135000</v>
      </c>
      <c r="J1118" s="35" t="s">
        <v>1371</v>
      </c>
      <c r="K1118" s="36">
        <v>2021</v>
      </c>
    </row>
    <row r="1119" spans="1:11" ht="15" customHeight="1" x14ac:dyDescent="0.3">
      <c r="A1119" s="37">
        <v>1114</v>
      </c>
      <c r="B1119" s="38" t="s">
        <v>2404</v>
      </c>
      <c r="C1119" s="38" t="s">
        <v>2412</v>
      </c>
      <c r="D1119" s="38" t="s">
        <v>1743</v>
      </c>
      <c r="E1119" s="38" t="s">
        <v>57</v>
      </c>
      <c r="F1119" s="38" t="s">
        <v>698</v>
      </c>
      <c r="G1119" s="39">
        <v>553.38800000000003</v>
      </c>
      <c r="H1119" s="40">
        <v>3</v>
      </c>
      <c r="I1119" s="37">
        <v>191260</v>
      </c>
      <c r="J1119" s="41" t="s">
        <v>1371</v>
      </c>
      <c r="K1119" s="42">
        <v>2021</v>
      </c>
    </row>
    <row r="1120" spans="1:11" ht="15" customHeight="1" x14ac:dyDescent="0.3">
      <c r="A1120" s="31">
        <v>1115</v>
      </c>
      <c r="B1120" s="32" t="s">
        <v>2404</v>
      </c>
      <c r="C1120" s="32" t="s">
        <v>2413</v>
      </c>
      <c r="D1120" s="32" t="s">
        <v>1743</v>
      </c>
      <c r="E1120" s="32" t="s">
        <v>57</v>
      </c>
      <c r="F1120" s="32" t="s">
        <v>698</v>
      </c>
      <c r="G1120" s="33">
        <v>519.36900000000003</v>
      </c>
      <c r="H1120" s="34">
        <v>3</v>
      </c>
      <c r="I1120" s="31">
        <v>191260</v>
      </c>
      <c r="J1120" s="35" t="s">
        <v>1371</v>
      </c>
      <c r="K1120" s="36">
        <v>2021</v>
      </c>
    </row>
    <row r="1121" spans="1:11" ht="15" customHeight="1" x14ac:dyDescent="0.3">
      <c r="A1121" s="37">
        <v>1116</v>
      </c>
      <c r="B1121" s="38" t="s">
        <v>2404</v>
      </c>
      <c r="C1121" s="38" t="s">
        <v>2414</v>
      </c>
      <c r="D1121" s="38" t="s">
        <v>2415</v>
      </c>
      <c r="E1121" s="38" t="s">
        <v>2320</v>
      </c>
      <c r="F1121" s="38" t="s">
        <v>276</v>
      </c>
      <c r="G1121" s="39">
        <v>500</v>
      </c>
      <c r="H1121" s="40">
        <v>1.2290000000000001</v>
      </c>
      <c r="I1121" s="37">
        <v>135000</v>
      </c>
      <c r="J1121" s="41" t="s">
        <v>1371</v>
      </c>
      <c r="K1121" s="42">
        <v>2021</v>
      </c>
    </row>
    <row r="1122" spans="1:11" ht="15" customHeight="1" x14ac:dyDescent="0.3">
      <c r="A1122" s="31">
        <v>1117</v>
      </c>
      <c r="B1122" s="32" t="s">
        <v>2404</v>
      </c>
      <c r="C1122" s="32" t="s">
        <v>2416</v>
      </c>
      <c r="D1122" s="32" t="s">
        <v>1448</v>
      </c>
      <c r="E1122" s="32" t="s">
        <v>47</v>
      </c>
      <c r="F1122" s="32" t="s">
        <v>569</v>
      </c>
      <c r="G1122" s="33">
        <v>2163</v>
      </c>
      <c r="H1122" s="34">
        <v>4</v>
      </c>
      <c r="I1122" s="31">
        <v>219260</v>
      </c>
      <c r="J1122" s="35" t="s">
        <v>1371</v>
      </c>
      <c r="K1122" s="36">
        <v>2021</v>
      </c>
    </row>
    <row r="1123" spans="1:11" ht="15" customHeight="1" x14ac:dyDescent="0.3">
      <c r="A1123" s="37">
        <v>1118</v>
      </c>
      <c r="B1123" s="38" t="s">
        <v>2404</v>
      </c>
      <c r="C1123" s="38" t="s">
        <v>2417</v>
      </c>
      <c r="D1123" s="38" t="s">
        <v>2017</v>
      </c>
      <c r="E1123" s="38" t="s">
        <v>47</v>
      </c>
      <c r="F1123" s="38" t="s">
        <v>312</v>
      </c>
      <c r="G1123" s="39">
        <v>450</v>
      </c>
      <c r="H1123" s="40">
        <v>0.33700000000000002</v>
      </c>
      <c r="I1123" s="37">
        <v>135000</v>
      </c>
      <c r="J1123" s="41" t="s">
        <v>1371</v>
      </c>
      <c r="K1123" s="42">
        <v>2021</v>
      </c>
    </row>
    <row r="1124" spans="1:11" ht="15" customHeight="1" x14ac:dyDescent="0.3">
      <c r="A1124" s="31">
        <v>1119</v>
      </c>
      <c r="B1124" s="32" t="s">
        <v>2404</v>
      </c>
      <c r="C1124" s="32" t="s">
        <v>2418</v>
      </c>
      <c r="D1124" s="32" t="s">
        <v>1448</v>
      </c>
      <c r="E1124" s="32" t="s">
        <v>477</v>
      </c>
      <c r="F1124" s="32" t="s">
        <v>2419</v>
      </c>
      <c r="G1124" s="33">
        <v>417.9</v>
      </c>
      <c r="H1124" s="34">
        <v>2</v>
      </c>
      <c r="I1124" s="31">
        <v>163260</v>
      </c>
      <c r="J1124" s="35" t="s">
        <v>1371</v>
      </c>
      <c r="K1124" s="36">
        <v>2021</v>
      </c>
    </row>
    <row r="1125" spans="1:11" ht="15" customHeight="1" x14ac:dyDescent="0.3">
      <c r="A1125" s="37">
        <v>1120</v>
      </c>
      <c r="B1125" s="38" t="s">
        <v>2404</v>
      </c>
      <c r="C1125" s="38" t="s">
        <v>2420</v>
      </c>
      <c r="D1125" s="38" t="s">
        <v>2421</v>
      </c>
      <c r="E1125" s="38" t="s">
        <v>49</v>
      </c>
      <c r="F1125" s="38" t="s">
        <v>2422</v>
      </c>
      <c r="G1125" s="39">
        <v>880</v>
      </c>
      <c r="H1125" s="40">
        <v>2</v>
      </c>
      <c r="I1125" s="37">
        <v>161000</v>
      </c>
      <c r="J1125" s="41" t="s">
        <v>1371</v>
      </c>
      <c r="K1125" s="42">
        <v>2021</v>
      </c>
    </row>
    <row r="1126" spans="1:11" ht="15" customHeight="1" x14ac:dyDescent="0.3">
      <c r="A1126" s="31">
        <v>1121</v>
      </c>
      <c r="B1126" s="32" t="s">
        <v>272</v>
      </c>
      <c r="C1126" s="32" t="s">
        <v>2423</v>
      </c>
      <c r="D1126" s="32" t="s">
        <v>844</v>
      </c>
      <c r="E1126" s="32" t="s">
        <v>2424</v>
      </c>
      <c r="F1126" s="32" t="s">
        <v>386</v>
      </c>
      <c r="G1126" s="33">
        <v>743</v>
      </c>
      <c r="H1126" s="34">
        <v>3</v>
      </c>
      <c r="I1126" s="31">
        <v>191260</v>
      </c>
      <c r="J1126" s="35" t="s">
        <v>1371</v>
      </c>
      <c r="K1126" s="36">
        <v>2021</v>
      </c>
    </row>
    <row r="1127" spans="1:11" ht="15" customHeight="1" x14ac:dyDescent="0.3">
      <c r="A1127" s="37">
        <v>1122</v>
      </c>
      <c r="B1127" s="38" t="s">
        <v>272</v>
      </c>
      <c r="C1127" s="38" t="s">
        <v>2425</v>
      </c>
      <c r="D1127" s="38" t="s">
        <v>555</v>
      </c>
      <c r="E1127" s="38" t="s">
        <v>556</v>
      </c>
      <c r="F1127" s="38" t="s">
        <v>435</v>
      </c>
      <c r="G1127" s="39">
        <v>1205.4000000000001</v>
      </c>
      <c r="H1127" s="40">
        <v>5.49</v>
      </c>
      <c r="I1127" s="37">
        <v>247260</v>
      </c>
      <c r="J1127" s="41" t="s">
        <v>1371</v>
      </c>
      <c r="K1127" s="42">
        <v>2021</v>
      </c>
    </row>
    <row r="1128" spans="1:11" ht="15" customHeight="1" x14ac:dyDescent="0.3">
      <c r="A1128" s="31">
        <v>1123</v>
      </c>
      <c r="B1128" s="32" t="s">
        <v>272</v>
      </c>
      <c r="C1128" s="32" t="s">
        <v>2426</v>
      </c>
      <c r="D1128" s="32" t="s">
        <v>2338</v>
      </c>
      <c r="E1128" s="32" t="s">
        <v>1801</v>
      </c>
      <c r="F1128" s="32" t="s">
        <v>287</v>
      </c>
      <c r="G1128" s="33">
        <v>229</v>
      </c>
      <c r="H1128" s="34">
        <v>0.79300000000000004</v>
      </c>
      <c r="I1128" s="31">
        <v>137260</v>
      </c>
      <c r="J1128" s="35" t="s">
        <v>1371</v>
      </c>
      <c r="K1128" s="36">
        <v>2021</v>
      </c>
    </row>
    <row r="1129" spans="1:11" ht="15" customHeight="1" x14ac:dyDescent="0.3">
      <c r="A1129" s="37">
        <v>1124</v>
      </c>
      <c r="B1129" s="38" t="s">
        <v>272</v>
      </c>
      <c r="C1129" s="38" t="s">
        <v>2427</v>
      </c>
      <c r="D1129" s="38" t="s">
        <v>2428</v>
      </c>
      <c r="E1129" s="38" t="s">
        <v>35</v>
      </c>
      <c r="F1129" s="38" t="s">
        <v>846</v>
      </c>
      <c r="G1129" s="39">
        <v>184</v>
      </c>
      <c r="H1129" s="40">
        <v>0.47399999999999998</v>
      </c>
      <c r="I1129" s="37">
        <v>137260</v>
      </c>
      <c r="J1129" s="41" t="s">
        <v>1371</v>
      </c>
      <c r="K1129" s="42">
        <v>2021</v>
      </c>
    </row>
    <row r="1130" spans="1:11" ht="15" customHeight="1" x14ac:dyDescent="0.3">
      <c r="A1130" s="31">
        <v>1125</v>
      </c>
      <c r="B1130" s="32" t="s">
        <v>272</v>
      </c>
      <c r="C1130" s="32" t="s">
        <v>2429</v>
      </c>
      <c r="D1130" s="32" t="s">
        <v>42</v>
      </c>
      <c r="E1130" s="32" t="s">
        <v>35</v>
      </c>
      <c r="F1130" s="32" t="s">
        <v>395</v>
      </c>
      <c r="G1130" s="33">
        <v>1290</v>
      </c>
      <c r="H1130" s="34">
        <v>5</v>
      </c>
      <c r="I1130" s="31">
        <v>247260</v>
      </c>
      <c r="J1130" s="35" t="s">
        <v>1371</v>
      </c>
      <c r="K1130" s="36">
        <v>2021</v>
      </c>
    </row>
    <row r="1131" spans="1:11" ht="15" customHeight="1" x14ac:dyDescent="0.3">
      <c r="A1131" s="37">
        <v>1126</v>
      </c>
      <c r="B1131" s="38" t="s">
        <v>272</v>
      </c>
      <c r="C1131" s="38" t="s">
        <v>2430</v>
      </c>
      <c r="D1131" s="38" t="s">
        <v>2431</v>
      </c>
      <c r="E1131" s="38" t="s">
        <v>2095</v>
      </c>
      <c r="F1131" s="38" t="s">
        <v>435</v>
      </c>
      <c r="G1131" s="39">
        <v>2460</v>
      </c>
      <c r="H1131" s="40">
        <v>5.2069999999999999</v>
      </c>
      <c r="I1131" s="37">
        <v>247260</v>
      </c>
      <c r="J1131" s="41" t="s">
        <v>1371</v>
      </c>
      <c r="K1131" s="42">
        <v>2021</v>
      </c>
    </row>
    <row r="1132" spans="1:11" ht="15" customHeight="1" x14ac:dyDescent="0.3">
      <c r="A1132" s="31">
        <v>1127</v>
      </c>
      <c r="B1132" s="32" t="s">
        <v>272</v>
      </c>
      <c r="C1132" s="32" t="s">
        <v>2432</v>
      </c>
      <c r="D1132" s="32" t="s">
        <v>2242</v>
      </c>
      <c r="E1132" s="32" t="s">
        <v>35</v>
      </c>
      <c r="F1132" s="32" t="s">
        <v>373</v>
      </c>
      <c r="G1132" s="33">
        <v>623.5</v>
      </c>
      <c r="H1132" s="34">
        <v>1.1379999999999999</v>
      </c>
      <c r="I1132" s="31">
        <v>137260</v>
      </c>
      <c r="J1132" s="35" t="s">
        <v>1371</v>
      </c>
      <c r="K1132" s="36">
        <v>2021</v>
      </c>
    </row>
    <row r="1133" spans="1:11" ht="15" customHeight="1" x14ac:dyDescent="0.3">
      <c r="A1133" s="37">
        <v>1128</v>
      </c>
      <c r="B1133" s="38" t="s">
        <v>272</v>
      </c>
      <c r="C1133" s="38" t="s">
        <v>2433</v>
      </c>
      <c r="D1133" s="38" t="s">
        <v>36</v>
      </c>
      <c r="E1133" s="38" t="s">
        <v>43</v>
      </c>
      <c r="F1133" s="38" t="s">
        <v>395</v>
      </c>
      <c r="G1133" s="39">
        <v>3291.4</v>
      </c>
      <c r="H1133" s="40">
        <v>9</v>
      </c>
      <c r="I1133" s="37">
        <v>350260</v>
      </c>
      <c r="J1133" s="41" t="s">
        <v>1371</v>
      </c>
      <c r="K1133" s="42">
        <v>2021</v>
      </c>
    </row>
    <row r="1134" spans="1:11" ht="15" customHeight="1" x14ac:dyDescent="0.3">
      <c r="A1134" s="31">
        <v>1129</v>
      </c>
      <c r="B1134" s="32" t="s">
        <v>272</v>
      </c>
      <c r="C1134" s="32" t="s">
        <v>2434</v>
      </c>
      <c r="D1134" s="32" t="s">
        <v>1272</v>
      </c>
      <c r="E1134" s="32" t="s">
        <v>35</v>
      </c>
      <c r="F1134" s="32" t="s">
        <v>287</v>
      </c>
      <c r="G1134" s="33">
        <v>2110</v>
      </c>
      <c r="H1134" s="34">
        <v>3.2730000000000001</v>
      </c>
      <c r="I1134" s="31">
        <v>191260</v>
      </c>
      <c r="J1134" s="35" t="s">
        <v>1371</v>
      </c>
      <c r="K1134" s="36">
        <v>2021</v>
      </c>
    </row>
    <row r="1135" spans="1:11" ht="15" customHeight="1" x14ac:dyDescent="0.3">
      <c r="A1135" s="37">
        <v>1130</v>
      </c>
      <c r="B1135" s="38" t="s">
        <v>272</v>
      </c>
      <c r="C1135" s="38" t="s">
        <v>2435</v>
      </c>
      <c r="D1135" s="38" t="s">
        <v>48</v>
      </c>
      <c r="E1135" s="38" t="s">
        <v>35</v>
      </c>
      <c r="F1135" s="38" t="s">
        <v>287</v>
      </c>
      <c r="G1135" s="39">
        <v>641.00099999999998</v>
      </c>
      <c r="H1135" s="40">
        <v>1.085</v>
      </c>
      <c r="I1135" s="37">
        <v>137260</v>
      </c>
      <c r="J1135" s="41" t="s">
        <v>1371</v>
      </c>
      <c r="K1135" s="42">
        <v>2021</v>
      </c>
    </row>
    <row r="1136" spans="1:11" ht="15" customHeight="1" x14ac:dyDescent="0.3">
      <c r="A1136" s="31">
        <v>1131</v>
      </c>
      <c r="B1136" s="32" t="s">
        <v>272</v>
      </c>
      <c r="C1136" s="32" t="s">
        <v>2436</v>
      </c>
      <c r="D1136" s="32" t="s">
        <v>2437</v>
      </c>
      <c r="E1136" s="32" t="s">
        <v>2438</v>
      </c>
      <c r="F1136" s="32" t="s">
        <v>373</v>
      </c>
      <c r="G1136" s="33">
        <v>151</v>
      </c>
      <c r="H1136" s="34">
        <v>0.65500000000000003</v>
      </c>
      <c r="I1136" s="31">
        <v>137260</v>
      </c>
      <c r="J1136" s="35" t="s">
        <v>1371</v>
      </c>
      <c r="K1136" s="36">
        <v>2021</v>
      </c>
    </row>
    <row r="1137" spans="1:11" ht="15" customHeight="1" x14ac:dyDescent="0.3">
      <c r="A1137" s="37">
        <v>1132</v>
      </c>
      <c r="B1137" s="38" t="s">
        <v>272</v>
      </c>
      <c r="C1137" s="38" t="s">
        <v>2439</v>
      </c>
      <c r="D1137" s="38" t="s">
        <v>2440</v>
      </c>
      <c r="E1137" s="38" t="s">
        <v>394</v>
      </c>
      <c r="F1137" s="38" t="s">
        <v>316</v>
      </c>
      <c r="G1137" s="39">
        <v>160.58000000000001</v>
      </c>
      <c r="H1137" s="40">
        <v>2</v>
      </c>
      <c r="I1137" s="37">
        <v>163260</v>
      </c>
      <c r="J1137" s="41" t="s">
        <v>1371</v>
      </c>
      <c r="K1137" s="42">
        <v>2021</v>
      </c>
    </row>
    <row r="1138" spans="1:11" ht="15" customHeight="1" x14ac:dyDescent="0.3">
      <c r="A1138" s="31">
        <v>1133</v>
      </c>
      <c r="B1138" s="32" t="s">
        <v>272</v>
      </c>
      <c r="C1138" s="32" t="s">
        <v>2441</v>
      </c>
      <c r="D1138" s="32" t="s">
        <v>597</v>
      </c>
      <c r="E1138" s="32" t="s">
        <v>49</v>
      </c>
      <c r="F1138" s="32" t="s">
        <v>2442</v>
      </c>
      <c r="G1138" s="33">
        <v>1581.2</v>
      </c>
      <c r="H1138" s="34">
        <v>5.4619999999999997</v>
      </c>
      <c r="I1138" s="31">
        <v>245000</v>
      </c>
      <c r="J1138" s="35" t="s">
        <v>1371</v>
      </c>
      <c r="K1138" s="36">
        <v>2021</v>
      </c>
    </row>
    <row r="1139" spans="1:11" ht="15" customHeight="1" x14ac:dyDescent="0.3">
      <c r="A1139" s="37">
        <v>1134</v>
      </c>
      <c r="B1139" s="38" t="s">
        <v>272</v>
      </c>
      <c r="C1139" s="38" t="s">
        <v>2443</v>
      </c>
      <c r="D1139" s="38" t="s">
        <v>2444</v>
      </c>
      <c r="E1139" s="38" t="s">
        <v>2445</v>
      </c>
      <c r="F1139" s="38" t="s">
        <v>2446</v>
      </c>
      <c r="G1139" s="39">
        <v>1175.01</v>
      </c>
      <c r="H1139" s="40">
        <v>6</v>
      </c>
      <c r="I1139" s="37">
        <v>273000</v>
      </c>
      <c r="J1139" s="41" t="s">
        <v>1404</v>
      </c>
      <c r="K1139" s="42">
        <v>2021</v>
      </c>
    </row>
    <row r="1140" spans="1:11" ht="15" customHeight="1" x14ac:dyDescent="0.3">
      <c r="A1140" s="31">
        <v>1135</v>
      </c>
      <c r="B1140" s="32" t="s">
        <v>272</v>
      </c>
      <c r="C1140" s="32" t="s">
        <v>2447</v>
      </c>
      <c r="D1140" s="32" t="s">
        <v>1878</v>
      </c>
      <c r="E1140" s="32" t="s">
        <v>928</v>
      </c>
      <c r="F1140" s="32" t="s">
        <v>306</v>
      </c>
      <c r="G1140" s="33">
        <v>178</v>
      </c>
      <c r="H1140" s="34">
        <v>0.38400000000000001</v>
      </c>
      <c r="I1140" s="31">
        <v>137260</v>
      </c>
      <c r="J1140" s="35" t="s">
        <v>1404</v>
      </c>
      <c r="K1140" s="36">
        <v>2021</v>
      </c>
    </row>
    <row r="1141" spans="1:11" ht="15" customHeight="1" x14ac:dyDescent="0.3">
      <c r="A1141" s="37">
        <v>1136</v>
      </c>
      <c r="B1141" s="38" t="s">
        <v>272</v>
      </c>
      <c r="C1141" s="38" t="s">
        <v>2448</v>
      </c>
      <c r="D1141" s="38" t="s">
        <v>342</v>
      </c>
      <c r="E1141" s="38" t="s">
        <v>47</v>
      </c>
      <c r="F1141" s="38" t="s">
        <v>312</v>
      </c>
      <c r="G1141" s="39">
        <v>1164</v>
      </c>
      <c r="H1141" s="40">
        <v>0.74</v>
      </c>
      <c r="I1141" s="37">
        <v>135000</v>
      </c>
      <c r="J1141" s="41" t="s">
        <v>1404</v>
      </c>
      <c r="K1141" s="42">
        <v>2021</v>
      </c>
    </row>
    <row r="1142" spans="1:11" ht="15" customHeight="1" x14ac:dyDescent="0.3">
      <c r="A1142" s="31">
        <v>1137</v>
      </c>
      <c r="B1142" s="32" t="s">
        <v>272</v>
      </c>
      <c r="C1142" s="32" t="s">
        <v>2449</v>
      </c>
      <c r="D1142" s="32" t="s">
        <v>2450</v>
      </c>
      <c r="E1142" s="32" t="s">
        <v>35</v>
      </c>
      <c r="F1142" s="32" t="s">
        <v>316</v>
      </c>
      <c r="G1142" s="33">
        <v>195</v>
      </c>
      <c r="H1142" s="34">
        <v>1.286</v>
      </c>
      <c r="I1142" s="31">
        <v>137260</v>
      </c>
      <c r="J1142" s="35" t="s">
        <v>1404</v>
      </c>
      <c r="K1142" s="36">
        <v>2021</v>
      </c>
    </row>
    <row r="1143" spans="1:11" ht="15" customHeight="1" x14ac:dyDescent="0.3">
      <c r="A1143" s="37">
        <v>1138</v>
      </c>
      <c r="B1143" s="38" t="s">
        <v>272</v>
      </c>
      <c r="C1143" s="38" t="s">
        <v>2451</v>
      </c>
      <c r="D1143" s="38" t="s">
        <v>2452</v>
      </c>
      <c r="E1143" s="38" t="s">
        <v>2453</v>
      </c>
      <c r="F1143" s="38" t="s">
        <v>1717</v>
      </c>
      <c r="G1143" s="39">
        <v>710</v>
      </c>
      <c r="H1143" s="40">
        <v>2.0990000000000002</v>
      </c>
      <c r="I1143" s="37">
        <v>161000</v>
      </c>
      <c r="J1143" s="41" t="s">
        <v>1404</v>
      </c>
      <c r="K1143" s="42">
        <v>2021</v>
      </c>
    </row>
    <row r="1144" spans="1:11" ht="15" customHeight="1" x14ac:dyDescent="0.3">
      <c r="A1144" s="31">
        <v>1139</v>
      </c>
      <c r="B1144" s="32" t="s">
        <v>272</v>
      </c>
      <c r="C1144" s="32" t="s">
        <v>2454</v>
      </c>
      <c r="D1144" s="32" t="s">
        <v>1821</v>
      </c>
      <c r="E1144" s="32" t="s">
        <v>889</v>
      </c>
      <c r="F1144" s="32" t="s">
        <v>316</v>
      </c>
      <c r="G1144" s="33">
        <v>1750</v>
      </c>
      <c r="H1144" s="34">
        <v>1.7030000000000001</v>
      </c>
      <c r="I1144" s="31">
        <v>163260</v>
      </c>
      <c r="J1144" s="35" t="s">
        <v>1404</v>
      </c>
      <c r="K1144" s="36">
        <v>2021</v>
      </c>
    </row>
    <row r="1145" spans="1:11" ht="15" customHeight="1" x14ac:dyDescent="0.3">
      <c r="A1145" s="37">
        <v>1140</v>
      </c>
      <c r="B1145" s="38" t="s">
        <v>272</v>
      </c>
      <c r="C1145" s="38" t="s">
        <v>2455</v>
      </c>
      <c r="D1145" s="38" t="s">
        <v>36</v>
      </c>
      <c r="E1145" s="38" t="s">
        <v>43</v>
      </c>
      <c r="F1145" s="38" t="s">
        <v>1717</v>
      </c>
      <c r="G1145" s="39">
        <v>1538</v>
      </c>
      <c r="H1145" s="40">
        <v>4</v>
      </c>
      <c r="I1145" s="37">
        <v>219260</v>
      </c>
      <c r="J1145" s="41" t="s">
        <v>1404</v>
      </c>
      <c r="K1145" s="42">
        <v>2021</v>
      </c>
    </row>
    <row r="1146" spans="1:11" ht="15" customHeight="1" x14ac:dyDescent="0.3">
      <c r="A1146" s="31">
        <v>1141</v>
      </c>
      <c r="B1146" s="32" t="s">
        <v>272</v>
      </c>
      <c r="C1146" s="32" t="s">
        <v>2456</v>
      </c>
      <c r="D1146" s="32" t="s">
        <v>36</v>
      </c>
      <c r="E1146" s="32" t="s">
        <v>43</v>
      </c>
      <c r="F1146" s="32" t="s">
        <v>312</v>
      </c>
      <c r="G1146" s="33">
        <v>135</v>
      </c>
      <c r="H1146" s="34">
        <v>1</v>
      </c>
      <c r="I1146" s="31">
        <v>137260</v>
      </c>
      <c r="J1146" s="35" t="s">
        <v>1404</v>
      </c>
      <c r="K1146" s="36">
        <v>2021</v>
      </c>
    </row>
    <row r="1147" spans="1:11" ht="15" customHeight="1" x14ac:dyDescent="0.3">
      <c r="A1147" s="37">
        <v>1142</v>
      </c>
      <c r="B1147" s="38" t="s">
        <v>272</v>
      </c>
      <c r="C1147" s="38" t="s">
        <v>2457</v>
      </c>
      <c r="D1147" s="38" t="s">
        <v>36</v>
      </c>
      <c r="E1147" s="38" t="s">
        <v>43</v>
      </c>
      <c r="F1147" s="38" t="s">
        <v>373</v>
      </c>
      <c r="G1147" s="39">
        <v>3411</v>
      </c>
      <c r="H1147" s="40">
        <v>6</v>
      </c>
      <c r="I1147" s="37">
        <v>275260</v>
      </c>
      <c r="J1147" s="41" t="s">
        <v>1404</v>
      </c>
      <c r="K1147" s="42">
        <v>2021</v>
      </c>
    </row>
    <row r="1148" spans="1:11" ht="15" customHeight="1" x14ac:dyDescent="0.3">
      <c r="A1148" s="31">
        <v>1143</v>
      </c>
      <c r="B1148" s="32" t="s">
        <v>2404</v>
      </c>
      <c r="C1148" s="32" t="s">
        <v>2458</v>
      </c>
      <c r="D1148" s="32" t="s">
        <v>366</v>
      </c>
      <c r="E1148" s="32" t="s">
        <v>61</v>
      </c>
      <c r="F1148" s="32" t="s">
        <v>287</v>
      </c>
      <c r="G1148" s="33">
        <v>2550</v>
      </c>
      <c r="H1148" s="34">
        <v>4</v>
      </c>
      <c r="I1148" s="31">
        <v>217000</v>
      </c>
      <c r="J1148" s="35" t="s">
        <v>1404</v>
      </c>
      <c r="K1148" s="36">
        <v>2021</v>
      </c>
    </row>
    <row r="1149" spans="1:11" ht="15" customHeight="1" x14ac:dyDescent="0.3">
      <c r="A1149" s="37">
        <v>1144</v>
      </c>
      <c r="B1149" s="38" t="s">
        <v>2404</v>
      </c>
      <c r="C1149" s="38" t="s">
        <v>2459</v>
      </c>
      <c r="D1149" s="38" t="s">
        <v>2460</v>
      </c>
      <c r="E1149" s="38" t="s">
        <v>2461</v>
      </c>
      <c r="F1149" s="38" t="s">
        <v>658</v>
      </c>
      <c r="G1149" s="39">
        <v>1777</v>
      </c>
      <c r="H1149" s="40">
        <v>3.2639999999999998</v>
      </c>
      <c r="I1149" s="37">
        <v>189000</v>
      </c>
      <c r="J1149" s="41" t="s">
        <v>1404</v>
      </c>
      <c r="K1149" s="42">
        <v>2021</v>
      </c>
    </row>
    <row r="1150" spans="1:11" ht="15" customHeight="1" x14ac:dyDescent="0.3">
      <c r="A1150" s="31">
        <v>1145</v>
      </c>
      <c r="B1150" s="32" t="s">
        <v>2404</v>
      </c>
      <c r="C1150" s="32" t="s">
        <v>2462</v>
      </c>
      <c r="D1150" s="32" t="s">
        <v>48</v>
      </c>
      <c r="E1150" s="32" t="s">
        <v>35</v>
      </c>
      <c r="F1150" s="32" t="s">
        <v>276</v>
      </c>
      <c r="G1150" s="33">
        <v>528</v>
      </c>
      <c r="H1150" s="34">
        <v>1.3919999999999999</v>
      </c>
      <c r="I1150" s="31">
        <v>137260</v>
      </c>
      <c r="J1150" s="35" t="s">
        <v>1404</v>
      </c>
      <c r="K1150" s="36">
        <v>2021</v>
      </c>
    </row>
    <row r="1151" spans="1:11" ht="15" customHeight="1" x14ac:dyDescent="0.3">
      <c r="A1151" s="37">
        <v>1146</v>
      </c>
      <c r="B1151" s="38" t="s">
        <v>2404</v>
      </c>
      <c r="C1151" s="38" t="s">
        <v>2463</v>
      </c>
      <c r="D1151" s="38" t="s">
        <v>2464</v>
      </c>
      <c r="E1151" s="38" t="s">
        <v>2465</v>
      </c>
      <c r="F1151" s="38" t="s">
        <v>287</v>
      </c>
      <c r="G1151" s="39">
        <v>860</v>
      </c>
      <c r="H1151" s="40">
        <v>4</v>
      </c>
      <c r="I1151" s="37">
        <v>219260</v>
      </c>
      <c r="J1151" s="41" t="s">
        <v>1404</v>
      </c>
      <c r="K1151" s="42">
        <v>2021</v>
      </c>
    </row>
    <row r="1152" spans="1:11" ht="15" customHeight="1" x14ac:dyDescent="0.3">
      <c r="A1152" s="31">
        <v>1147</v>
      </c>
      <c r="B1152" s="32" t="s">
        <v>2404</v>
      </c>
      <c r="C1152" s="32" t="s">
        <v>2466</v>
      </c>
      <c r="D1152" s="32" t="s">
        <v>1193</v>
      </c>
      <c r="E1152" s="32" t="s">
        <v>2467</v>
      </c>
      <c r="F1152" s="32" t="s">
        <v>276</v>
      </c>
      <c r="G1152" s="33">
        <v>61</v>
      </c>
      <c r="H1152" s="34">
        <v>0.59499999999999997</v>
      </c>
      <c r="I1152" s="31">
        <v>137260</v>
      </c>
      <c r="J1152" s="35" t="s">
        <v>1404</v>
      </c>
      <c r="K1152" s="36">
        <v>2021</v>
      </c>
    </row>
    <row r="1153" spans="1:11" ht="15" customHeight="1" x14ac:dyDescent="0.3">
      <c r="A1153" s="37">
        <v>1148</v>
      </c>
      <c r="B1153" s="38" t="s">
        <v>2404</v>
      </c>
      <c r="C1153" s="38" t="s">
        <v>2468</v>
      </c>
      <c r="D1153" s="38" t="s">
        <v>38</v>
      </c>
      <c r="E1153" s="38" t="s">
        <v>45</v>
      </c>
      <c r="F1153" s="38" t="s">
        <v>402</v>
      </c>
      <c r="G1153" s="39">
        <v>4614</v>
      </c>
      <c r="H1153" s="40">
        <v>11.36</v>
      </c>
      <c r="I1153" s="37">
        <v>375000</v>
      </c>
      <c r="J1153" s="41" t="s">
        <v>1404</v>
      </c>
      <c r="K1153" s="42">
        <v>2021</v>
      </c>
    </row>
    <row r="1154" spans="1:11" ht="15" customHeight="1" x14ac:dyDescent="0.3">
      <c r="A1154" s="31">
        <v>1149</v>
      </c>
      <c r="B1154" s="32" t="s">
        <v>2404</v>
      </c>
      <c r="C1154" s="32" t="s">
        <v>2469</v>
      </c>
      <c r="D1154" s="32" t="s">
        <v>38</v>
      </c>
      <c r="E1154" s="32" t="s">
        <v>51</v>
      </c>
      <c r="F1154" s="32" t="s">
        <v>1560</v>
      </c>
      <c r="G1154" s="33">
        <v>197</v>
      </c>
      <c r="H1154" s="34">
        <v>0.26400000000000001</v>
      </c>
      <c r="I1154" s="31">
        <v>135000</v>
      </c>
      <c r="J1154" s="35" t="s">
        <v>1404</v>
      </c>
      <c r="K1154" s="36">
        <v>2021</v>
      </c>
    </row>
    <row r="1155" spans="1:11" ht="15" customHeight="1" x14ac:dyDescent="0.3">
      <c r="A1155" s="37">
        <v>1150</v>
      </c>
      <c r="B1155" s="38" t="s">
        <v>1918</v>
      </c>
      <c r="C1155" s="38" t="s">
        <v>2470</v>
      </c>
      <c r="D1155" s="38" t="s">
        <v>2471</v>
      </c>
      <c r="E1155" s="38" t="s">
        <v>35</v>
      </c>
      <c r="F1155" s="38" t="s">
        <v>312</v>
      </c>
      <c r="G1155" s="39">
        <v>117</v>
      </c>
      <c r="H1155" s="40">
        <v>1.3120000000000001</v>
      </c>
      <c r="I1155" s="37">
        <v>137260</v>
      </c>
      <c r="J1155" s="41" t="s">
        <v>1404</v>
      </c>
      <c r="K1155" s="42">
        <v>2021</v>
      </c>
    </row>
    <row r="1156" spans="1:11" ht="15" customHeight="1" x14ac:dyDescent="0.3">
      <c r="A1156" s="31">
        <v>1151</v>
      </c>
      <c r="B1156" s="32" t="s">
        <v>1918</v>
      </c>
      <c r="C1156" s="32" t="s">
        <v>2472</v>
      </c>
      <c r="D1156" s="32" t="s">
        <v>2473</v>
      </c>
      <c r="E1156" s="32" t="s">
        <v>686</v>
      </c>
      <c r="F1156" s="32" t="s">
        <v>276</v>
      </c>
      <c r="G1156" s="33">
        <v>465</v>
      </c>
      <c r="H1156" s="34">
        <v>1.3120000000000001</v>
      </c>
      <c r="I1156" s="31">
        <v>137260</v>
      </c>
      <c r="J1156" s="35" t="s">
        <v>1404</v>
      </c>
      <c r="K1156" s="36">
        <v>2021</v>
      </c>
    </row>
    <row r="1157" spans="1:11" ht="15" customHeight="1" x14ac:dyDescent="0.3">
      <c r="A1157" s="37">
        <v>1152</v>
      </c>
      <c r="B1157" s="38" t="s">
        <v>1918</v>
      </c>
      <c r="C1157" s="38" t="s">
        <v>2474</v>
      </c>
      <c r="D1157" s="38" t="s">
        <v>2475</v>
      </c>
      <c r="E1157" s="38" t="s">
        <v>2476</v>
      </c>
      <c r="F1157" s="38" t="s">
        <v>287</v>
      </c>
      <c r="G1157" s="39">
        <v>3245</v>
      </c>
      <c r="H1157" s="40">
        <v>3</v>
      </c>
      <c r="I1157" s="37">
        <v>191260</v>
      </c>
      <c r="J1157" s="41" t="s">
        <v>1404</v>
      </c>
      <c r="K1157" s="42">
        <v>2021</v>
      </c>
    </row>
    <row r="1158" spans="1:11" ht="15" customHeight="1" x14ac:dyDescent="0.3">
      <c r="A1158" s="31">
        <v>1153</v>
      </c>
      <c r="B1158" s="32" t="s">
        <v>1918</v>
      </c>
      <c r="C1158" s="32" t="s">
        <v>2477</v>
      </c>
      <c r="D1158" s="32" t="s">
        <v>531</v>
      </c>
      <c r="E1158" s="32" t="s">
        <v>2478</v>
      </c>
      <c r="F1158" s="32" t="s">
        <v>276</v>
      </c>
      <c r="G1158" s="33">
        <v>350</v>
      </c>
      <c r="H1158" s="34">
        <v>1.296</v>
      </c>
      <c r="I1158" s="31">
        <v>135000</v>
      </c>
      <c r="J1158" s="35" t="s">
        <v>1404</v>
      </c>
      <c r="K1158" s="36">
        <v>2021</v>
      </c>
    </row>
    <row r="1159" spans="1:11" ht="15" customHeight="1" x14ac:dyDescent="0.3">
      <c r="A1159" s="37">
        <v>1154</v>
      </c>
      <c r="B1159" s="38" t="s">
        <v>1918</v>
      </c>
      <c r="C1159" s="38" t="s">
        <v>2479</v>
      </c>
      <c r="D1159" s="38" t="s">
        <v>679</v>
      </c>
      <c r="E1159" s="38" t="s">
        <v>2480</v>
      </c>
      <c r="F1159" s="38" t="s">
        <v>276</v>
      </c>
      <c r="G1159" s="39">
        <v>250</v>
      </c>
      <c r="H1159" s="40">
        <v>0.48</v>
      </c>
      <c r="I1159" s="37">
        <v>137260</v>
      </c>
      <c r="J1159" s="41" t="s">
        <v>1404</v>
      </c>
      <c r="K1159" s="42">
        <v>2021</v>
      </c>
    </row>
    <row r="1160" spans="1:11" ht="15" customHeight="1" x14ac:dyDescent="0.3">
      <c r="A1160" s="31">
        <v>1155</v>
      </c>
      <c r="B1160" s="32" t="s">
        <v>1918</v>
      </c>
      <c r="C1160" s="32" t="s">
        <v>2481</v>
      </c>
      <c r="D1160" s="32" t="s">
        <v>2482</v>
      </c>
      <c r="E1160" s="32" t="s">
        <v>2483</v>
      </c>
      <c r="F1160" s="32" t="s">
        <v>276</v>
      </c>
      <c r="G1160" s="33">
        <v>110</v>
      </c>
      <c r="H1160" s="34">
        <v>0.46600000000000003</v>
      </c>
      <c r="I1160" s="31">
        <v>137260</v>
      </c>
      <c r="J1160" s="35" t="s">
        <v>1404</v>
      </c>
      <c r="K1160" s="36">
        <v>2021</v>
      </c>
    </row>
    <row r="1161" spans="1:11" ht="15" customHeight="1" x14ac:dyDescent="0.3">
      <c r="A1161" s="37">
        <v>1156</v>
      </c>
      <c r="B1161" s="38" t="s">
        <v>1918</v>
      </c>
      <c r="C1161" s="38" t="s">
        <v>2484</v>
      </c>
      <c r="D1161" s="38" t="s">
        <v>1034</v>
      </c>
      <c r="E1161" s="38" t="s">
        <v>2485</v>
      </c>
      <c r="F1161" s="38" t="s">
        <v>395</v>
      </c>
      <c r="G1161" s="39">
        <v>3592.3</v>
      </c>
      <c r="H1161" s="40">
        <v>10</v>
      </c>
      <c r="I1161" s="37">
        <v>377260</v>
      </c>
      <c r="J1161" s="41" t="s">
        <v>1404</v>
      </c>
      <c r="K1161" s="42">
        <v>2021</v>
      </c>
    </row>
    <row r="1162" spans="1:11" ht="15" customHeight="1" x14ac:dyDescent="0.3">
      <c r="A1162" s="31">
        <v>1157</v>
      </c>
      <c r="B1162" s="32" t="s">
        <v>1918</v>
      </c>
      <c r="C1162" s="32" t="s">
        <v>2486</v>
      </c>
      <c r="D1162" s="32" t="s">
        <v>36</v>
      </c>
      <c r="E1162" s="32" t="s">
        <v>43</v>
      </c>
      <c r="F1162" s="32" t="s">
        <v>312</v>
      </c>
      <c r="G1162" s="33">
        <v>500</v>
      </c>
      <c r="H1162" s="34">
        <v>0.75</v>
      </c>
      <c r="I1162" s="31">
        <v>137260</v>
      </c>
      <c r="J1162" s="35" t="s">
        <v>1404</v>
      </c>
      <c r="K1162" s="36">
        <v>2021</v>
      </c>
    </row>
    <row r="1163" spans="1:11" ht="15" customHeight="1" x14ac:dyDescent="0.3">
      <c r="A1163" s="37">
        <v>1158</v>
      </c>
      <c r="B1163" s="38" t="s">
        <v>1918</v>
      </c>
      <c r="C1163" s="38" t="s">
        <v>2487</v>
      </c>
      <c r="D1163" s="38" t="s">
        <v>2440</v>
      </c>
      <c r="E1163" s="38" t="s">
        <v>394</v>
      </c>
      <c r="F1163" s="38" t="s">
        <v>276</v>
      </c>
      <c r="G1163" s="39">
        <v>950.92</v>
      </c>
      <c r="H1163" s="40">
        <v>2</v>
      </c>
      <c r="I1163" s="37">
        <v>163260</v>
      </c>
      <c r="J1163" s="41" t="s">
        <v>1404</v>
      </c>
      <c r="K1163" s="42">
        <v>2021</v>
      </c>
    </row>
    <row r="1164" spans="1:11" ht="15" customHeight="1" x14ac:dyDescent="0.3">
      <c r="A1164" s="31">
        <v>1159</v>
      </c>
      <c r="B1164" s="32" t="s">
        <v>2488</v>
      </c>
      <c r="C1164" s="32" t="s">
        <v>2489</v>
      </c>
      <c r="D1164" s="32" t="s">
        <v>2107</v>
      </c>
      <c r="E1164" s="32" t="s">
        <v>394</v>
      </c>
      <c r="F1164" s="32" t="s">
        <v>2490</v>
      </c>
      <c r="G1164" s="33">
        <v>8560</v>
      </c>
      <c r="H1164" s="34">
        <v>7.6130000000000004</v>
      </c>
      <c r="I1164" s="31">
        <v>350260</v>
      </c>
      <c r="J1164" s="35" t="s">
        <v>1514</v>
      </c>
      <c r="K1164" s="36">
        <v>2021</v>
      </c>
    </row>
    <row r="1165" spans="1:11" ht="15" customHeight="1" x14ac:dyDescent="0.3">
      <c r="A1165" s="37">
        <v>1160</v>
      </c>
      <c r="B1165" s="38" t="s">
        <v>2488</v>
      </c>
      <c r="C1165" s="38" t="s">
        <v>2491</v>
      </c>
      <c r="D1165" s="38" t="s">
        <v>1596</v>
      </c>
      <c r="E1165" s="38" t="s">
        <v>37</v>
      </c>
      <c r="F1165" s="38" t="s">
        <v>276</v>
      </c>
      <c r="G1165" s="39">
        <v>392</v>
      </c>
      <c r="H1165" s="40">
        <v>1.3540000000000001</v>
      </c>
      <c r="I1165" s="37">
        <v>137260</v>
      </c>
      <c r="J1165" s="41" t="s">
        <v>1514</v>
      </c>
      <c r="K1165" s="42">
        <v>2021</v>
      </c>
    </row>
    <row r="1166" spans="1:11" ht="15" customHeight="1" x14ac:dyDescent="0.3">
      <c r="A1166" s="31">
        <v>1161</v>
      </c>
      <c r="B1166" s="32" t="s">
        <v>2488</v>
      </c>
      <c r="C1166" s="32" t="s">
        <v>2492</v>
      </c>
      <c r="D1166" s="32" t="s">
        <v>1508</v>
      </c>
      <c r="E1166" s="32" t="s">
        <v>47</v>
      </c>
      <c r="F1166" s="32" t="s">
        <v>693</v>
      </c>
      <c r="G1166" s="33">
        <v>351.55</v>
      </c>
      <c r="H1166" s="34">
        <v>0.52400000000000002</v>
      </c>
      <c r="I1166" s="31">
        <v>137260</v>
      </c>
      <c r="J1166" s="35" t="s">
        <v>1514</v>
      </c>
      <c r="K1166" s="36">
        <v>2021</v>
      </c>
    </row>
    <row r="1167" spans="1:11" ht="15" customHeight="1" x14ac:dyDescent="0.3">
      <c r="A1167" s="37">
        <v>1162</v>
      </c>
      <c r="B1167" s="38" t="s">
        <v>2488</v>
      </c>
      <c r="C1167" s="38" t="s">
        <v>2493</v>
      </c>
      <c r="D1167" s="38" t="s">
        <v>2494</v>
      </c>
      <c r="E1167" s="38" t="s">
        <v>2495</v>
      </c>
      <c r="F1167" s="38" t="s">
        <v>435</v>
      </c>
      <c r="G1167" s="39">
        <v>503.2</v>
      </c>
      <c r="H1167" s="40">
        <v>5.3680000000000003</v>
      </c>
      <c r="I1167" s="37">
        <v>247260</v>
      </c>
      <c r="J1167" s="41" t="s">
        <v>1514</v>
      </c>
      <c r="K1167" s="42">
        <v>2021</v>
      </c>
    </row>
    <row r="1168" spans="1:11" ht="15" customHeight="1" x14ac:dyDescent="0.3">
      <c r="A1168" s="31">
        <v>1163</v>
      </c>
      <c r="B1168" s="32" t="s">
        <v>2488</v>
      </c>
      <c r="C1168" s="32" t="s">
        <v>2496</v>
      </c>
      <c r="D1168" s="32" t="s">
        <v>2017</v>
      </c>
      <c r="E1168" s="32" t="s">
        <v>49</v>
      </c>
      <c r="F1168" s="32" t="s">
        <v>306</v>
      </c>
      <c r="G1168" s="33">
        <v>140</v>
      </c>
      <c r="H1168" s="34">
        <v>0.76600000000000001</v>
      </c>
      <c r="I1168" s="31">
        <v>135000</v>
      </c>
      <c r="J1168" s="35" t="s">
        <v>1514</v>
      </c>
      <c r="K1168" s="36">
        <v>2021</v>
      </c>
    </row>
    <row r="1169" spans="1:11" ht="15" customHeight="1" x14ac:dyDescent="0.3">
      <c r="A1169" s="37">
        <v>1164</v>
      </c>
      <c r="B1169" s="38" t="s">
        <v>2488</v>
      </c>
      <c r="C1169" s="38" t="s">
        <v>2497</v>
      </c>
      <c r="D1169" s="38" t="s">
        <v>64</v>
      </c>
      <c r="E1169" s="38" t="s">
        <v>2498</v>
      </c>
      <c r="F1169" s="38" t="s">
        <v>1095</v>
      </c>
      <c r="G1169" s="39">
        <v>338</v>
      </c>
      <c r="H1169" s="40">
        <v>0.29399999999999998</v>
      </c>
      <c r="I1169" s="37">
        <v>135000</v>
      </c>
      <c r="J1169" s="41" t="s">
        <v>1514</v>
      </c>
      <c r="K1169" s="42">
        <v>2021</v>
      </c>
    </row>
    <row r="1170" spans="1:11" ht="15" customHeight="1" x14ac:dyDescent="0.3">
      <c r="A1170" s="31">
        <v>1165</v>
      </c>
      <c r="B1170" s="32" t="s">
        <v>2488</v>
      </c>
      <c r="C1170" s="32" t="s">
        <v>2499</v>
      </c>
      <c r="D1170" s="32" t="s">
        <v>2500</v>
      </c>
      <c r="E1170" s="32" t="s">
        <v>2501</v>
      </c>
      <c r="F1170" s="32" t="s">
        <v>289</v>
      </c>
      <c r="G1170" s="33">
        <v>616</v>
      </c>
      <c r="H1170" s="34">
        <v>0.7</v>
      </c>
      <c r="I1170" s="31">
        <v>135000</v>
      </c>
      <c r="J1170" s="35" t="s">
        <v>1514</v>
      </c>
      <c r="K1170" s="36">
        <v>2021</v>
      </c>
    </row>
    <row r="1171" spans="1:11" ht="15" customHeight="1" x14ac:dyDescent="0.3">
      <c r="A1171" s="37">
        <v>1166</v>
      </c>
      <c r="B1171" s="38" t="s">
        <v>2488</v>
      </c>
      <c r="C1171" s="38" t="s">
        <v>2502</v>
      </c>
      <c r="D1171" s="38" t="s">
        <v>2440</v>
      </c>
      <c r="E1171" s="38" t="s">
        <v>394</v>
      </c>
      <c r="F1171" s="38" t="s">
        <v>2503</v>
      </c>
      <c r="G1171" s="39">
        <v>691.46</v>
      </c>
      <c r="H1171" s="40">
        <v>2.6829999999999998</v>
      </c>
      <c r="I1171" s="37">
        <v>191260</v>
      </c>
      <c r="J1171" s="41" t="s">
        <v>1514</v>
      </c>
      <c r="K1171" s="42">
        <v>2021</v>
      </c>
    </row>
    <row r="1172" spans="1:11" ht="15" customHeight="1" x14ac:dyDescent="0.3">
      <c r="A1172" s="31">
        <v>1167</v>
      </c>
      <c r="B1172" s="32" t="s">
        <v>2404</v>
      </c>
      <c r="C1172" s="32" t="s">
        <v>2504</v>
      </c>
      <c r="D1172" s="32" t="s">
        <v>60</v>
      </c>
      <c r="E1172" s="32" t="s">
        <v>37</v>
      </c>
      <c r="F1172" s="32" t="s">
        <v>316</v>
      </c>
      <c r="G1172" s="33">
        <v>420</v>
      </c>
      <c r="H1172" s="34">
        <v>1.008</v>
      </c>
      <c r="I1172" s="31">
        <v>137260</v>
      </c>
      <c r="J1172" s="35" t="s">
        <v>1514</v>
      </c>
      <c r="K1172" s="36">
        <v>2021</v>
      </c>
    </row>
    <row r="1173" spans="1:11" ht="15" customHeight="1" x14ac:dyDescent="0.3">
      <c r="A1173" s="37">
        <v>1168</v>
      </c>
      <c r="B1173" s="38" t="s">
        <v>2404</v>
      </c>
      <c r="C1173" s="38" t="s">
        <v>2505</v>
      </c>
      <c r="D1173" s="38" t="s">
        <v>2506</v>
      </c>
      <c r="E1173" s="38" t="s">
        <v>35</v>
      </c>
      <c r="F1173" s="38" t="s">
        <v>312</v>
      </c>
      <c r="G1173" s="39">
        <v>440</v>
      </c>
      <c r="H1173" s="40">
        <v>2</v>
      </c>
      <c r="I1173" s="37">
        <v>163260</v>
      </c>
      <c r="J1173" s="41" t="s">
        <v>1514</v>
      </c>
      <c r="K1173" s="42">
        <v>2021</v>
      </c>
    </row>
    <row r="1174" spans="1:11" ht="15" customHeight="1" x14ac:dyDescent="0.3">
      <c r="A1174" s="31">
        <v>1169</v>
      </c>
      <c r="B1174" s="32" t="s">
        <v>2404</v>
      </c>
      <c r="C1174" s="32" t="s">
        <v>2507</v>
      </c>
      <c r="D1174" s="32" t="s">
        <v>2508</v>
      </c>
      <c r="E1174" s="32" t="s">
        <v>37</v>
      </c>
      <c r="F1174" s="32" t="s">
        <v>312</v>
      </c>
      <c r="G1174" s="33">
        <v>130</v>
      </c>
      <c r="H1174" s="34">
        <v>0.98199999999999998</v>
      </c>
      <c r="I1174" s="31">
        <v>137260</v>
      </c>
      <c r="J1174" s="35" t="s">
        <v>1514</v>
      </c>
      <c r="K1174" s="36">
        <v>2021</v>
      </c>
    </row>
    <row r="1175" spans="1:11" ht="15" customHeight="1" x14ac:dyDescent="0.3">
      <c r="A1175" s="37">
        <v>1170</v>
      </c>
      <c r="B1175" s="38" t="s">
        <v>2404</v>
      </c>
      <c r="C1175" s="38" t="s">
        <v>2509</v>
      </c>
      <c r="D1175" s="38" t="s">
        <v>1776</v>
      </c>
      <c r="E1175" s="38" t="s">
        <v>35</v>
      </c>
      <c r="F1175" s="38" t="s">
        <v>276</v>
      </c>
      <c r="G1175" s="39">
        <v>1023</v>
      </c>
      <c r="H1175" s="40">
        <v>1.242</v>
      </c>
      <c r="I1175" s="37">
        <v>137260</v>
      </c>
      <c r="J1175" s="41" t="s">
        <v>1514</v>
      </c>
      <c r="K1175" s="42">
        <v>2021</v>
      </c>
    </row>
    <row r="1176" spans="1:11" ht="15" customHeight="1" x14ac:dyDescent="0.3">
      <c r="A1176" s="31">
        <v>1171</v>
      </c>
      <c r="B1176" s="32" t="s">
        <v>2404</v>
      </c>
      <c r="C1176" s="32" t="s">
        <v>2510</v>
      </c>
      <c r="D1176" s="32" t="s">
        <v>2511</v>
      </c>
      <c r="E1176" s="32" t="s">
        <v>1446</v>
      </c>
      <c r="F1176" s="32" t="s">
        <v>1031</v>
      </c>
      <c r="G1176" s="33">
        <v>950</v>
      </c>
      <c r="H1176" s="34">
        <v>3</v>
      </c>
      <c r="I1176" s="31">
        <v>191260</v>
      </c>
      <c r="J1176" s="35" t="s">
        <v>1514</v>
      </c>
      <c r="K1176" s="36">
        <v>2021</v>
      </c>
    </row>
    <row r="1177" spans="1:11" ht="15" customHeight="1" x14ac:dyDescent="0.3">
      <c r="A1177" s="37">
        <v>1172</v>
      </c>
      <c r="B1177" s="38" t="s">
        <v>2404</v>
      </c>
      <c r="C1177" s="38" t="s">
        <v>2512</v>
      </c>
      <c r="D1177" s="38" t="s">
        <v>2259</v>
      </c>
      <c r="E1177" s="38" t="s">
        <v>2513</v>
      </c>
      <c r="F1177" s="38" t="s">
        <v>2514</v>
      </c>
      <c r="G1177" s="39">
        <v>1851.85</v>
      </c>
      <c r="H1177" s="40">
        <v>10</v>
      </c>
      <c r="I1177" s="37">
        <v>377260</v>
      </c>
      <c r="J1177" s="41" t="s">
        <v>1514</v>
      </c>
      <c r="K1177" s="42">
        <v>2021</v>
      </c>
    </row>
    <row r="1178" spans="1:11" ht="15" customHeight="1" x14ac:dyDescent="0.3">
      <c r="A1178" s="31">
        <v>1173</v>
      </c>
      <c r="B1178" s="32" t="s">
        <v>2404</v>
      </c>
      <c r="C1178" s="32" t="s">
        <v>2515</v>
      </c>
      <c r="D1178" s="32" t="s">
        <v>2170</v>
      </c>
      <c r="E1178" s="32" t="s">
        <v>2171</v>
      </c>
      <c r="F1178" s="32" t="s">
        <v>276</v>
      </c>
      <c r="G1178" s="33">
        <v>114</v>
      </c>
      <c r="H1178" s="34">
        <v>0.624</v>
      </c>
      <c r="I1178" s="31">
        <v>127000</v>
      </c>
      <c r="J1178" s="35" t="s">
        <v>1514</v>
      </c>
      <c r="K1178" s="36">
        <v>2021</v>
      </c>
    </row>
    <row r="1179" spans="1:11" ht="15" customHeight="1" x14ac:dyDescent="0.3">
      <c r="A1179" s="37">
        <v>1174</v>
      </c>
      <c r="B1179" s="38" t="s">
        <v>313</v>
      </c>
      <c r="C1179" s="38" t="s">
        <v>2516</v>
      </c>
      <c r="D1179" s="38" t="s">
        <v>2517</v>
      </c>
      <c r="E1179" s="38" t="s">
        <v>206</v>
      </c>
      <c r="F1179" s="38" t="s">
        <v>435</v>
      </c>
      <c r="G1179" s="39">
        <v>729</v>
      </c>
      <c r="H1179" s="40">
        <v>4</v>
      </c>
      <c r="I1179" s="37">
        <v>219260</v>
      </c>
      <c r="J1179" s="41" t="s">
        <v>78</v>
      </c>
      <c r="K1179" s="42">
        <v>2022</v>
      </c>
    </row>
    <row r="1180" spans="1:11" ht="15" customHeight="1" x14ac:dyDescent="0.3">
      <c r="A1180" s="31">
        <v>1175</v>
      </c>
      <c r="B1180" s="32" t="s">
        <v>313</v>
      </c>
      <c r="C1180" s="32" t="s">
        <v>2518</v>
      </c>
      <c r="D1180" s="32" t="s">
        <v>2519</v>
      </c>
      <c r="E1180" s="32" t="s">
        <v>2520</v>
      </c>
      <c r="F1180" s="32" t="s">
        <v>276</v>
      </c>
      <c r="G1180" s="33">
        <v>535</v>
      </c>
      <c r="H1180" s="34">
        <v>0.91200000000000003</v>
      </c>
      <c r="I1180" s="31">
        <v>135000</v>
      </c>
      <c r="J1180" s="35" t="s">
        <v>78</v>
      </c>
      <c r="K1180" s="36">
        <v>2022</v>
      </c>
    </row>
    <row r="1181" spans="1:11" ht="15" customHeight="1" x14ac:dyDescent="0.3">
      <c r="A1181" s="37">
        <v>1176</v>
      </c>
      <c r="B1181" s="38" t="s">
        <v>313</v>
      </c>
      <c r="C1181" s="38" t="s">
        <v>2521</v>
      </c>
      <c r="D1181" s="38" t="s">
        <v>803</v>
      </c>
      <c r="E1181" s="38" t="s">
        <v>2522</v>
      </c>
      <c r="F1181" s="38" t="s">
        <v>276</v>
      </c>
      <c r="G1181" s="39">
        <v>225.6</v>
      </c>
      <c r="H1181" s="40">
        <v>0.36799999999999999</v>
      </c>
      <c r="I1181" s="37">
        <v>135000</v>
      </c>
      <c r="J1181" s="41" t="s">
        <v>78</v>
      </c>
      <c r="K1181" s="42">
        <v>2022</v>
      </c>
    </row>
    <row r="1182" spans="1:11" ht="15" customHeight="1" x14ac:dyDescent="0.3">
      <c r="A1182" s="31">
        <v>1177</v>
      </c>
      <c r="B1182" s="32" t="s">
        <v>313</v>
      </c>
      <c r="C1182" s="32" t="s">
        <v>2523</v>
      </c>
      <c r="D1182" s="32" t="s">
        <v>2524</v>
      </c>
      <c r="E1182" s="32" t="s">
        <v>2525</v>
      </c>
      <c r="F1182" s="32" t="s">
        <v>316</v>
      </c>
      <c r="G1182" s="33">
        <v>864</v>
      </c>
      <c r="H1182" s="34">
        <v>3</v>
      </c>
      <c r="I1182" s="31">
        <v>191260</v>
      </c>
      <c r="J1182" s="35" t="s">
        <v>78</v>
      </c>
      <c r="K1182" s="36">
        <v>2022</v>
      </c>
    </row>
    <row r="1183" spans="1:11" ht="15" customHeight="1" x14ac:dyDescent="0.3">
      <c r="A1183" s="37">
        <v>1178</v>
      </c>
      <c r="B1183" s="38" t="s">
        <v>313</v>
      </c>
      <c r="C1183" s="38" t="s">
        <v>2526</v>
      </c>
      <c r="D1183" s="38" t="s">
        <v>2527</v>
      </c>
      <c r="E1183" s="38" t="s">
        <v>1801</v>
      </c>
      <c r="F1183" s="38" t="s">
        <v>316</v>
      </c>
      <c r="G1183" s="39">
        <v>37</v>
      </c>
      <c r="H1183" s="40">
        <v>0.59799999999999998</v>
      </c>
      <c r="I1183" s="37">
        <v>137260</v>
      </c>
      <c r="J1183" s="41" t="s">
        <v>78</v>
      </c>
      <c r="K1183" s="42">
        <v>2022</v>
      </c>
    </row>
    <row r="1184" spans="1:11" ht="15" customHeight="1" x14ac:dyDescent="0.3">
      <c r="A1184" s="31">
        <v>1179</v>
      </c>
      <c r="B1184" s="32" t="s">
        <v>313</v>
      </c>
      <c r="C1184" s="32" t="s">
        <v>2528</v>
      </c>
      <c r="D1184" s="32" t="s">
        <v>2069</v>
      </c>
      <c r="E1184" s="32" t="s">
        <v>2070</v>
      </c>
      <c r="F1184" s="32" t="s">
        <v>276</v>
      </c>
      <c r="G1184" s="33">
        <v>404</v>
      </c>
      <c r="H1184" s="34">
        <v>1.0489999999999999</v>
      </c>
      <c r="I1184" s="31">
        <v>137260</v>
      </c>
      <c r="J1184" s="35" t="s">
        <v>78</v>
      </c>
      <c r="K1184" s="36">
        <v>2022</v>
      </c>
    </row>
    <row r="1185" spans="1:11" ht="15" customHeight="1" x14ac:dyDescent="0.3">
      <c r="A1185" s="37">
        <v>1180</v>
      </c>
      <c r="B1185" s="38" t="s">
        <v>313</v>
      </c>
      <c r="C1185" s="38" t="s">
        <v>2529</v>
      </c>
      <c r="D1185" s="38" t="s">
        <v>2530</v>
      </c>
      <c r="E1185" s="38" t="s">
        <v>2531</v>
      </c>
      <c r="F1185" s="38" t="s">
        <v>402</v>
      </c>
      <c r="G1185" s="39">
        <v>376</v>
      </c>
      <c r="H1185" s="40">
        <v>3.274</v>
      </c>
      <c r="I1185" s="37">
        <v>191260</v>
      </c>
      <c r="J1185" s="41" t="s">
        <v>78</v>
      </c>
      <c r="K1185" s="42">
        <v>2022</v>
      </c>
    </row>
    <row r="1186" spans="1:11" ht="15" customHeight="1" x14ac:dyDescent="0.3">
      <c r="A1186" s="31">
        <v>1181</v>
      </c>
      <c r="B1186" s="32" t="s">
        <v>313</v>
      </c>
      <c r="C1186" s="32" t="s">
        <v>2532</v>
      </c>
      <c r="D1186" s="32" t="s">
        <v>2533</v>
      </c>
      <c r="E1186" s="32" t="s">
        <v>35</v>
      </c>
      <c r="F1186" s="32" t="s">
        <v>287</v>
      </c>
      <c r="G1186" s="33">
        <v>1745</v>
      </c>
      <c r="H1186" s="34">
        <v>3</v>
      </c>
      <c r="I1186" s="31">
        <v>191260</v>
      </c>
      <c r="J1186" s="35" t="s">
        <v>78</v>
      </c>
      <c r="K1186" s="36">
        <v>2022</v>
      </c>
    </row>
    <row r="1187" spans="1:11" ht="15" customHeight="1" x14ac:dyDescent="0.3">
      <c r="A1187" s="37">
        <v>1182</v>
      </c>
      <c r="B1187" s="38" t="s">
        <v>313</v>
      </c>
      <c r="C1187" s="38" t="s">
        <v>2534</v>
      </c>
      <c r="D1187" s="38" t="s">
        <v>2535</v>
      </c>
      <c r="E1187" s="38" t="s">
        <v>2536</v>
      </c>
      <c r="F1187" s="38" t="s">
        <v>2537</v>
      </c>
      <c r="G1187" s="39">
        <v>2020</v>
      </c>
      <c r="H1187" s="40">
        <v>3</v>
      </c>
      <c r="I1187" s="37">
        <v>191260</v>
      </c>
      <c r="J1187" s="41" t="s">
        <v>78</v>
      </c>
      <c r="K1187" s="42">
        <v>2022</v>
      </c>
    </row>
    <row r="1188" spans="1:11" ht="15" customHeight="1" x14ac:dyDescent="0.3">
      <c r="A1188" s="31">
        <v>1183</v>
      </c>
      <c r="B1188" s="32" t="s">
        <v>313</v>
      </c>
      <c r="C1188" s="32" t="s">
        <v>2538</v>
      </c>
      <c r="D1188" s="32" t="s">
        <v>2539</v>
      </c>
      <c r="E1188" s="32" t="s">
        <v>2540</v>
      </c>
      <c r="F1188" s="32" t="s">
        <v>316</v>
      </c>
      <c r="G1188" s="33">
        <v>462</v>
      </c>
      <c r="H1188" s="34">
        <v>3.492</v>
      </c>
      <c r="I1188" s="31">
        <v>191260</v>
      </c>
      <c r="J1188" s="35" t="s">
        <v>78</v>
      </c>
      <c r="K1188" s="36">
        <v>2022</v>
      </c>
    </row>
    <row r="1189" spans="1:11" ht="15" customHeight="1" x14ac:dyDescent="0.3">
      <c r="A1189" s="37">
        <v>1184</v>
      </c>
      <c r="B1189" s="38" t="s">
        <v>2488</v>
      </c>
      <c r="C1189" s="38" t="s">
        <v>2541</v>
      </c>
      <c r="D1189" s="38" t="s">
        <v>342</v>
      </c>
      <c r="E1189" s="38" t="s">
        <v>41</v>
      </c>
      <c r="F1189" s="38" t="s">
        <v>693</v>
      </c>
      <c r="G1189" s="39">
        <v>3257</v>
      </c>
      <c r="H1189" s="40">
        <v>3</v>
      </c>
      <c r="I1189" s="37">
        <v>191260</v>
      </c>
      <c r="J1189" s="41" t="s">
        <v>78</v>
      </c>
      <c r="K1189" s="42">
        <v>2022</v>
      </c>
    </row>
    <row r="1190" spans="1:11" ht="15" customHeight="1" x14ac:dyDescent="0.3">
      <c r="A1190" s="31">
        <v>1185</v>
      </c>
      <c r="B1190" s="32" t="s">
        <v>2488</v>
      </c>
      <c r="C1190" s="32" t="s">
        <v>2542</v>
      </c>
      <c r="D1190" s="32" t="s">
        <v>2543</v>
      </c>
      <c r="E1190" s="32" t="s">
        <v>35</v>
      </c>
      <c r="F1190" s="32" t="s">
        <v>846</v>
      </c>
      <c r="G1190" s="33">
        <v>790</v>
      </c>
      <c r="H1190" s="34">
        <v>1</v>
      </c>
      <c r="I1190" s="31">
        <v>163260</v>
      </c>
      <c r="J1190" s="35" t="s">
        <v>78</v>
      </c>
      <c r="K1190" s="36">
        <v>2022</v>
      </c>
    </row>
    <row r="1191" spans="1:11" ht="15" customHeight="1" x14ac:dyDescent="0.3">
      <c r="A1191" s="37">
        <v>1186</v>
      </c>
      <c r="B1191" s="38" t="s">
        <v>2488</v>
      </c>
      <c r="C1191" s="38" t="s">
        <v>2544</v>
      </c>
      <c r="D1191" s="38" t="s">
        <v>342</v>
      </c>
      <c r="E1191" s="38" t="s">
        <v>47</v>
      </c>
      <c r="F1191" s="38" t="s">
        <v>312</v>
      </c>
      <c r="G1191" s="39">
        <v>480</v>
      </c>
      <c r="H1191" s="40">
        <v>0.71599999999999997</v>
      </c>
      <c r="I1191" s="37">
        <v>137260</v>
      </c>
      <c r="J1191" s="41" t="s">
        <v>78</v>
      </c>
      <c r="K1191" s="42">
        <v>2022</v>
      </c>
    </row>
    <row r="1192" spans="1:11" ht="15" customHeight="1" x14ac:dyDescent="0.3">
      <c r="A1192" s="31">
        <v>1187</v>
      </c>
      <c r="B1192" s="32" t="s">
        <v>2488</v>
      </c>
      <c r="C1192" s="32" t="s">
        <v>2545</v>
      </c>
      <c r="D1192" s="32" t="s">
        <v>2546</v>
      </c>
      <c r="E1192" s="32" t="s">
        <v>35</v>
      </c>
      <c r="F1192" s="32" t="s">
        <v>316</v>
      </c>
      <c r="G1192" s="33">
        <v>1583.12</v>
      </c>
      <c r="H1192" s="34">
        <v>3</v>
      </c>
      <c r="I1192" s="31">
        <v>191260</v>
      </c>
      <c r="J1192" s="35" t="s">
        <v>78</v>
      </c>
      <c r="K1192" s="36">
        <v>2022</v>
      </c>
    </row>
    <row r="1193" spans="1:11" ht="15" customHeight="1" x14ac:dyDescent="0.3">
      <c r="A1193" s="37">
        <v>1188</v>
      </c>
      <c r="B1193" s="38" t="s">
        <v>2488</v>
      </c>
      <c r="C1193" s="38" t="s">
        <v>2547</v>
      </c>
      <c r="D1193" s="38" t="s">
        <v>2548</v>
      </c>
      <c r="E1193" s="38" t="s">
        <v>2549</v>
      </c>
      <c r="F1193" s="38" t="s">
        <v>2550</v>
      </c>
      <c r="G1193" s="39">
        <v>5271</v>
      </c>
      <c r="H1193" s="40">
        <v>10</v>
      </c>
      <c r="I1193" s="37">
        <v>539260</v>
      </c>
      <c r="J1193" s="41" t="s">
        <v>78</v>
      </c>
      <c r="K1193" s="42">
        <v>2022</v>
      </c>
    </row>
    <row r="1194" spans="1:11" ht="15" customHeight="1" x14ac:dyDescent="0.3">
      <c r="A1194" s="31">
        <v>1189</v>
      </c>
      <c r="B1194" s="32" t="s">
        <v>2488</v>
      </c>
      <c r="C1194" s="32" t="s">
        <v>2551</v>
      </c>
      <c r="D1194" s="32" t="s">
        <v>2552</v>
      </c>
      <c r="E1194" s="32" t="s">
        <v>2553</v>
      </c>
      <c r="F1194" s="32" t="s">
        <v>276</v>
      </c>
      <c r="G1194" s="33">
        <v>235</v>
      </c>
      <c r="H1194" s="34">
        <v>0.86699999999999999</v>
      </c>
      <c r="I1194" s="31">
        <v>135000</v>
      </c>
      <c r="J1194" s="35" t="s">
        <v>78</v>
      </c>
      <c r="K1194" s="36">
        <v>2022</v>
      </c>
    </row>
    <row r="1195" spans="1:11" ht="15" customHeight="1" x14ac:dyDescent="0.3">
      <c r="A1195" s="37">
        <v>1190</v>
      </c>
      <c r="B1195" s="38" t="s">
        <v>2488</v>
      </c>
      <c r="C1195" s="38" t="s">
        <v>2554</v>
      </c>
      <c r="D1195" s="38" t="s">
        <v>2555</v>
      </c>
      <c r="E1195" s="38" t="s">
        <v>2556</v>
      </c>
      <c r="F1195" s="38" t="s">
        <v>287</v>
      </c>
      <c r="G1195" s="39">
        <v>497.7</v>
      </c>
      <c r="H1195" s="40">
        <v>4</v>
      </c>
      <c r="I1195" s="37">
        <v>219260</v>
      </c>
      <c r="J1195" s="41" t="s">
        <v>78</v>
      </c>
      <c r="K1195" s="42">
        <v>2022</v>
      </c>
    </row>
    <row r="1196" spans="1:11" ht="15" customHeight="1" x14ac:dyDescent="0.3">
      <c r="A1196" s="31">
        <v>1191</v>
      </c>
      <c r="B1196" s="32" t="s">
        <v>2488</v>
      </c>
      <c r="C1196" s="32" t="s">
        <v>2557</v>
      </c>
      <c r="D1196" s="32" t="s">
        <v>2558</v>
      </c>
      <c r="E1196" s="32" t="s">
        <v>2520</v>
      </c>
      <c r="F1196" s="32" t="s">
        <v>2131</v>
      </c>
      <c r="G1196" s="33">
        <v>1930</v>
      </c>
      <c r="H1196" s="34">
        <v>0.63300000000000001</v>
      </c>
      <c r="I1196" s="31">
        <v>161000</v>
      </c>
      <c r="J1196" s="35" t="s">
        <v>78</v>
      </c>
      <c r="K1196" s="36">
        <v>2022</v>
      </c>
    </row>
    <row r="1197" spans="1:11" ht="15" customHeight="1" x14ac:dyDescent="0.3">
      <c r="A1197" s="37">
        <v>1192</v>
      </c>
      <c r="B1197" s="38" t="s">
        <v>2488</v>
      </c>
      <c r="C1197" s="38" t="s">
        <v>2559</v>
      </c>
      <c r="D1197" s="38" t="s">
        <v>1448</v>
      </c>
      <c r="E1197" s="38" t="s">
        <v>47</v>
      </c>
      <c r="F1197" s="38" t="s">
        <v>2126</v>
      </c>
      <c r="G1197" s="39">
        <v>752</v>
      </c>
      <c r="H1197" s="40">
        <v>1.224</v>
      </c>
      <c r="I1197" s="37">
        <v>137260</v>
      </c>
      <c r="J1197" s="41" t="s">
        <v>78</v>
      </c>
      <c r="K1197" s="42">
        <v>2022</v>
      </c>
    </row>
    <row r="1198" spans="1:11" ht="15" customHeight="1" x14ac:dyDescent="0.3">
      <c r="A1198" s="31">
        <v>1193</v>
      </c>
      <c r="B1198" s="32" t="s">
        <v>2488</v>
      </c>
      <c r="C1198" s="32" t="s">
        <v>2560</v>
      </c>
      <c r="D1198" s="32" t="s">
        <v>64</v>
      </c>
      <c r="E1198" s="32" t="s">
        <v>47</v>
      </c>
      <c r="F1198" s="32" t="s">
        <v>373</v>
      </c>
      <c r="G1198" s="33">
        <v>310</v>
      </c>
      <c r="H1198" s="34">
        <v>3</v>
      </c>
      <c r="I1198" s="31">
        <v>189000</v>
      </c>
      <c r="J1198" s="35" t="s">
        <v>78</v>
      </c>
      <c r="K1198" s="36">
        <v>2022</v>
      </c>
    </row>
    <row r="1199" spans="1:11" ht="15" customHeight="1" x14ac:dyDescent="0.3">
      <c r="A1199" s="37">
        <v>1194</v>
      </c>
      <c r="B1199" s="38" t="s">
        <v>2488</v>
      </c>
      <c r="C1199" s="38" t="s">
        <v>2561</v>
      </c>
      <c r="D1199" s="38" t="s">
        <v>2562</v>
      </c>
      <c r="E1199" s="38" t="s">
        <v>2520</v>
      </c>
      <c r="F1199" s="38" t="s">
        <v>411</v>
      </c>
      <c r="G1199" s="39">
        <v>3566</v>
      </c>
      <c r="H1199" s="40">
        <v>2.6469999999999998</v>
      </c>
      <c r="I1199" s="37">
        <v>217000</v>
      </c>
      <c r="J1199" s="41" t="s">
        <v>78</v>
      </c>
      <c r="K1199" s="42">
        <v>2022</v>
      </c>
    </row>
    <row r="1200" spans="1:11" ht="15" customHeight="1" x14ac:dyDescent="0.3">
      <c r="A1200" s="31">
        <v>1195</v>
      </c>
      <c r="B1200" s="32" t="s">
        <v>2488</v>
      </c>
      <c r="C1200" s="32" t="s">
        <v>2563</v>
      </c>
      <c r="D1200" s="32" t="s">
        <v>2564</v>
      </c>
      <c r="E1200" s="32" t="s">
        <v>2520</v>
      </c>
      <c r="F1200" s="32" t="s">
        <v>533</v>
      </c>
      <c r="G1200" s="33">
        <v>3890.5619999999999</v>
      </c>
      <c r="H1200" s="34">
        <v>10</v>
      </c>
      <c r="I1200" s="31">
        <v>375000</v>
      </c>
      <c r="J1200" s="35" t="s">
        <v>78</v>
      </c>
      <c r="K1200" s="36">
        <v>2022</v>
      </c>
    </row>
    <row r="1201" spans="1:11" ht="15" customHeight="1" x14ac:dyDescent="0.3">
      <c r="A1201" s="37">
        <v>1196</v>
      </c>
      <c r="B1201" s="38" t="s">
        <v>2488</v>
      </c>
      <c r="C1201" s="38" t="s">
        <v>2565</v>
      </c>
      <c r="D1201" s="38" t="s">
        <v>2566</v>
      </c>
      <c r="E1201" s="38" t="s">
        <v>41</v>
      </c>
      <c r="F1201" s="38" t="s">
        <v>849</v>
      </c>
      <c r="G1201" s="39">
        <v>408</v>
      </c>
      <c r="H1201" s="40">
        <v>3.2589999999999999</v>
      </c>
      <c r="I1201" s="37">
        <v>191260</v>
      </c>
      <c r="J1201" s="41" t="s">
        <v>78</v>
      </c>
      <c r="K1201" s="42">
        <v>2022</v>
      </c>
    </row>
    <row r="1202" spans="1:11" ht="15" customHeight="1" x14ac:dyDescent="0.3">
      <c r="A1202" s="31">
        <v>1197</v>
      </c>
      <c r="B1202" s="32" t="s">
        <v>272</v>
      </c>
      <c r="C1202" s="32" t="s">
        <v>2567</v>
      </c>
      <c r="D1202" s="32" t="s">
        <v>60</v>
      </c>
      <c r="E1202" s="32" t="s">
        <v>37</v>
      </c>
      <c r="F1202" s="32" t="s">
        <v>276</v>
      </c>
      <c r="G1202" s="33">
        <v>550</v>
      </c>
      <c r="H1202" s="34">
        <v>0.91200000000000003</v>
      </c>
      <c r="I1202" s="31">
        <v>137260</v>
      </c>
      <c r="J1202" s="35" t="s">
        <v>78</v>
      </c>
      <c r="K1202" s="36">
        <v>2022</v>
      </c>
    </row>
    <row r="1203" spans="1:11" ht="15" customHeight="1" x14ac:dyDescent="0.3">
      <c r="A1203" s="37">
        <v>1198</v>
      </c>
      <c r="B1203" s="38" t="s">
        <v>272</v>
      </c>
      <c r="C1203" s="38" t="s">
        <v>2568</v>
      </c>
      <c r="D1203" s="38" t="s">
        <v>54</v>
      </c>
      <c r="E1203" s="38" t="s">
        <v>35</v>
      </c>
      <c r="F1203" s="38" t="s">
        <v>316</v>
      </c>
      <c r="G1203" s="39">
        <v>63</v>
      </c>
      <c r="H1203" s="40">
        <v>0.192</v>
      </c>
      <c r="I1203" s="37">
        <v>137260</v>
      </c>
      <c r="J1203" s="41" t="s">
        <v>78</v>
      </c>
      <c r="K1203" s="42">
        <v>2022</v>
      </c>
    </row>
    <row r="1204" spans="1:11" ht="15" customHeight="1" x14ac:dyDescent="0.3">
      <c r="A1204" s="31">
        <v>1199</v>
      </c>
      <c r="B1204" s="32" t="s">
        <v>272</v>
      </c>
      <c r="C1204" s="32" t="s">
        <v>2569</v>
      </c>
      <c r="D1204" s="32" t="s">
        <v>826</v>
      </c>
      <c r="E1204" s="32" t="s">
        <v>35</v>
      </c>
      <c r="F1204" s="32" t="s">
        <v>435</v>
      </c>
      <c r="G1204" s="33">
        <v>688</v>
      </c>
      <c r="H1204" s="34">
        <v>3</v>
      </c>
      <c r="I1204" s="31">
        <v>191260</v>
      </c>
      <c r="J1204" s="35" t="s">
        <v>78</v>
      </c>
      <c r="K1204" s="36">
        <v>2022</v>
      </c>
    </row>
    <row r="1205" spans="1:11" ht="15" customHeight="1" x14ac:dyDescent="0.3">
      <c r="A1205" s="37">
        <v>1200</v>
      </c>
      <c r="B1205" s="38" t="s">
        <v>272</v>
      </c>
      <c r="C1205" s="38" t="s">
        <v>2570</v>
      </c>
      <c r="D1205" s="38" t="s">
        <v>2050</v>
      </c>
      <c r="E1205" s="38" t="s">
        <v>2571</v>
      </c>
      <c r="F1205" s="38" t="s">
        <v>2572</v>
      </c>
      <c r="G1205" s="39">
        <v>737.75</v>
      </c>
      <c r="H1205" s="40">
        <v>6</v>
      </c>
      <c r="I1205" s="37">
        <v>275260</v>
      </c>
      <c r="J1205" s="41" t="s">
        <v>78</v>
      </c>
      <c r="K1205" s="42">
        <v>2022</v>
      </c>
    </row>
    <row r="1206" spans="1:11" ht="15" customHeight="1" x14ac:dyDescent="0.3">
      <c r="A1206" s="31">
        <v>1201</v>
      </c>
      <c r="B1206" s="32" t="s">
        <v>272</v>
      </c>
      <c r="C1206" s="32" t="s">
        <v>2573</v>
      </c>
      <c r="D1206" s="32" t="s">
        <v>2045</v>
      </c>
      <c r="E1206" s="32" t="s">
        <v>2574</v>
      </c>
      <c r="F1206" s="32" t="s">
        <v>849</v>
      </c>
      <c r="G1206" s="33">
        <v>118</v>
      </c>
      <c r="H1206" s="34">
        <v>0.84299999999999997</v>
      </c>
      <c r="I1206" s="31">
        <v>137260</v>
      </c>
      <c r="J1206" s="35" t="s">
        <v>78</v>
      </c>
      <c r="K1206" s="36">
        <v>2022</v>
      </c>
    </row>
    <row r="1207" spans="1:11" ht="15" customHeight="1" x14ac:dyDescent="0.3">
      <c r="A1207" s="37">
        <v>1202</v>
      </c>
      <c r="B1207" s="38" t="s">
        <v>272</v>
      </c>
      <c r="C1207" s="38" t="s">
        <v>2575</v>
      </c>
      <c r="D1207" s="38" t="s">
        <v>2576</v>
      </c>
      <c r="E1207" s="38" t="s">
        <v>2577</v>
      </c>
      <c r="F1207" s="38" t="s">
        <v>316</v>
      </c>
      <c r="G1207" s="39">
        <v>486.4</v>
      </c>
      <c r="H1207" s="40">
        <v>2.4</v>
      </c>
      <c r="I1207" s="37">
        <v>163260</v>
      </c>
      <c r="J1207" s="41" t="s">
        <v>78</v>
      </c>
      <c r="K1207" s="42">
        <v>2022</v>
      </c>
    </row>
    <row r="1208" spans="1:11" ht="15" customHeight="1" x14ac:dyDescent="0.3">
      <c r="A1208" s="31">
        <v>1203</v>
      </c>
      <c r="B1208" s="32" t="s">
        <v>272</v>
      </c>
      <c r="C1208" s="32" t="s">
        <v>2578</v>
      </c>
      <c r="D1208" s="32" t="s">
        <v>2579</v>
      </c>
      <c r="E1208" s="32" t="s">
        <v>2580</v>
      </c>
      <c r="F1208" s="32" t="s">
        <v>316</v>
      </c>
      <c r="G1208" s="33">
        <v>1108</v>
      </c>
      <c r="H1208" s="34">
        <v>2.16</v>
      </c>
      <c r="I1208" s="31">
        <v>163260</v>
      </c>
      <c r="J1208" s="35" t="s">
        <v>78</v>
      </c>
      <c r="K1208" s="36">
        <v>2022</v>
      </c>
    </row>
    <row r="1209" spans="1:11" ht="15" customHeight="1" x14ac:dyDescent="0.3">
      <c r="A1209" s="37">
        <v>1204</v>
      </c>
      <c r="B1209" s="38" t="s">
        <v>272</v>
      </c>
      <c r="C1209" s="38" t="s">
        <v>2581</v>
      </c>
      <c r="D1209" s="38" t="s">
        <v>2582</v>
      </c>
      <c r="E1209" s="38" t="s">
        <v>2583</v>
      </c>
      <c r="F1209" s="38" t="s">
        <v>402</v>
      </c>
      <c r="G1209" s="39">
        <v>98.5</v>
      </c>
      <c r="H1209" s="40">
        <v>0.497</v>
      </c>
      <c r="I1209" s="37">
        <v>137260</v>
      </c>
      <c r="J1209" s="41" t="s">
        <v>78</v>
      </c>
      <c r="K1209" s="42">
        <v>2022</v>
      </c>
    </row>
    <row r="1210" spans="1:11" ht="15" customHeight="1" x14ac:dyDescent="0.3">
      <c r="A1210" s="31">
        <v>1205</v>
      </c>
      <c r="B1210" s="32" t="s">
        <v>272</v>
      </c>
      <c r="C1210" s="32" t="s">
        <v>2584</v>
      </c>
      <c r="D1210" s="32" t="s">
        <v>1938</v>
      </c>
      <c r="E1210" s="32" t="s">
        <v>2585</v>
      </c>
      <c r="F1210" s="32" t="s">
        <v>435</v>
      </c>
      <c r="G1210" s="33">
        <v>2626</v>
      </c>
      <c r="H1210" s="34">
        <v>3</v>
      </c>
      <c r="I1210" s="31">
        <v>189000</v>
      </c>
      <c r="J1210" s="35" t="s">
        <v>78</v>
      </c>
      <c r="K1210" s="36">
        <v>2022</v>
      </c>
    </row>
    <row r="1211" spans="1:11" ht="15" customHeight="1" x14ac:dyDescent="0.3">
      <c r="A1211" s="37">
        <v>1206</v>
      </c>
      <c r="B1211" s="38" t="s">
        <v>272</v>
      </c>
      <c r="C1211" s="38" t="s">
        <v>2586</v>
      </c>
      <c r="D1211" s="38" t="s">
        <v>2587</v>
      </c>
      <c r="E1211" s="38" t="s">
        <v>592</v>
      </c>
      <c r="F1211" s="38" t="s">
        <v>276</v>
      </c>
      <c r="G1211" s="39">
        <v>360</v>
      </c>
      <c r="H1211" s="40">
        <v>1.075</v>
      </c>
      <c r="I1211" s="37">
        <v>137260</v>
      </c>
      <c r="J1211" s="41" t="s">
        <v>78</v>
      </c>
      <c r="K1211" s="42">
        <v>2022</v>
      </c>
    </row>
    <row r="1212" spans="1:11" ht="15" customHeight="1" x14ac:dyDescent="0.3">
      <c r="A1212" s="31">
        <v>1207</v>
      </c>
      <c r="B1212" s="32" t="s">
        <v>272</v>
      </c>
      <c r="C1212" s="32" t="s">
        <v>2588</v>
      </c>
      <c r="D1212" s="32" t="s">
        <v>1193</v>
      </c>
      <c r="E1212" s="32" t="s">
        <v>2589</v>
      </c>
      <c r="F1212" s="32" t="s">
        <v>276</v>
      </c>
      <c r="G1212" s="33">
        <v>163</v>
      </c>
      <c r="H1212" s="34">
        <v>1.248</v>
      </c>
      <c r="I1212" s="31">
        <v>137260</v>
      </c>
      <c r="J1212" s="35" t="s">
        <v>78</v>
      </c>
      <c r="K1212" s="36">
        <v>2022</v>
      </c>
    </row>
    <row r="1213" spans="1:11" ht="15" customHeight="1" x14ac:dyDescent="0.3">
      <c r="A1213" s="37">
        <v>1208</v>
      </c>
      <c r="B1213" s="38" t="s">
        <v>272</v>
      </c>
      <c r="C1213" s="38" t="s">
        <v>2590</v>
      </c>
      <c r="D1213" s="38" t="s">
        <v>1193</v>
      </c>
      <c r="E1213" s="38" t="s">
        <v>2591</v>
      </c>
      <c r="F1213" s="38" t="s">
        <v>276</v>
      </c>
      <c r="G1213" s="39">
        <v>227</v>
      </c>
      <c r="H1213" s="40">
        <v>2</v>
      </c>
      <c r="I1213" s="37">
        <v>163260</v>
      </c>
      <c r="J1213" s="41" t="s">
        <v>78</v>
      </c>
      <c r="K1213" s="42">
        <v>2022</v>
      </c>
    </row>
    <row r="1214" spans="1:11" ht="15" customHeight="1" x14ac:dyDescent="0.3">
      <c r="A1214" s="31">
        <v>1209</v>
      </c>
      <c r="B1214" s="32" t="s">
        <v>272</v>
      </c>
      <c r="C1214" s="32" t="s">
        <v>2592</v>
      </c>
      <c r="D1214" s="32" t="s">
        <v>619</v>
      </c>
      <c r="E1214" s="32" t="s">
        <v>2593</v>
      </c>
      <c r="F1214" s="32" t="s">
        <v>435</v>
      </c>
      <c r="G1214" s="33">
        <v>1200.2</v>
      </c>
      <c r="H1214" s="34">
        <v>3.0720000000000001</v>
      </c>
      <c r="I1214" s="31">
        <v>191260</v>
      </c>
      <c r="J1214" s="35" t="s">
        <v>78</v>
      </c>
      <c r="K1214" s="36">
        <v>2022</v>
      </c>
    </row>
    <row r="1215" spans="1:11" ht="15" customHeight="1" x14ac:dyDescent="0.3">
      <c r="A1215" s="37">
        <v>1210</v>
      </c>
      <c r="B1215" s="38" t="s">
        <v>272</v>
      </c>
      <c r="C1215" s="38" t="s">
        <v>2594</v>
      </c>
      <c r="D1215" s="38" t="s">
        <v>2595</v>
      </c>
      <c r="E1215" s="38" t="s">
        <v>2596</v>
      </c>
      <c r="F1215" s="38" t="s">
        <v>435</v>
      </c>
      <c r="G1215" s="39">
        <v>1286</v>
      </c>
      <c r="H1215" s="40">
        <v>7</v>
      </c>
      <c r="I1215" s="37">
        <v>303260</v>
      </c>
      <c r="J1215" s="41" t="s">
        <v>78</v>
      </c>
      <c r="K1215" s="42">
        <v>2022</v>
      </c>
    </row>
    <row r="1216" spans="1:11" ht="15" customHeight="1" x14ac:dyDescent="0.3">
      <c r="A1216" s="31">
        <v>1211</v>
      </c>
      <c r="B1216" s="32" t="s">
        <v>272</v>
      </c>
      <c r="C1216" s="32" t="s">
        <v>2597</v>
      </c>
      <c r="D1216" s="32" t="s">
        <v>679</v>
      </c>
      <c r="E1216" s="32" t="s">
        <v>2480</v>
      </c>
      <c r="F1216" s="32" t="s">
        <v>276</v>
      </c>
      <c r="G1216" s="33">
        <v>50</v>
      </c>
      <c r="H1216" s="34">
        <v>0.312</v>
      </c>
      <c r="I1216" s="31">
        <v>137260</v>
      </c>
      <c r="J1216" s="35" t="s">
        <v>78</v>
      </c>
      <c r="K1216" s="36">
        <v>2022</v>
      </c>
    </row>
    <row r="1217" spans="1:11" ht="15" customHeight="1" x14ac:dyDescent="0.3">
      <c r="A1217" s="37">
        <v>1212</v>
      </c>
      <c r="B1217" s="38" t="s">
        <v>272</v>
      </c>
      <c r="C1217" s="38" t="s">
        <v>2598</v>
      </c>
      <c r="D1217" s="38" t="s">
        <v>2599</v>
      </c>
      <c r="E1217" s="38" t="s">
        <v>477</v>
      </c>
      <c r="F1217" s="38" t="s">
        <v>569</v>
      </c>
      <c r="G1217" s="39">
        <v>286</v>
      </c>
      <c r="H1217" s="40">
        <v>0.40300000000000002</v>
      </c>
      <c r="I1217" s="37">
        <v>137260</v>
      </c>
      <c r="J1217" s="41" t="s">
        <v>78</v>
      </c>
      <c r="K1217" s="42">
        <v>2022</v>
      </c>
    </row>
    <row r="1218" spans="1:11" ht="15" customHeight="1" x14ac:dyDescent="0.3">
      <c r="A1218" s="31">
        <v>1213</v>
      </c>
      <c r="B1218" s="32" t="s">
        <v>272</v>
      </c>
      <c r="C1218" s="32" t="s">
        <v>2600</v>
      </c>
      <c r="D1218" s="32" t="s">
        <v>64</v>
      </c>
      <c r="E1218" s="32" t="s">
        <v>47</v>
      </c>
      <c r="F1218" s="32" t="s">
        <v>517</v>
      </c>
      <c r="G1218" s="33">
        <v>1050</v>
      </c>
      <c r="H1218" s="34">
        <v>4</v>
      </c>
      <c r="I1218" s="31">
        <v>219260</v>
      </c>
      <c r="J1218" s="35" t="s">
        <v>78</v>
      </c>
      <c r="K1218" s="36">
        <v>2022</v>
      </c>
    </row>
    <row r="1219" spans="1:11" ht="15" customHeight="1" x14ac:dyDescent="0.3">
      <c r="A1219" s="37">
        <v>1214</v>
      </c>
      <c r="B1219" s="38" t="s">
        <v>272</v>
      </c>
      <c r="C1219" s="38" t="s">
        <v>2601</v>
      </c>
      <c r="D1219" s="38" t="s">
        <v>2602</v>
      </c>
      <c r="E1219" s="38" t="s">
        <v>2603</v>
      </c>
      <c r="F1219" s="38" t="s">
        <v>287</v>
      </c>
      <c r="G1219" s="39">
        <v>740</v>
      </c>
      <c r="H1219" s="40">
        <v>2</v>
      </c>
      <c r="I1219" s="37">
        <v>163260</v>
      </c>
      <c r="J1219" s="41" t="s">
        <v>78</v>
      </c>
      <c r="K1219" s="42">
        <v>2022</v>
      </c>
    </row>
    <row r="1220" spans="1:11" ht="15" customHeight="1" x14ac:dyDescent="0.3">
      <c r="A1220" s="31">
        <v>1215</v>
      </c>
      <c r="B1220" s="32" t="s">
        <v>2404</v>
      </c>
      <c r="C1220" s="32" t="s">
        <v>2604</v>
      </c>
      <c r="D1220" s="32" t="s">
        <v>2605</v>
      </c>
      <c r="E1220" s="32" t="s">
        <v>2606</v>
      </c>
      <c r="F1220" s="32" t="s">
        <v>287</v>
      </c>
      <c r="G1220" s="33">
        <v>910</v>
      </c>
      <c r="H1220" s="34">
        <v>5</v>
      </c>
      <c r="I1220" s="31">
        <v>247260</v>
      </c>
      <c r="J1220" s="35" t="s">
        <v>126</v>
      </c>
      <c r="K1220" s="36">
        <v>2022</v>
      </c>
    </row>
    <row r="1221" spans="1:11" ht="15" customHeight="1" x14ac:dyDescent="0.3">
      <c r="A1221" s="37">
        <v>1216</v>
      </c>
      <c r="B1221" s="38" t="s">
        <v>2404</v>
      </c>
      <c r="C1221" s="38" t="s">
        <v>2607</v>
      </c>
      <c r="D1221" s="38" t="s">
        <v>2608</v>
      </c>
      <c r="E1221" s="38" t="s">
        <v>55</v>
      </c>
      <c r="F1221" s="38" t="s">
        <v>533</v>
      </c>
      <c r="G1221" s="39">
        <v>6840</v>
      </c>
      <c r="H1221" s="40">
        <v>10</v>
      </c>
      <c r="I1221" s="37">
        <v>375000</v>
      </c>
      <c r="J1221" s="41" t="s">
        <v>126</v>
      </c>
      <c r="K1221" s="42">
        <v>2022</v>
      </c>
    </row>
    <row r="1222" spans="1:11" ht="15" customHeight="1" x14ac:dyDescent="0.3">
      <c r="A1222" s="31">
        <v>1217</v>
      </c>
      <c r="B1222" s="32" t="s">
        <v>2404</v>
      </c>
      <c r="C1222" s="32" t="s">
        <v>2609</v>
      </c>
      <c r="D1222" s="32" t="s">
        <v>826</v>
      </c>
      <c r="E1222" s="32" t="s">
        <v>35</v>
      </c>
      <c r="F1222" s="32" t="s">
        <v>316</v>
      </c>
      <c r="G1222" s="33">
        <v>160</v>
      </c>
      <c r="H1222" s="34">
        <v>2</v>
      </c>
      <c r="I1222" s="31">
        <v>163260</v>
      </c>
      <c r="J1222" s="35" t="s">
        <v>126</v>
      </c>
      <c r="K1222" s="36">
        <v>2022</v>
      </c>
    </row>
    <row r="1223" spans="1:11" ht="15" customHeight="1" x14ac:dyDescent="0.3">
      <c r="A1223" s="37">
        <v>1218</v>
      </c>
      <c r="B1223" s="38" t="s">
        <v>2404</v>
      </c>
      <c r="C1223" s="38" t="s">
        <v>2610</v>
      </c>
      <c r="D1223" s="38" t="s">
        <v>2611</v>
      </c>
      <c r="E1223" s="38" t="s">
        <v>37</v>
      </c>
      <c r="F1223" s="38" t="s">
        <v>316</v>
      </c>
      <c r="G1223" s="39">
        <v>285</v>
      </c>
      <c r="H1223" s="40">
        <v>1.171</v>
      </c>
      <c r="I1223" s="37">
        <v>137260</v>
      </c>
      <c r="J1223" s="41" t="s">
        <v>126</v>
      </c>
      <c r="K1223" s="42">
        <v>2022</v>
      </c>
    </row>
    <row r="1224" spans="1:11" ht="15" customHeight="1" x14ac:dyDescent="0.3">
      <c r="A1224" s="31">
        <v>1219</v>
      </c>
      <c r="B1224" s="32" t="s">
        <v>2404</v>
      </c>
      <c r="C1224" s="32" t="s">
        <v>2612</v>
      </c>
      <c r="D1224" s="32" t="s">
        <v>2613</v>
      </c>
      <c r="E1224" s="32" t="s">
        <v>2614</v>
      </c>
      <c r="F1224" s="32" t="s">
        <v>402</v>
      </c>
      <c r="G1224" s="33">
        <v>153</v>
      </c>
      <c r="H1224" s="34">
        <v>0.54</v>
      </c>
      <c r="I1224" s="31">
        <v>135000</v>
      </c>
      <c r="J1224" s="35" t="s">
        <v>126</v>
      </c>
      <c r="K1224" s="36">
        <v>2022</v>
      </c>
    </row>
    <row r="1225" spans="1:11" ht="15" customHeight="1" x14ac:dyDescent="0.3">
      <c r="A1225" s="37">
        <v>1220</v>
      </c>
      <c r="B1225" s="38" t="s">
        <v>2404</v>
      </c>
      <c r="C1225" s="38" t="s">
        <v>2615</v>
      </c>
      <c r="D1225" s="38" t="s">
        <v>2616</v>
      </c>
      <c r="E1225" s="38" t="s">
        <v>2617</v>
      </c>
      <c r="F1225" s="38" t="s">
        <v>287</v>
      </c>
      <c r="G1225" s="39">
        <v>453</v>
      </c>
      <c r="H1225" s="40">
        <v>7</v>
      </c>
      <c r="I1225" s="37">
        <v>303260</v>
      </c>
      <c r="J1225" s="41" t="s">
        <v>126</v>
      </c>
      <c r="K1225" s="42">
        <v>2022</v>
      </c>
    </row>
    <row r="1226" spans="1:11" ht="15" customHeight="1" x14ac:dyDescent="0.3">
      <c r="A1226" s="31">
        <v>1221</v>
      </c>
      <c r="B1226" s="32" t="s">
        <v>2404</v>
      </c>
      <c r="C1226" s="32" t="s">
        <v>2618</v>
      </c>
      <c r="D1226" s="32" t="s">
        <v>2619</v>
      </c>
      <c r="E1226" s="32" t="s">
        <v>2620</v>
      </c>
      <c r="F1226" s="32" t="s">
        <v>435</v>
      </c>
      <c r="G1226" s="33">
        <v>273</v>
      </c>
      <c r="H1226" s="34">
        <v>2</v>
      </c>
      <c r="I1226" s="31">
        <v>163260</v>
      </c>
      <c r="J1226" s="35" t="s">
        <v>126</v>
      </c>
      <c r="K1226" s="36">
        <v>2022</v>
      </c>
    </row>
    <row r="1227" spans="1:11" ht="15" customHeight="1" x14ac:dyDescent="0.3">
      <c r="A1227" s="37">
        <v>1222</v>
      </c>
      <c r="B1227" s="38" t="s">
        <v>2404</v>
      </c>
      <c r="C1227" s="38" t="s">
        <v>2621</v>
      </c>
      <c r="D1227" s="38" t="s">
        <v>2622</v>
      </c>
      <c r="E1227" s="38" t="s">
        <v>53</v>
      </c>
      <c r="F1227" s="38" t="s">
        <v>2623</v>
      </c>
      <c r="G1227" s="39">
        <v>360</v>
      </c>
      <c r="H1227" s="40">
        <v>6</v>
      </c>
      <c r="I1227" s="37">
        <v>275260</v>
      </c>
      <c r="J1227" s="41" t="s">
        <v>126</v>
      </c>
      <c r="K1227" s="42">
        <v>2022</v>
      </c>
    </row>
    <row r="1228" spans="1:11" ht="15" customHeight="1" x14ac:dyDescent="0.3">
      <c r="A1228" s="31">
        <v>1223</v>
      </c>
      <c r="B1228" s="32" t="s">
        <v>2404</v>
      </c>
      <c r="C1228" s="32" t="s">
        <v>2624</v>
      </c>
      <c r="D1228" s="32" t="s">
        <v>48</v>
      </c>
      <c r="E1228" s="32" t="s">
        <v>35</v>
      </c>
      <c r="F1228" s="32" t="s">
        <v>1044</v>
      </c>
      <c r="G1228" s="33">
        <v>1923</v>
      </c>
      <c r="H1228" s="34">
        <v>3</v>
      </c>
      <c r="I1228" s="31">
        <v>191260</v>
      </c>
      <c r="J1228" s="35" t="s">
        <v>126</v>
      </c>
      <c r="K1228" s="36">
        <v>2022</v>
      </c>
    </row>
    <row r="1229" spans="1:11" ht="15" customHeight="1" x14ac:dyDescent="0.3">
      <c r="A1229" s="37">
        <v>1224</v>
      </c>
      <c r="B1229" s="38" t="s">
        <v>2404</v>
      </c>
      <c r="C1229" s="38" t="s">
        <v>2625</v>
      </c>
      <c r="D1229" s="38" t="s">
        <v>2626</v>
      </c>
      <c r="E1229" s="38" t="s">
        <v>868</v>
      </c>
      <c r="F1229" s="38" t="s">
        <v>276</v>
      </c>
      <c r="G1229" s="39">
        <v>598</v>
      </c>
      <c r="H1229" s="40">
        <v>1.208</v>
      </c>
      <c r="I1229" s="37">
        <v>135000</v>
      </c>
      <c r="J1229" s="41" t="s">
        <v>126</v>
      </c>
      <c r="K1229" s="42">
        <v>2022</v>
      </c>
    </row>
    <row r="1230" spans="1:11" ht="15" customHeight="1" x14ac:dyDescent="0.3">
      <c r="A1230" s="31">
        <v>1225</v>
      </c>
      <c r="B1230" s="32" t="s">
        <v>2404</v>
      </c>
      <c r="C1230" s="32" t="s">
        <v>2627</v>
      </c>
      <c r="D1230" s="32" t="s">
        <v>944</v>
      </c>
      <c r="E1230" s="32" t="s">
        <v>945</v>
      </c>
      <c r="F1230" s="32" t="s">
        <v>435</v>
      </c>
      <c r="G1230" s="33">
        <v>1565</v>
      </c>
      <c r="H1230" s="34">
        <v>7</v>
      </c>
      <c r="I1230" s="31">
        <v>303260</v>
      </c>
      <c r="J1230" s="35" t="s">
        <v>126</v>
      </c>
      <c r="K1230" s="36">
        <v>2022</v>
      </c>
    </row>
    <row r="1231" spans="1:11" ht="15" customHeight="1" x14ac:dyDescent="0.3">
      <c r="A1231" s="37">
        <v>1226</v>
      </c>
      <c r="B1231" s="38" t="s">
        <v>2404</v>
      </c>
      <c r="C1231" s="38" t="s">
        <v>2628</v>
      </c>
      <c r="D1231" s="38" t="s">
        <v>2629</v>
      </c>
      <c r="E1231" s="38" t="s">
        <v>2630</v>
      </c>
      <c r="F1231" s="38" t="s">
        <v>689</v>
      </c>
      <c r="G1231" s="39">
        <v>914.5</v>
      </c>
      <c r="H1231" s="40">
        <v>10</v>
      </c>
      <c r="I1231" s="37">
        <v>377260</v>
      </c>
      <c r="J1231" s="41" t="s">
        <v>126</v>
      </c>
      <c r="K1231" s="42">
        <v>2022</v>
      </c>
    </row>
    <row r="1232" spans="1:11" ht="15" customHeight="1" x14ac:dyDescent="0.3">
      <c r="A1232" s="31">
        <v>1227</v>
      </c>
      <c r="B1232" s="32" t="s">
        <v>2404</v>
      </c>
      <c r="C1232" s="32" t="s">
        <v>2631</v>
      </c>
      <c r="D1232" s="32" t="s">
        <v>2632</v>
      </c>
      <c r="E1232" s="32" t="s">
        <v>2633</v>
      </c>
      <c r="F1232" s="32" t="s">
        <v>435</v>
      </c>
      <c r="G1232" s="33">
        <v>7242</v>
      </c>
      <c r="H1232" s="34">
        <v>8.4589999999999996</v>
      </c>
      <c r="I1232" s="31">
        <v>247260</v>
      </c>
      <c r="J1232" s="35" t="s">
        <v>126</v>
      </c>
      <c r="K1232" s="36">
        <v>2022</v>
      </c>
    </row>
    <row r="1233" spans="1:11" ht="15" customHeight="1" x14ac:dyDescent="0.3">
      <c r="A1233" s="37">
        <v>1228</v>
      </c>
      <c r="B1233" s="38" t="s">
        <v>1918</v>
      </c>
      <c r="C1233" s="38" t="s">
        <v>2634</v>
      </c>
      <c r="D1233" s="38" t="s">
        <v>2635</v>
      </c>
      <c r="E1233" s="38" t="s">
        <v>372</v>
      </c>
      <c r="F1233" s="38" t="s">
        <v>276</v>
      </c>
      <c r="G1233" s="39">
        <v>950</v>
      </c>
      <c r="H1233" s="40">
        <v>2.4</v>
      </c>
      <c r="I1233" s="37">
        <v>163260</v>
      </c>
      <c r="J1233" s="41" t="s">
        <v>126</v>
      </c>
      <c r="K1233" s="42">
        <v>2022</v>
      </c>
    </row>
    <row r="1234" spans="1:11" ht="15" customHeight="1" x14ac:dyDescent="0.3">
      <c r="A1234" s="31">
        <v>1229</v>
      </c>
      <c r="B1234" s="32" t="s">
        <v>1918</v>
      </c>
      <c r="C1234" s="32" t="s">
        <v>2636</v>
      </c>
      <c r="D1234" s="32" t="s">
        <v>2637</v>
      </c>
      <c r="E1234" s="32" t="s">
        <v>1882</v>
      </c>
      <c r="F1234" s="32" t="s">
        <v>287</v>
      </c>
      <c r="G1234" s="33">
        <v>1514</v>
      </c>
      <c r="H1234" s="34">
        <v>3.0720000000000001</v>
      </c>
      <c r="I1234" s="31">
        <v>191260</v>
      </c>
      <c r="J1234" s="35" t="s">
        <v>126</v>
      </c>
      <c r="K1234" s="36">
        <v>2022</v>
      </c>
    </row>
    <row r="1235" spans="1:11" ht="15" customHeight="1" x14ac:dyDescent="0.3">
      <c r="A1235" s="37">
        <v>1230</v>
      </c>
      <c r="B1235" s="38" t="s">
        <v>1918</v>
      </c>
      <c r="C1235" s="38" t="s">
        <v>2638</v>
      </c>
      <c r="D1235" s="38" t="s">
        <v>824</v>
      </c>
      <c r="E1235" s="38" t="s">
        <v>35</v>
      </c>
      <c r="F1235" s="38" t="s">
        <v>312</v>
      </c>
      <c r="G1235" s="39">
        <v>790</v>
      </c>
      <c r="H1235" s="40">
        <v>1.2809999999999999</v>
      </c>
      <c r="I1235" s="37">
        <v>137260</v>
      </c>
      <c r="J1235" s="41" t="s">
        <v>126</v>
      </c>
      <c r="K1235" s="42">
        <v>2022</v>
      </c>
    </row>
    <row r="1236" spans="1:11" ht="15" customHeight="1" x14ac:dyDescent="0.3">
      <c r="A1236" s="31">
        <v>1231</v>
      </c>
      <c r="B1236" s="32" t="s">
        <v>1918</v>
      </c>
      <c r="C1236" s="32" t="s">
        <v>2639</v>
      </c>
      <c r="D1236" s="32" t="s">
        <v>2640</v>
      </c>
      <c r="E1236" s="32" t="s">
        <v>35</v>
      </c>
      <c r="F1236" s="32" t="s">
        <v>276</v>
      </c>
      <c r="G1236" s="33">
        <v>140</v>
      </c>
      <c r="H1236" s="34">
        <v>0.312</v>
      </c>
      <c r="I1236" s="31">
        <v>137260</v>
      </c>
      <c r="J1236" s="35" t="s">
        <v>126</v>
      </c>
      <c r="K1236" s="36">
        <v>2022</v>
      </c>
    </row>
    <row r="1237" spans="1:11" ht="15" customHeight="1" x14ac:dyDescent="0.3">
      <c r="A1237" s="37">
        <v>1232</v>
      </c>
      <c r="B1237" s="38" t="s">
        <v>1918</v>
      </c>
      <c r="C1237" s="38" t="s">
        <v>2641</v>
      </c>
      <c r="D1237" s="38" t="s">
        <v>2642</v>
      </c>
      <c r="E1237" s="38" t="s">
        <v>57</v>
      </c>
      <c r="F1237" s="38" t="s">
        <v>373</v>
      </c>
      <c r="G1237" s="39">
        <v>455</v>
      </c>
      <c r="H1237" s="40">
        <v>5</v>
      </c>
      <c r="I1237" s="37">
        <v>247260</v>
      </c>
      <c r="J1237" s="41" t="s">
        <v>126</v>
      </c>
      <c r="K1237" s="42">
        <v>2022</v>
      </c>
    </row>
    <row r="1238" spans="1:11" ht="15" customHeight="1" x14ac:dyDescent="0.3">
      <c r="A1238" s="31">
        <v>1233</v>
      </c>
      <c r="B1238" s="32" t="s">
        <v>1918</v>
      </c>
      <c r="C1238" s="32" t="s">
        <v>2643</v>
      </c>
      <c r="D1238" s="32" t="s">
        <v>954</v>
      </c>
      <c r="E1238" s="32" t="s">
        <v>37</v>
      </c>
      <c r="F1238" s="32" t="s">
        <v>312</v>
      </c>
      <c r="G1238" s="33">
        <v>231</v>
      </c>
      <c r="H1238" s="34">
        <v>0.34100000000000003</v>
      </c>
      <c r="I1238" s="31">
        <v>137260</v>
      </c>
      <c r="J1238" s="35" t="s">
        <v>126</v>
      </c>
      <c r="K1238" s="36">
        <v>2022</v>
      </c>
    </row>
    <row r="1239" spans="1:11" ht="15" customHeight="1" x14ac:dyDescent="0.3">
      <c r="A1239" s="37">
        <v>1234</v>
      </c>
      <c r="B1239" s="38" t="s">
        <v>1918</v>
      </c>
      <c r="C1239" s="38" t="s">
        <v>2644</v>
      </c>
      <c r="D1239" s="38" t="s">
        <v>2645</v>
      </c>
      <c r="E1239" s="38" t="s">
        <v>2646</v>
      </c>
      <c r="F1239" s="38" t="s">
        <v>312</v>
      </c>
      <c r="G1239" s="39">
        <v>320</v>
      </c>
      <c r="H1239" s="40">
        <v>1.1040000000000001</v>
      </c>
      <c r="I1239" s="37">
        <v>137260</v>
      </c>
      <c r="J1239" s="41" t="s">
        <v>126</v>
      </c>
      <c r="K1239" s="42">
        <v>2022</v>
      </c>
    </row>
    <row r="1240" spans="1:11" ht="15" customHeight="1" x14ac:dyDescent="0.3">
      <c r="A1240" s="31">
        <v>1235</v>
      </c>
      <c r="B1240" s="32" t="s">
        <v>1918</v>
      </c>
      <c r="C1240" s="32" t="s">
        <v>2647</v>
      </c>
      <c r="D1240" s="32" t="s">
        <v>1357</v>
      </c>
      <c r="E1240" s="32" t="s">
        <v>1358</v>
      </c>
      <c r="F1240" s="32" t="s">
        <v>435</v>
      </c>
      <c r="G1240" s="33">
        <v>1675</v>
      </c>
      <c r="H1240" s="34">
        <v>7.3680000000000003</v>
      </c>
      <c r="I1240" s="31">
        <v>303260</v>
      </c>
      <c r="J1240" s="35" t="s">
        <v>126</v>
      </c>
      <c r="K1240" s="36">
        <v>2022</v>
      </c>
    </row>
    <row r="1241" spans="1:11" ht="15" customHeight="1" x14ac:dyDescent="0.3">
      <c r="A1241" s="37">
        <v>1236</v>
      </c>
      <c r="B1241" s="38" t="s">
        <v>1918</v>
      </c>
      <c r="C1241" s="38" t="s">
        <v>2648</v>
      </c>
      <c r="D1241" s="38" t="s">
        <v>2649</v>
      </c>
      <c r="E1241" s="38" t="s">
        <v>2650</v>
      </c>
      <c r="F1241" s="38" t="s">
        <v>276</v>
      </c>
      <c r="G1241" s="39">
        <v>328</v>
      </c>
      <c r="H1241" s="40">
        <v>1.764</v>
      </c>
      <c r="I1241" s="37">
        <v>163260</v>
      </c>
      <c r="J1241" s="41" t="s">
        <v>126</v>
      </c>
      <c r="K1241" s="42">
        <v>2022</v>
      </c>
    </row>
    <row r="1242" spans="1:11" ht="15" customHeight="1" x14ac:dyDescent="0.3">
      <c r="A1242" s="31">
        <v>1237</v>
      </c>
      <c r="B1242" s="32" t="s">
        <v>1918</v>
      </c>
      <c r="C1242" s="32" t="s">
        <v>2651</v>
      </c>
      <c r="D1242" s="32" t="s">
        <v>713</v>
      </c>
      <c r="E1242" s="32" t="s">
        <v>2498</v>
      </c>
      <c r="F1242" s="32" t="s">
        <v>312</v>
      </c>
      <c r="G1242" s="33">
        <v>235</v>
      </c>
      <c r="H1242" s="34">
        <v>0.78700000000000003</v>
      </c>
      <c r="I1242" s="31">
        <v>135000</v>
      </c>
      <c r="J1242" s="35" t="s">
        <v>126</v>
      </c>
      <c r="K1242" s="36">
        <v>2022</v>
      </c>
    </row>
    <row r="1243" spans="1:11" ht="15" customHeight="1" x14ac:dyDescent="0.3">
      <c r="A1243" s="37">
        <v>1238</v>
      </c>
      <c r="B1243" s="38" t="s">
        <v>1918</v>
      </c>
      <c r="C1243" s="38" t="s">
        <v>2652</v>
      </c>
      <c r="D1243" s="38" t="s">
        <v>56</v>
      </c>
      <c r="E1243" s="38" t="s">
        <v>592</v>
      </c>
      <c r="F1243" s="38" t="s">
        <v>1102</v>
      </c>
      <c r="G1243" s="39">
        <v>9720</v>
      </c>
      <c r="H1243" s="40">
        <v>17.79</v>
      </c>
      <c r="I1243" s="37">
        <v>377260</v>
      </c>
      <c r="J1243" s="41" t="s">
        <v>126</v>
      </c>
      <c r="K1243" s="42">
        <v>2022</v>
      </c>
    </row>
    <row r="1244" spans="1:11" ht="15" customHeight="1" x14ac:dyDescent="0.3">
      <c r="A1244" s="31">
        <v>1239</v>
      </c>
      <c r="B1244" s="32" t="s">
        <v>1918</v>
      </c>
      <c r="C1244" s="32" t="s">
        <v>2653</v>
      </c>
      <c r="D1244" s="32" t="s">
        <v>597</v>
      </c>
      <c r="E1244" s="32" t="s">
        <v>49</v>
      </c>
      <c r="F1244" s="32" t="s">
        <v>2419</v>
      </c>
      <c r="G1244" s="33">
        <v>2023</v>
      </c>
      <c r="H1244" s="34">
        <v>7.665</v>
      </c>
      <c r="I1244" s="31">
        <v>303260</v>
      </c>
      <c r="J1244" s="35" t="s">
        <v>126</v>
      </c>
      <c r="K1244" s="36">
        <v>2022</v>
      </c>
    </row>
    <row r="1245" spans="1:11" ht="15" customHeight="1" x14ac:dyDescent="0.3">
      <c r="A1245" s="37">
        <v>1240</v>
      </c>
      <c r="B1245" s="38" t="s">
        <v>1918</v>
      </c>
      <c r="C1245" s="38" t="s">
        <v>2654</v>
      </c>
      <c r="D1245" s="38" t="s">
        <v>1662</v>
      </c>
      <c r="E1245" s="38" t="s">
        <v>477</v>
      </c>
      <c r="F1245" s="38" t="s">
        <v>276</v>
      </c>
      <c r="G1245" s="39">
        <v>330</v>
      </c>
      <c r="H1245" s="40">
        <v>0.311</v>
      </c>
      <c r="I1245" s="37">
        <v>135000</v>
      </c>
      <c r="J1245" s="41" t="s">
        <v>126</v>
      </c>
      <c r="K1245" s="42">
        <v>2022</v>
      </c>
    </row>
    <row r="1246" spans="1:11" ht="15" customHeight="1" x14ac:dyDescent="0.3">
      <c r="A1246" s="31">
        <v>1241</v>
      </c>
      <c r="B1246" s="32" t="s">
        <v>1918</v>
      </c>
      <c r="C1246" s="32" t="s">
        <v>2655</v>
      </c>
      <c r="D1246" s="32" t="s">
        <v>2656</v>
      </c>
      <c r="E1246" s="32" t="s">
        <v>2657</v>
      </c>
      <c r="F1246" s="32" t="s">
        <v>689</v>
      </c>
      <c r="G1246" s="33">
        <v>6074</v>
      </c>
      <c r="H1246" s="34">
        <v>12.67</v>
      </c>
      <c r="I1246" s="31">
        <v>323260</v>
      </c>
      <c r="J1246" s="35" t="s">
        <v>126</v>
      </c>
      <c r="K1246" s="36">
        <v>2022</v>
      </c>
    </row>
    <row r="1247" spans="1:11" ht="15" customHeight="1" x14ac:dyDescent="0.3">
      <c r="A1247" s="37">
        <v>1242</v>
      </c>
      <c r="B1247" s="38" t="s">
        <v>1918</v>
      </c>
      <c r="C1247" s="38" t="s">
        <v>2658</v>
      </c>
      <c r="D1247" s="38" t="s">
        <v>56</v>
      </c>
      <c r="E1247" s="38" t="s">
        <v>592</v>
      </c>
      <c r="F1247" s="38" t="s">
        <v>312</v>
      </c>
      <c r="G1247" s="39">
        <v>850</v>
      </c>
      <c r="H1247" s="40">
        <v>1.61</v>
      </c>
      <c r="I1247" s="37">
        <v>163260</v>
      </c>
      <c r="J1247" s="41" t="s">
        <v>126</v>
      </c>
      <c r="K1247" s="42">
        <v>2022</v>
      </c>
    </row>
    <row r="1248" spans="1:11" ht="15" customHeight="1" x14ac:dyDescent="0.3">
      <c r="A1248" s="31">
        <v>1243</v>
      </c>
      <c r="B1248" s="32" t="s">
        <v>2488</v>
      </c>
      <c r="C1248" s="32" t="s">
        <v>2659</v>
      </c>
      <c r="D1248" s="32" t="s">
        <v>2660</v>
      </c>
      <c r="E1248" s="32" t="s">
        <v>2661</v>
      </c>
      <c r="F1248" s="32" t="s">
        <v>316</v>
      </c>
      <c r="G1248" s="33">
        <v>210.5</v>
      </c>
      <c r="H1248" s="34">
        <v>0.58399999999999996</v>
      </c>
      <c r="I1248" s="31">
        <v>135000</v>
      </c>
      <c r="J1248" s="35" t="s">
        <v>126</v>
      </c>
      <c r="K1248" s="36">
        <v>2022</v>
      </c>
    </row>
    <row r="1249" spans="1:11" ht="15" customHeight="1" x14ac:dyDescent="0.3">
      <c r="A1249" s="37">
        <v>1244</v>
      </c>
      <c r="B1249" s="38" t="s">
        <v>2488</v>
      </c>
      <c r="C1249" s="38"/>
      <c r="D1249" s="38" t="s">
        <v>2660</v>
      </c>
      <c r="E1249" s="38" t="s">
        <v>49</v>
      </c>
      <c r="F1249" s="38" t="s">
        <v>316</v>
      </c>
      <c r="G1249" s="39">
        <v>6110</v>
      </c>
      <c r="H1249" s="40">
        <v>8.35</v>
      </c>
      <c r="I1249" s="37">
        <v>321000</v>
      </c>
      <c r="J1249" s="41" t="s">
        <v>126</v>
      </c>
      <c r="K1249" s="42">
        <v>2022</v>
      </c>
    </row>
    <row r="1250" spans="1:11" ht="15" customHeight="1" x14ac:dyDescent="0.3">
      <c r="A1250" s="31">
        <v>1245</v>
      </c>
      <c r="B1250" s="32" t="s">
        <v>2488</v>
      </c>
      <c r="C1250" s="32" t="s">
        <v>2662</v>
      </c>
      <c r="D1250" s="32" t="s">
        <v>2663</v>
      </c>
      <c r="E1250" s="32" t="s">
        <v>2664</v>
      </c>
      <c r="F1250" s="32" t="s">
        <v>287</v>
      </c>
      <c r="G1250" s="33">
        <v>978</v>
      </c>
      <c r="H1250" s="34">
        <v>3.17</v>
      </c>
      <c r="I1250" s="31">
        <v>191260</v>
      </c>
      <c r="J1250" s="35" t="s">
        <v>126</v>
      </c>
      <c r="K1250" s="36">
        <v>2022</v>
      </c>
    </row>
    <row r="1251" spans="1:11" ht="15" customHeight="1" x14ac:dyDescent="0.3">
      <c r="A1251" s="37">
        <v>1246</v>
      </c>
      <c r="B1251" s="38" t="s">
        <v>2488</v>
      </c>
      <c r="C1251" s="38" t="s">
        <v>2665</v>
      </c>
      <c r="D1251" s="38" t="s">
        <v>2660</v>
      </c>
      <c r="E1251" s="38" t="s">
        <v>2498</v>
      </c>
      <c r="F1251" s="38" t="s">
        <v>386</v>
      </c>
      <c r="G1251" s="39">
        <v>1350</v>
      </c>
      <c r="H1251" s="40">
        <v>1.7529999999999999</v>
      </c>
      <c r="I1251" s="37">
        <v>161000</v>
      </c>
      <c r="J1251" s="41" t="s">
        <v>126</v>
      </c>
      <c r="K1251" s="42">
        <v>2022</v>
      </c>
    </row>
    <row r="1252" spans="1:11" ht="15" customHeight="1" x14ac:dyDescent="0.3">
      <c r="A1252" s="31">
        <v>1247</v>
      </c>
      <c r="B1252" s="32" t="s">
        <v>272</v>
      </c>
      <c r="C1252" s="32" t="s">
        <v>2666</v>
      </c>
      <c r="D1252" s="32" t="s">
        <v>2667</v>
      </c>
      <c r="E1252" s="32" t="s">
        <v>2668</v>
      </c>
      <c r="F1252" s="32" t="s">
        <v>316</v>
      </c>
      <c r="G1252" s="33">
        <v>1964</v>
      </c>
      <c r="H1252" s="34">
        <v>3</v>
      </c>
      <c r="I1252" s="31">
        <v>191260</v>
      </c>
      <c r="J1252" s="35" t="s">
        <v>126</v>
      </c>
      <c r="K1252" s="36">
        <v>2022</v>
      </c>
    </row>
    <row r="1253" spans="1:11" ht="15" customHeight="1" x14ac:dyDescent="0.3">
      <c r="A1253" s="37">
        <v>1248</v>
      </c>
      <c r="B1253" s="38" t="s">
        <v>272</v>
      </c>
      <c r="C1253" s="38" t="s">
        <v>2669</v>
      </c>
      <c r="D1253" s="38" t="s">
        <v>2611</v>
      </c>
      <c r="E1253" s="38" t="s">
        <v>37</v>
      </c>
      <c r="F1253" s="38" t="s">
        <v>276</v>
      </c>
      <c r="G1253" s="39">
        <v>284</v>
      </c>
      <c r="H1253" s="40">
        <v>0.76800000000000002</v>
      </c>
      <c r="I1253" s="37">
        <v>137260</v>
      </c>
      <c r="J1253" s="41" t="s">
        <v>126</v>
      </c>
      <c r="K1253" s="42">
        <v>2022</v>
      </c>
    </row>
    <row r="1254" spans="1:11" ht="15" customHeight="1" x14ac:dyDescent="0.3">
      <c r="A1254" s="31">
        <v>1249</v>
      </c>
      <c r="B1254" s="32" t="s">
        <v>272</v>
      </c>
      <c r="C1254" s="32" t="s">
        <v>2670</v>
      </c>
      <c r="D1254" s="32" t="s">
        <v>2635</v>
      </c>
      <c r="E1254" s="32" t="s">
        <v>372</v>
      </c>
      <c r="F1254" s="32" t="s">
        <v>276</v>
      </c>
      <c r="G1254" s="33">
        <v>185</v>
      </c>
      <c r="H1254" s="34">
        <v>2.33</v>
      </c>
      <c r="I1254" s="31">
        <v>163260</v>
      </c>
      <c r="J1254" s="35" t="s">
        <v>126</v>
      </c>
      <c r="K1254" s="36">
        <v>2022</v>
      </c>
    </row>
    <row r="1255" spans="1:11" ht="15" customHeight="1" x14ac:dyDescent="0.3">
      <c r="A1255" s="37">
        <v>1250</v>
      </c>
      <c r="B1255" s="38" t="s">
        <v>272</v>
      </c>
      <c r="C1255" s="38" t="s">
        <v>2671</v>
      </c>
      <c r="D1255" s="38" t="s">
        <v>2672</v>
      </c>
      <c r="E1255" s="38" t="s">
        <v>49</v>
      </c>
      <c r="F1255" s="38" t="s">
        <v>276</v>
      </c>
      <c r="G1255" s="39">
        <v>90.72</v>
      </c>
      <c r="H1255" s="40">
        <v>0.28499999999999998</v>
      </c>
      <c r="I1255" s="37">
        <v>135000</v>
      </c>
      <c r="J1255" s="41" t="s">
        <v>126</v>
      </c>
      <c r="K1255" s="42">
        <v>2022</v>
      </c>
    </row>
    <row r="1256" spans="1:11" ht="15" customHeight="1" x14ac:dyDescent="0.3">
      <c r="A1256" s="31">
        <v>1251</v>
      </c>
      <c r="B1256" s="32" t="s">
        <v>272</v>
      </c>
      <c r="C1256" s="32" t="s">
        <v>2673</v>
      </c>
      <c r="D1256" s="32" t="s">
        <v>1531</v>
      </c>
      <c r="E1256" s="32" t="s">
        <v>2674</v>
      </c>
      <c r="F1256" s="32" t="s">
        <v>316</v>
      </c>
      <c r="G1256" s="33">
        <v>1810</v>
      </c>
      <c r="H1256" s="34">
        <v>3</v>
      </c>
      <c r="I1256" s="31">
        <v>191260</v>
      </c>
      <c r="J1256" s="35" t="s">
        <v>126</v>
      </c>
      <c r="K1256" s="36">
        <v>2022</v>
      </c>
    </row>
    <row r="1257" spans="1:11" ht="15" customHeight="1" x14ac:dyDescent="0.3">
      <c r="A1257" s="37">
        <v>1252</v>
      </c>
      <c r="B1257" s="38" t="s">
        <v>272</v>
      </c>
      <c r="C1257" s="38" t="s">
        <v>2675</v>
      </c>
      <c r="D1257" s="38" t="s">
        <v>2676</v>
      </c>
      <c r="E1257" s="38" t="s">
        <v>2677</v>
      </c>
      <c r="F1257" s="38" t="s">
        <v>373</v>
      </c>
      <c r="G1257" s="39">
        <v>565</v>
      </c>
      <c r="H1257" s="40">
        <v>1.27</v>
      </c>
      <c r="I1257" s="37">
        <v>135000</v>
      </c>
      <c r="J1257" s="41" t="s">
        <v>126</v>
      </c>
      <c r="K1257" s="42">
        <v>2022</v>
      </c>
    </row>
    <row r="1258" spans="1:11" ht="15" customHeight="1" x14ac:dyDescent="0.3">
      <c r="A1258" s="31">
        <v>1253</v>
      </c>
      <c r="B1258" s="32" t="s">
        <v>272</v>
      </c>
      <c r="C1258" s="32" t="s">
        <v>2678</v>
      </c>
      <c r="D1258" s="32" t="s">
        <v>2679</v>
      </c>
      <c r="E1258" s="32" t="s">
        <v>2680</v>
      </c>
      <c r="F1258" s="32" t="s">
        <v>287</v>
      </c>
      <c r="G1258" s="33">
        <v>1248</v>
      </c>
      <c r="H1258" s="34">
        <v>5</v>
      </c>
      <c r="I1258" s="31">
        <v>247.26</v>
      </c>
      <c r="J1258" s="35" t="s">
        <v>126</v>
      </c>
      <c r="K1258" s="36">
        <v>2022</v>
      </c>
    </row>
    <row r="1259" spans="1:11" ht="15" customHeight="1" x14ac:dyDescent="0.3">
      <c r="A1259" s="37">
        <v>1254</v>
      </c>
      <c r="B1259" s="38" t="s">
        <v>272</v>
      </c>
      <c r="C1259" s="38" t="s">
        <v>2681</v>
      </c>
      <c r="D1259" s="38" t="s">
        <v>56</v>
      </c>
      <c r="E1259" s="38" t="s">
        <v>2682</v>
      </c>
      <c r="F1259" s="38" t="s">
        <v>2623</v>
      </c>
      <c r="G1259" s="39">
        <v>3841.9670000000001</v>
      </c>
      <c r="H1259" s="40">
        <v>28</v>
      </c>
      <c r="I1259" s="37">
        <v>377260</v>
      </c>
      <c r="J1259" s="41" t="s">
        <v>126</v>
      </c>
      <c r="K1259" s="42">
        <v>2022</v>
      </c>
    </row>
    <row r="1260" spans="1:11" ht="15" customHeight="1" x14ac:dyDescent="0.3">
      <c r="A1260" s="31">
        <v>1255</v>
      </c>
      <c r="B1260" s="32" t="s">
        <v>272</v>
      </c>
      <c r="C1260" s="32" t="s">
        <v>2683</v>
      </c>
      <c r="D1260" s="32" t="s">
        <v>2684</v>
      </c>
      <c r="E1260" s="32" t="s">
        <v>2685</v>
      </c>
      <c r="F1260" s="32" t="s">
        <v>276</v>
      </c>
      <c r="G1260" s="33">
        <v>104</v>
      </c>
      <c r="H1260" s="34">
        <v>0.38500000000000001</v>
      </c>
      <c r="I1260" s="31">
        <v>137260</v>
      </c>
      <c r="J1260" s="35" t="s">
        <v>126</v>
      </c>
      <c r="K1260" s="36">
        <v>2022</v>
      </c>
    </row>
    <row r="1261" spans="1:11" ht="15" customHeight="1" x14ac:dyDescent="0.3">
      <c r="A1261" s="37">
        <v>1256</v>
      </c>
      <c r="B1261" s="38" t="s">
        <v>272</v>
      </c>
      <c r="C1261" s="38" t="s">
        <v>2686</v>
      </c>
      <c r="D1261" s="38" t="s">
        <v>2687</v>
      </c>
      <c r="E1261" s="38" t="s">
        <v>2556</v>
      </c>
      <c r="F1261" s="38" t="s">
        <v>693</v>
      </c>
      <c r="G1261" s="39">
        <v>895</v>
      </c>
      <c r="H1261" s="40">
        <v>6</v>
      </c>
      <c r="I1261" s="37">
        <v>275260</v>
      </c>
      <c r="J1261" s="41" t="s">
        <v>126</v>
      </c>
      <c r="K1261" s="42">
        <v>2022</v>
      </c>
    </row>
    <row r="1262" spans="1:11" ht="15" customHeight="1" x14ac:dyDescent="0.3">
      <c r="A1262" s="31">
        <v>1257</v>
      </c>
      <c r="B1262" s="32" t="s">
        <v>272</v>
      </c>
      <c r="C1262" s="32" t="s">
        <v>2688</v>
      </c>
      <c r="D1262" s="32" t="s">
        <v>56</v>
      </c>
      <c r="E1262" s="32" t="s">
        <v>592</v>
      </c>
      <c r="F1262" s="32" t="s">
        <v>329</v>
      </c>
      <c r="G1262" s="33">
        <v>1281</v>
      </c>
      <c r="H1262" s="34">
        <v>2.33</v>
      </c>
      <c r="I1262" s="31">
        <v>163260</v>
      </c>
      <c r="J1262" s="35" t="s">
        <v>126</v>
      </c>
      <c r="K1262" s="36">
        <v>2022</v>
      </c>
    </row>
    <row r="1263" spans="1:11" ht="15" customHeight="1" x14ac:dyDescent="0.3">
      <c r="A1263" s="37">
        <v>1258</v>
      </c>
      <c r="B1263" s="38" t="s">
        <v>313</v>
      </c>
      <c r="C1263" s="38" t="s">
        <v>2689</v>
      </c>
      <c r="D1263" s="38" t="s">
        <v>2690</v>
      </c>
      <c r="E1263" s="38" t="s">
        <v>857</v>
      </c>
      <c r="F1263" s="38" t="s">
        <v>486</v>
      </c>
      <c r="G1263" s="39">
        <v>3485</v>
      </c>
      <c r="H1263" s="40">
        <v>6</v>
      </c>
      <c r="I1263" s="37">
        <v>275260</v>
      </c>
      <c r="J1263" s="41" t="s">
        <v>207</v>
      </c>
      <c r="K1263" s="42">
        <v>2022</v>
      </c>
    </row>
    <row r="1264" spans="1:11" ht="15" customHeight="1" x14ac:dyDescent="0.3">
      <c r="A1264" s="31">
        <v>1259</v>
      </c>
      <c r="B1264" s="32" t="s">
        <v>313</v>
      </c>
      <c r="C1264" s="32" t="s">
        <v>2691</v>
      </c>
      <c r="D1264" s="32" t="s">
        <v>42</v>
      </c>
      <c r="E1264" s="32" t="s">
        <v>35</v>
      </c>
      <c r="F1264" s="32" t="s">
        <v>316</v>
      </c>
      <c r="G1264" s="33">
        <v>260</v>
      </c>
      <c r="H1264" s="34">
        <v>1.44</v>
      </c>
      <c r="I1264" s="31">
        <v>137260</v>
      </c>
      <c r="J1264" s="35" t="s">
        <v>207</v>
      </c>
      <c r="K1264" s="36">
        <v>2022</v>
      </c>
    </row>
    <row r="1265" spans="1:11" ht="15" customHeight="1" x14ac:dyDescent="0.3">
      <c r="A1265" s="37">
        <v>1260</v>
      </c>
      <c r="B1265" s="38" t="s">
        <v>313</v>
      </c>
      <c r="C1265" s="38" t="s">
        <v>2692</v>
      </c>
      <c r="D1265" s="38" t="s">
        <v>2693</v>
      </c>
      <c r="E1265" s="38" t="s">
        <v>2694</v>
      </c>
      <c r="F1265" s="38" t="s">
        <v>316</v>
      </c>
      <c r="G1265" s="39">
        <v>1360</v>
      </c>
      <c r="H1265" s="40">
        <v>4</v>
      </c>
      <c r="I1265" s="37">
        <v>219260</v>
      </c>
      <c r="J1265" s="41" t="s">
        <v>207</v>
      </c>
      <c r="K1265" s="42">
        <v>2022</v>
      </c>
    </row>
    <row r="1266" spans="1:11" ht="15" customHeight="1" x14ac:dyDescent="0.3">
      <c r="A1266" s="31">
        <v>1261</v>
      </c>
      <c r="B1266" s="32" t="s">
        <v>313</v>
      </c>
      <c r="C1266" s="32" t="s">
        <v>2695</v>
      </c>
      <c r="D1266" s="32" t="s">
        <v>2696</v>
      </c>
      <c r="E1266" s="32" t="s">
        <v>2697</v>
      </c>
      <c r="F1266" s="32" t="s">
        <v>2698</v>
      </c>
      <c r="G1266" s="33">
        <v>370</v>
      </c>
      <c r="H1266" s="34">
        <v>0.88</v>
      </c>
      <c r="I1266" s="31">
        <v>135000</v>
      </c>
      <c r="J1266" s="35" t="s">
        <v>207</v>
      </c>
      <c r="K1266" s="36">
        <v>2022</v>
      </c>
    </row>
    <row r="1267" spans="1:11" ht="15" customHeight="1" x14ac:dyDescent="0.3">
      <c r="A1267" s="37">
        <v>1262</v>
      </c>
      <c r="B1267" s="38" t="s">
        <v>313</v>
      </c>
      <c r="C1267" s="38" t="s">
        <v>2699</v>
      </c>
      <c r="D1267" s="38" t="s">
        <v>2700</v>
      </c>
      <c r="E1267" s="38" t="s">
        <v>2701</v>
      </c>
      <c r="F1267" s="38" t="s">
        <v>435</v>
      </c>
      <c r="G1267" s="39">
        <v>644</v>
      </c>
      <c r="H1267" s="40">
        <v>10</v>
      </c>
      <c r="I1267" s="37">
        <v>377260</v>
      </c>
      <c r="J1267" s="41" t="s">
        <v>207</v>
      </c>
      <c r="K1267" s="42">
        <v>2022</v>
      </c>
    </row>
    <row r="1268" spans="1:11" ht="15" customHeight="1" x14ac:dyDescent="0.3">
      <c r="A1268" s="31">
        <v>1263</v>
      </c>
      <c r="B1268" s="32" t="s">
        <v>313</v>
      </c>
      <c r="C1268" s="32" t="s">
        <v>2702</v>
      </c>
      <c r="D1268" s="32" t="s">
        <v>1949</v>
      </c>
      <c r="E1268" s="32" t="s">
        <v>2703</v>
      </c>
      <c r="F1268" s="32" t="s">
        <v>276</v>
      </c>
      <c r="G1268" s="33">
        <v>452</v>
      </c>
      <c r="H1268" s="34">
        <v>6</v>
      </c>
      <c r="I1268" s="31">
        <v>275260</v>
      </c>
      <c r="J1268" s="35" t="s">
        <v>207</v>
      </c>
      <c r="K1268" s="36">
        <v>2022</v>
      </c>
    </row>
    <row r="1269" spans="1:11" ht="15" customHeight="1" x14ac:dyDescent="0.3">
      <c r="A1269" s="37">
        <v>1264</v>
      </c>
      <c r="B1269" s="38" t="s">
        <v>313</v>
      </c>
      <c r="C1269" s="38" t="s">
        <v>2704</v>
      </c>
      <c r="D1269" s="38" t="s">
        <v>2705</v>
      </c>
      <c r="E1269" s="38" t="s">
        <v>2706</v>
      </c>
      <c r="F1269" s="38" t="s">
        <v>373</v>
      </c>
      <c r="G1269" s="39">
        <v>1274</v>
      </c>
      <c r="H1269" s="40">
        <v>2.2679999999999998</v>
      </c>
      <c r="I1269" s="37">
        <v>163260</v>
      </c>
      <c r="J1269" s="41" t="s">
        <v>207</v>
      </c>
      <c r="K1269" s="42">
        <v>2022</v>
      </c>
    </row>
    <row r="1270" spans="1:11" ht="15" customHeight="1" x14ac:dyDescent="0.3">
      <c r="A1270" s="31">
        <v>1265</v>
      </c>
      <c r="B1270" s="32" t="s">
        <v>313</v>
      </c>
      <c r="C1270" s="32" t="s">
        <v>2707</v>
      </c>
      <c r="D1270" s="32" t="s">
        <v>2708</v>
      </c>
      <c r="E1270" s="32" t="s">
        <v>2709</v>
      </c>
      <c r="F1270" s="32" t="s">
        <v>276</v>
      </c>
      <c r="G1270" s="33">
        <v>230</v>
      </c>
      <c r="H1270" s="34">
        <v>1.56</v>
      </c>
      <c r="I1270" s="31">
        <v>161000</v>
      </c>
      <c r="J1270" s="35" t="s">
        <v>207</v>
      </c>
      <c r="K1270" s="36">
        <v>2022</v>
      </c>
    </row>
    <row r="1271" spans="1:11" ht="15" customHeight="1" x14ac:dyDescent="0.3">
      <c r="A1271" s="37">
        <v>1266</v>
      </c>
      <c r="B1271" s="38" t="s">
        <v>313</v>
      </c>
      <c r="C1271" s="38" t="s">
        <v>2710</v>
      </c>
      <c r="D1271" s="38" t="s">
        <v>2107</v>
      </c>
      <c r="E1271" s="38" t="s">
        <v>2711</v>
      </c>
      <c r="F1271" s="38" t="s">
        <v>435</v>
      </c>
      <c r="G1271" s="39">
        <v>2705</v>
      </c>
      <c r="H1271" s="40">
        <v>4</v>
      </c>
      <c r="I1271" s="37">
        <v>219260</v>
      </c>
      <c r="J1271" s="41" t="s">
        <v>207</v>
      </c>
      <c r="K1271" s="42">
        <v>2022</v>
      </c>
    </row>
    <row r="1272" spans="1:11" ht="15" customHeight="1" x14ac:dyDescent="0.3">
      <c r="A1272" s="31">
        <v>1267</v>
      </c>
      <c r="B1272" s="32" t="s">
        <v>313</v>
      </c>
      <c r="C1272" s="32" t="s">
        <v>2712</v>
      </c>
      <c r="D1272" s="32" t="s">
        <v>2713</v>
      </c>
      <c r="E1272" s="32" t="s">
        <v>359</v>
      </c>
      <c r="F1272" s="32" t="s">
        <v>2714</v>
      </c>
      <c r="G1272" s="33">
        <v>2081.09</v>
      </c>
      <c r="H1272" s="34">
        <v>6.8120000000000003</v>
      </c>
      <c r="I1272" s="31">
        <v>275260</v>
      </c>
      <c r="J1272" s="35" t="s">
        <v>207</v>
      </c>
      <c r="K1272" s="36">
        <v>2022</v>
      </c>
    </row>
    <row r="1273" spans="1:11" ht="15" customHeight="1" x14ac:dyDescent="0.3">
      <c r="A1273" s="37">
        <v>1268</v>
      </c>
      <c r="B1273" s="38" t="s">
        <v>313</v>
      </c>
      <c r="C1273" s="38" t="s">
        <v>2715</v>
      </c>
      <c r="D1273" s="38" t="s">
        <v>91</v>
      </c>
      <c r="E1273" s="38" t="s">
        <v>215</v>
      </c>
      <c r="F1273" s="38" t="s">
        <v>276</v>
      </c>
      <c r="G1273" s="39">
        <v>161.9</v>
      </c>
      <c r="H1273" s="40">
        <v>0.76800000000000002</v>
      </c>
      <c r="I1273" s="37">
        <v>135000</v>
      </c>
      <c r="J1273" s="41" t="s">
        <v>207</v>
      </c>
      <c r="K1273" s="42">
        <v>2022</v>
      </c>
    </row>
    <row r="1274" spans="1:11" ht="15" customHeight="1" x14ac:dyDescent="0.3">
      <c r="A1274" s="31">
        <v>1269</v>
      </c>
      <c r="B1274" s="32" t="s">
        <v>313</v>
      </c>
      <c r="C1274" s="32" t="s">
        <v>2716</v>
      </c>
      <c r="D1274" s="32" t="s">
        <v>597</v>
      </c>
      <c r="E1274" s="32" t="s">
        <v>47</v>
      </c>
      <c r="F1274" s="32" t="s">
        <v>1560</v>
      </c>
      <c r="G1274" s="33">
        <v>3124</v>
      </c>
      <c r="H1274" s="34">
        <v>8</v>
      </c>
      <c r="I1274" s="31">
        <v>323260</v>
      </c>
      <c r="J1274" s="35" t="s">
        <v>207</v>
      </c>
      <c r="K1274" s="36">
        <v>2022</v>
      </c>
    </row>
    <row r="1275" spans="1:11" ht="15" customHeight="1" x14ac:dyDescent="0.3">
      <c r="A1275" s="37">
        <v>1270</v>
      </c>
      <c r="B1275" s="38" t="s">
        <v>313</v>
      </c>
      <c r="C1275" s="38" t="s">
        <v>2717</v>
      </c>
      <c r="D1275" s="38" t="s">
        <v>56</v>
      </c>
      <c r="E1275" s="38" t="s">
        <v>592</v>
      </c>
      <c r="F1275" s="38" t="s">
        <v>2698</v>
      </c>
      <c r="G1275" s="39">
        <v>245</v>
      </c>
      <c r="H1275" s="40">
        <v>2.0470000000000002</v>
      </c>
      <c r="I1275" s="37">
        <v>163260</v>
      </c>
      <c r="J1275" s="41" t="s">
        <v>207</v>
      </c>
      <c r="K1275" s="42">
        <v>2022</v>
      </c>
    </row>
    <row r="1276" spans="1:11" ht="15" customHeight="1" x14ac:dyDescent="0.3">
      <c r="A1276" s="31">
        <v>1271</v>
      </c>
      <c r="B1276" s="32" t="s">
        <v>313</v>
      </c>
      <c r="C1276" s="32" t="s">
        <v>2718</v>
      </c>
      <c r="D1276" s="32" t="s">
        <v>2452</v>
      </c>
      <c r="E1276" s="32" t="s">
        <v>2719</v>
      </c>
      <c r="F1276" s="32" t="s">
        <v>2698</v>
      </c>
      <c r="G1276" s="33">
        <v>510</v>
      </c>
      <c r="H1276" s="34">
        <v>1.496</v>
      </c>
      <c r="I1276" s="31">
        <v>135000</v>
      </c>
      <c r="J1276" s="35" t="s">
        <v>207</v>
      </c>
      <c r="K1276" s="36">
        <v>2022</v>
      </c>
    </row>
    <row r="1277" spans="1:11" ht="15" customHeight="1" x14ac:dyDescent="0.3">
      <c r="A1277" s="37">
        <v>1272</v>
      </c>
      <c r="B1277" s="38" t="s">
        <v>313</v>
      </c>
      <c r="C1277" s="38" t="s">
        <v>2720</v>
      </c>
      <c r="D1277" s="38" t="s">
        <v>713</v>
      </c>
      <c r="E1277" s="38" t="s">
        <v>47</v>
      </c>
      <c r="F1277" s="38" t="s">
        <v>312</v>
      </c>
      <c r="G1277" s="39">
        <v>460</v>
      </c>
      <c r="H1277" s="40">
        <v>1.1339999999999999</v>
      </c>
      <c r="I1277" s="37">
        <v>137260</v>
      </c>
      <c r="J1277" s="41" t="s">
        <v>207</v>
      </c>
      <c r="K1277" s="42">
        <v>2022</v>
      </c>
    </row>
    <row r="1278" spans="1:11" ht="15" customHeight="1" x14ac:dyDescent="0.3">
      <c r="A1278" s="31">
        <v>1273</v>
      </c>
      <c r="B1278" s="32" t="s">
        <v>313</v>
      </c>
      <c r="C1278" s="32" t="s">
        <v>2721</v>
      </c>
      <c r="D1278" s="32" t="s">
        <v>64</v>
      </c>
      <c r="E1278" s="32" t="s">
        <v>47</v>
      </c>
      <c r="F1278" s="32" t="s">
        <v>658</v>
      </c>
      <c r="G1278" s="33">
        <v>862</v>
      </c>
      <c r="H1278" s="34">
        <v>0.63700000000000001</v>
      </c>
      <c r="I1278" s="31">
        <v>137260</v>
      </c>
      <c r="J1278" s="35" t="s">
        <v>207</v>
      </c>
      <c r="K1278" s="36">
        <v>2022</v>
      </c>
    </row>
    <row r="1279" spans="1:11" ht="15" customHeight="1" x14ac:dyDescent="0.3">
      <c r="A1279" s="37">
        <v>1274</v>
      </c>
      <c r="B1279" s="38" t="s">
        <v>313</v>
      </c>
      <c r="C1279" s="38" t="s">
        <v>2722</v>
      </c>
      <c r="D1279" s="38" t="s">
        <v>2259</v>
      </c>
      <c r="E1279" s="38" t="s">
        <v>2723</v>
      </c>
      <c r="F1279" s="38" t="s">
        <v>316</v>
      </c>
      <c r="G1279" s="39">
        <v>747.55</v>
      </c>
      <c r="H1279" s="40">
        <v>3.2280000000000002</v>
      </c>
      <c r="I1279" s="37">
        <v>191260</v>
      </c>
      <c r="J1279" s="41" t="s">
        <v>207</v>
      </c>
      <c r="K1279" s="42">
        <v>2022</v>
      </c>
    </row>
    <row r="1280" spans="1:11" ht="15" customHeight="1" x14ac:dyDescent="0.3">
      <c r="A1280" s="31">
        <v>1275</v>
      </c>
      <c r="B1280" s="32" t="s">
        <v>272</v>
      </c>
      <c r="C1280" s="32" t="s">
        <v>2724</v>
      </c>
      <c r="D1280" s="32" t="s">
        <v>2725</v>
      </c>
      <c r="E1280" s="32" t="s">
        <v>35</v>
      </c>
      <c r="F1280" s="32" t="s">
        <v>287</v>
      </c>
      <c r="G1280" s="33">
        <v>3801.54</v>
      </c>
      <c r="H1280" s="34">
        <v>10.641999999999999</v>
      </c>
      <c r="I1280" s="31">
        <v>377260</v>
      </c>
      <c r="J1280" s="35" t="s">
        <v>207</v>
      </c>
      <c r="K1280" s="36">
        <v>2022</v>
      </c>
    </row>
    <row r="1281" spans="1:11" ht="15" customHeight="1" x14ac:dyDescent="0.3">
      <c r="A1281" s="37">
        <v>1276</v>
      </c>
      <c r="B1281" s="38" t="s">
        <v>272</v>
      </c>
      <c r="C1281" s="38" t="s">
        <v>2726</v>
      </c>
      <c r="D1281" s="38" t="s">
        <v>2640</v>
      </c>
      <c r="E1281" s="38" t="s">
        <v>35</v>
      </c>
      <c r="F1281" s="38" t="s">
        <v>435</v>
      </c>
      <c r="G1281" s="39">
        <v>3100</v>
      </c>
      <c r="H1281" s="40">
        <v>6</v>
      </c>
      <c r="I1281" s="37">
        <v>275260</v>
      </c>
      <c r="J1281" s="41" t="s">
        <v>207</v>
      </c>
      <c r="K1281" s="42">
        <v>2022</v>
      </c>
    </row>
    <row r="1282" spans="1:11" ht="15" customHeight="1" x14ac:dyDescent="0.3">
      <c r="A1282" s="31">
        <v>1277</v>
      </c>
      <c r="B1282" s="32" t="s">
        <v>272</v>
      </c>
      <c r="C1282" s="32" t="s">
        <v>2727</v>
      </c>
      <c r="D1282" s="32" t="s">
        <v>1379</v>
      </c>
      <c r="E1282" s="32" t="s">
        <v>2728</v>
      </c>
      <c r="F1282" s="32" t="s">
        <v>1044</v>
      </c>
      <c r="G1282" s="33">
        <v>2607</v>
      </c>
      <c r="H1282" s="34">
        <v>5</v>
      </c>
      <c r="I1282" s="31">
        <v>247260</v>
      </c>
      <c r="J1282" s="35" t="s">
        <v>207</v>
      </c>
      <c r="K1282" s="36">
        <v>2022</v>
      </c>
    </row>
    <row r="1283" spans="1:11" ht="15" customHeight="1" x14ac:dyDescent="0.3">
      <c r="A1283" s="37">
        <v>1278</v>
      </c>
      <c r="B1283" s="38" t="s">
        <v>272</v>
      </c>
      <c r="C1283" s="38" t="s">
        <v>2729</v>
      </c>
      <c r="D1283" s="38" t="s">
        <v>2548</v>
      </c>
      <c r="E1283" s="38" t="s">
        <v>2730</v>
      </c>
      <c r="F1283" s="38" t="s">
        <v>395</v>
      </c>
      <c r="G1283" s="39">
        <v>2215</v>
      </c>
      <c r="H1283" s="40">
        <v>5.28</v>
      </c>
      <c r="I1283" s="37">
        <v>247260</v>
      </c>
      <c r="J1283" s="41" t="s">
        <v>207</v>
      </c>
      <c r="K1283" s="42">
        <v>2022</v>
      </c>
    </row>
    <row r="1284" spans="1:11" ht="15" customHeight="1" x14ac:dyDescent="0.3">
      <c r="A1284" s="31">
        <v>1279</v>
      </c>
      <c r="B1284" s="32" t="s">
        <v>272</v>
      </c>
      <c r="C1284" s="32" t="s">
        <v>2731</v>
      </c>
      <c r="D1284" s="32" t="s">
        <v>526</v>
      </c>
      <c r="E1284" s="32" t="s">
        <v>49</v>
      </c>
      <c r="F1284" s="32" t="s">
        <v>276</v>
      </c>
      <c r="G1284" s="33">
        <v>779</v>
      </c>
      <c r="H1284" s="34">
        <v>0.29799999999999999</v>
      </c>
      <c r="I1284" s="31">
        <v>135000</v>
      </c>
      <c r="J1284" s="35" t="s">
        <v>207</v>
      </c>
      <c r="K1284" s="36">
        <v>2022</v>
      </c>
    </row>
    <row r="1285" spans="1:11" ht="15" customHeight="1" x14ac:dyDescent="0.3">
      <c r="A1285" s="37">
        <v>1280</v>
      </c>
      <c r="B1285" s="38" t="s">
        <v>272</v>
      </c>
      <c r="C1285" s="38" t="s">
        <v>2732</v>
      </c>
      <c r="D1285" s="38" t="s">
        <v>2733</v>
      </c>
      <c r="E1285" s="38" t="s">
        <v>2734</v>
      </c>
      <c r="F1285" s="38" t="s">
        <v>435</v>
      </c>
      <c r="G1285" s="39">
        <v>775</v>
      </c>
      <c r="H1285" s="40">
        <v>7</v>
      </c>
      <c r="I1285" s="37">
        <v>303260</v>
      </c>
      <c r="J1285" s="41" t="s">
        <v>207</v>
      </c>
      <c r="K1285" s="42">
        <v>2022</v>
      </c>
    </row>
    <row r="1286" spans="1:11" ht="15" customHeight="1" x14ac:dyDescent="0.3">
      <c r="A1286" s="31">
        <v>1281</v>
      </c>
      <c r="B1286" s="32" t="s">
        <v>272</v>
      </c>
      <c r="C1286" s="32" t="s">
        <v>2735</v>
      </c>
      <c r="D1286" s="32" t="s">
        <v>2736</v>
      </c>
      <c r="E1286" s="32" t="s">
        <v>2737</v>
      </c>
      <c r="F1286" s="32" t="s">
        <v>2738</v>
      </c>
      <c r="G1286" s="33">
        <v>3324</v>
      </c>
      <c r="H1286" s="34">
        <v>4.3559999999999999</v>
      </c>
      <c r="I1286" s="31">
        <v>217000</v>
      </c>
      <c r="J1286" s="35" t="s">
        <v>207</v>
      </c>
      <c r="K1286" s="36">
        <v>2022</v>
      </c>
    </row>
    <row r="1287" spans="1:11" ht="15" customHeight="1" x14ac:dyDescent="0.3">
      <c r="A1287" s="37">
        <v>1282</v>
      </c>
      <c r="B1287" s="38" t="s">
        <v>272</v>
      </c>
      <c r="C1287" s="38" t="s">
        <v>2739</v>
      </c>
      <c r="D1287" s="38" t="s">
        <v>2740</v>
      </c>
      <c r="E1287" s="38" t="s">
        <v>2741</v>
      </c>
      <c r="F1287" s="38" t="s">
        <v>312</v>
      </c>
      <c r="G1287" s="39">
        <v>1000</v>
      </c>
      <c r="H1287" s="40">
        <v>0.223</v>
      </c>
      <c r="I1287" s="37">
        <v>135000</v>
      </c>
      <c r="J1287" s="41" t="s">
        <v>207</v>
      </c>
      <c r="K1287" s="42">
        <v>2022</v>
      </c>
    </row>
    <row r="1288" spans="1:11" ht="15" customHeight="1" x14ac:dyDescent="0.3">
      <c r="A1288" s="31">
        <v>1283</v>
      </c>
      <c r="B1288" s="32" t="s">
        <v>272</v>
      </c>
      <c r="C1288" s="32" t="s">
        <v>2742</v>
      </c>
      <c r="D1288" s="32" t="s">
        <v>2743</v>
      </c>
      <c r="E1288" s="32" t="s">
        <v>37</v>
      </c>
      <c r="F1288" s="32" t="s">
        <v>2744</v>
      </c>
      <c r="G1288" s="33">
        <v>9</v>
      </c>
      <c r="H1288" s="34">
        <v>4.2999999999999997E-2</v>
      </c>
      <c r="I1288" s="31">
        <v>137260</v>
      </c>
      <c r="J1288" s="35" t="s">
        <v>207</v>
      </c>
      <c r="K1288" s="36">
        <v>2022</v>
      </c>
    </row>
    <row r="1289" spans="1:11" ht="15" customHeight="1" x14ac:dyDescent="0.3">
      <c r="A1289" s="37">
        <v>1284</v>
      </c>
      <c r="B1289" s="38" t="s">
        <v>272</v>
      </c>
      <c r="C1289" s="38" t="s">
        <v>2745</v>
      </c>
      <c r="D1289" s="38" t="s">
        <v>679</v>
      </c>
      <c r="E1289" s="38" t="s">
        <v>2746</v>
      </c>
      <c r="F1289" s="38" t="s">
        <v>276</v>
      </c>
      <c r="G1289" s="39">
        <v>67</v>
      </c>
      <c r="H1289" s="40">
        <v>0.14399999999999999</v>
      </c>
      <c r="I1289" s="37">
        <v>137260</v>
      </c>
      <c r="J1289" s="41" t="s">
        <v>207</v>
      </c>
      <c r="K1289" s="42">
        <v>2022</v>
      </c>
    </row>
    <row r="1290" spans="1:11" ht="15" customHeight="1" x14ac:dyDescent="0.3">
      <c r="A1290" s="31">
        <v>1285</v>
      </c>
      <c r="B1290" s="32" t="s">
        <v>272</v>
      </c>
      <c r="C1290" s="32" t="s">
        <v>2747</v>
      </c>
      <c r="D1290" s="32" t="s">
        <v>1662</v>
      </c>
      <c r="E1290" s="32" t="s">
        <v>47</v>
      </c>
      <c r="F1290" s="32" t="s">
        <v>373</v>
      </c>
      <c r="G1290" s="33">
        <v>240</v>
      </c>
      <c r="H1290" s="34">
        <v>0.52100000000000002</v>
      </c>
      <c r="I1290" s="31">
        <v>135000</v>
      </c>
      <c r="J1290" s="35" t="s">
        <v>207</v>
      </c>
      <c r="K1290" s="36">
        <v>2022</v>
      </c>
    </row>
    <row r="1291" spans="1:11" ht="15" customHeight="1" x14ac:dyDescent="0.3">
      <c r="A1291" s="37">
        <v>1286</v>
      </c>
      <c r="B1291" s="38" t="s">
        <v>272</v>
      </c>
      <c r="C1291" s="38" t="s">
        <v>2748</v>
      </c>
      <c r="D1291" s="38" t="s">
        <v>64</v>
      </c>
      <c r="E1291" s="38" t="s">
        <v>47</v>
      </c>
      <c r="F1291" s="38" t="s">
        <v>406</v>
      </c>
      <c r="G1291" s="39">
        <v>214</v>
      </c>
      <c r="H1291" s="40">
        <v>0.35599999999999998</v>
      </c>
      <c r="I1291" s="37">
        <v>137260</v>
      </c>
      <c r="J1291" s="41" t="s">
        <v>207</v>
      </c>
      <c r="K1291" s="42">
        <v>2022</v>
      </c>
    </row>
    <row r="1292" spans="1:11" ht="15" customHeight="1" x14ac:dyDescent="0.3">
      <c r="A1292" s="31">
        <v>1287</v>
      </c>
      <c r="B1292" s="32" t="s">
        <v>272</v>
      </c>
      <c r="C1292" s="32" t="s">
        <v>2749</v>
      </c>
      <c r="D1292" s="32" t="s">
        <v>2750</v>
      </c>
      <c r="E1292" s="32" t="s">
        <v>2751</v>
      </c>
      <c r="F1292" s="32" t="s">
        <v>316</v>
      </c>
      <c r="G1292" s="33">
        <v>1020</v>
      </c>
      <c r="H1292" s="34">
        <v>2.2799999999999998</v>
      </c>
      <c r="I1292" s="31">
        <v>153000</v>
      </c>
      <c r="J1292" s="35" t="s">
        <v>207</v>
      </c>
      <c r="K1292" s="36">
        <v>2022</v>
      </c>
    </row>
    <row r="1293" spans="1:11" ht="15" customHeight="1" x14ac:dyDescent="0.3">
      <c r="A1293" s="37">
        <v>1288</v>
      </c>
      <c r="B1293" s="38" t="s">
        <v>272</v>
      </c>
      <c r="C1293" s="38" t="s">
        <v>2752</v>
      </c>
      <c r="D1293" s="38" t="s">
        <v>2753</v>
      </c>
      <c r="E1293" s="38" t="s">
        <v>2754</v>
      </c>
      <c r="F1293" s="38" t="s">
        <v>287</v>
      </c>
      <c r="G1293" s="39">
        <v>199</v>
      </c>
      <c r="H1293" s="40">
        <v>1.151</v>
      </c>
      <c r="I1293" s="37">
        <v>135000</v>
      </c>
      <c r="J1293" s="41" t="s">
        <v>207</v>
      </c>
      <c r="K1293" s="42">
        <v>2022</v>
      </c>
    </row>
    <row r="1294" spans="1:11" ht="15" customHeight="1" x14ac:dyDescent="0.3">
      <c r="A1294" s="31">
        <v>1289</v>
      </c>
      <c r="B1294" s="32" t="s">
        <v>272</v>
      </c>
      <c r="C1294" s="32" t="s">
        <v>2755</v>
      </c>
      <c r="D1294" s="32" t="s">
        <v>56</v>
      </c>
      <c r="E1294" s="32" t="s">
        <v>592</v>
      </c>
      <c r="F1294" s="32" t="s">
        <v>312</v>
      </c>
      <c r="G1294" s="33">
        <v>176</v>
      </c>
      <c r="H1294" s="34">
        <v>0.38</v>
      </c>
      <c r="I1294" s="31">
        <v>137260</v>
      </c>
      <c r="J1294" s="35" t="s">
        <v>207</v>
      </c>
      <c r="K1294" s="36">
        <v>2022</v>
      </c>
    </row>
    <row r="1295" spans="1:11" ht="15" customHeight="1" x14ac:dyDescent="0.3">
      <c r="A1295" s="37">
        <v>1290</v>
      </c>
      <c r="B1295" s="38" t="s">
        <v>272</v>
      </c>
      <c r="C1295" s="38" t="s">
        <v>2756</v>
      </c>
      <c r="D1295" s="38" t="s">
        <v>56</v>
      </c>
      <c r="E1295" s="38" t="s">
        <v>592</v>
      </c>
      <c r="F1295" s="38" t="s">
        <v>312</v>
      </c>
      <c r="G1295" s="39">
        <v>897</v>
      </c>
      <c r="H1295" s="40">
        <v>2</v>
      </c>
      <c r="I1295" s="37">
        <v>163260</v>
      </c>
      <c r="J1295" s="41" t="s">
        <v>207</v>
      </c>
      <c r="K1295" s="42">
        <v>2022</v>
      </c>
    </row>
    <row r="1296" spans="1:11" ht="15" customHeight="1" x14ac:dyDescent="0.3">
      <c r="A1296" s="31">
        <v>1291</v>
      </c>
      <c r="B1296" s="32" t="s">
        <v>272</v>
      </c>
      <c r="C1296" s="32" t="s">
        <v>2757</v>
      </c>
      <c r="D1296" s="32" t="s">
        <v>2758</v>
      </c>
      <c r="E1296" s="32" t="s">
        <v>2759</v>
      </c>
      <c r="F1296" s="32" t="s">
        <v>312</v>
      </c>
      <c r="G1296" s="33">
        <v>517</v>
      </c>
      <c r="H1296" s="34">
        <v>0.71299999999999997</v>
      </c>
      <c r="I1296" s="31">
        <v>135000</v>
      </c>
      <c r="J1296" s="35" t="s">
        <v>207</v>
      </c>
      <c r="K1296" s="36">
        <v>2022</v>
      </c>
    </row>
    <row r="1297" spans="1:11" ht="15" customHeight="1" x14ac:dyDescent="0.3">
      <c r="A1297" s="37">
        <v>1292</v>
      </c>
      <c r="B1297" s="38" t="s">
        <v>272</v>
      </c>
      <c r="C1297" s="38" t="s">
        <v>2760</v>
      </c>
      <c r="D1297" s="38" t="s">
        <v>56</v>
      </c>
      <c r="E1297" s="38" t="s">
        <v>592</v>
      </c>
      <c r="F1297" s="38" t="s">
        <v>373</v>
      </c>
      <c r="G1297" s="39">
        <v>2976</v>
      </c>
      <c r="H1297" s="40">
        <v>5.36</v>
      </c>
      <c r="I1297" s="37">
        <v>247260</v>
      </c>
      <c r="J1297" s="41" t="s">
        <v>207</v>
      </c>
      <c r="K1297" s="42">
        <v>2022</v>
      </c>
    </row>
    <row r="1298" spans="1:11" ht="15" customHeight="1" x14ac:dyDescent="0.3">
      <c r="A1298" s="31">
        <v>1293</v>
      </c>
      <c r="B1298" s="32" t="s">
        <v>2761</v>
      </c>
      <c r="C1298" s="32" t="s">
        <v>2762</v>
      </c>
      <c r="D1298" s="32" t="s">
        <v>2763</v>
      </c>
      <c r="E1298" s="32" t="s">
        <v>2764</v>
      </c>
      <c r="F1298" s="32" t="s">
        <v>306</v>
      </c>
      <c r="G1298" s="33">
        <v>915</v>
      </c>
      <c r="H1298" s="34">
        <v>1.256</v>
      </c>
      <c r="I1298" s="31">
        <v>135000</v>
      </c>
      <c r="J1298" s="35" t="s">
        <v>207</v>
      </c>
      <c r="K1298" s="36">
        <v>2022</v>
      </c>
    </row>
    <row r="1299" spans="1:11" ht="15" customHeight="1" x14ac:dyDescent="0.3">
      <c r="A1299" s="37">
        <v>1294</v>
      </c>
      <c r="B1299" s="38" t="s">
        <v>2761</v>
      </c>
      <c r="C1299" s="38" t="s">
        <v>2765</v>
      </c>
      <c r="D1299" s="38" t="s">
        <v>2766</v>
      </c>
      <c r="E1299" s="38" t="s">
        <v>2767</v>
      </c>
      <c r="F1299" s="38" t="s">
        <v>395</v>
      </c>
      <c r="G1299" s="39">
        <v>675</v>
      </c>
      <c r="H1299" s="40">
        <v>9</v>
      </c>
      <c r="I1299" s="37">
        <v>350260</v>
      </c>
      <c r="J1299" s="41" t="s">
        <v>207</v>
      </c>
      <c r="K1299" s="42">
        <v>2022</v>
      </c>
    </row>
    <row r="1300" spans="1:11" ht="15" customHeight="1" x14ac:dyDescent="0.3">
      <c r="A1300" s="31">
        <v>1295</v>
      </c>
      <c r="B1300" s="32" t="s">
        <v>2761</v>
      </c>
      <c r="C1300" s="32" t="s">
        <v>2768</v>
      </c>
      <c r="D1300" s="32" t="s">
        <v>2769</v>
      </c>
      <c r="E1300" s="32" t="s">
        <v>2770</v>
      </c>
      <c r="F1300" s="32" t="s">
        <v>373</v>
      </c>
      <c r="G1300" s="33">
        <v>227</v>
      </c>
      <c r="H1300" s="34">
        <v>1.018</v>
      </c>
      <c r="I1300" s="31">
        <v>137260</v>
      </c>
      <c r="J1300" s="35" t="s">
        <v>207</v>
      </c>
      <c r="K1300" s="36">
        <v>2022</v>
      </c>
    </row>
    <row r="1301" spans="1:11" ht="15" customHeight="1" x14ac:dyDescent="0.3">
      <c r="A1301" s="37">
        <v>1296</v>
      </c>
      <c r="B1301" s="38" t="s">
        <v>2761</v>
      </c>
      <c r="C1301" s="38" t="s">
        <v>2771</v>
      </c>
      <c r="D1301" s="38" t="s">
        <v>2772</v>
      </c>
      <c r="E1301" s="38" t="s">
        <v>35</v>
      </c>
      <c r="F1301" s="38" t="s">
        <v>276</v>
      </c>
      <c r="G1301" s="39">
        <v>648</v>
      </c>
      <c r="H1301" s="40">
        <v>1.415</v>
      </c>
      <c r="I1301" s="37">
        <v>137260</v>
      </c>
      <c r="J1301" s="41" t="s">
        <v>207</v>
      </c>
      <c r="K1301" s="42">
        <v>2022</v>
      </c>
    </row>
    <row r="1302" spans="1:11" ht="15" customHeight="1" x14ac:dyDescent="0.3">
      <c r="A1302" s="31">
        <v>1297</v>
      </c>
      <c r="B1302" s="32" t="s">
        <v>2761</v>
      </c>
      <c r="C1302" s="32" t="s">
        <v>2773</v>
      </c>
      <c r="D1302" s="32" t="s">
        <v>2365</v>
      </c>
      <c r="E1302" s="32" t="s">
        <v>35</v>
      </c>
      <c r="F1302" s="32" t="s">
        <v>312</v>
      </c>
      <c r="G1302" s="33">
        <v>300</v>
      </c>
      <c r="H1302" s="34">
        <v>0.80900000000000005</v>
      </c>
      <c r="I1302" s="31">
        <v>137260</v>
      </c>
      <c r="J1302" s="35" t="s">
        <v>207</v>
      </c>
      <c r="K1302" s="36">
        <v>2022</v>
      </c>
    </row>
    <row r="1303" spans="1:11" ht="15" customHeight="1" x14ac:dyDescent="0.3">
      <c r="A1303" s="37">
        <v>1298</v>
      </c>
      <c r="B1303" s="38" t="s">
        <v>2761</v>
      </c>
      <c r="C1303" s="38" t="s">
        <v>2774</v>
      </c>
      <c r="D1303" s="38" t="s">
        <v>1094</v>
      </c>
      <c r="E1303" s="38" t="s">
        <v>857</v>
      </c>
      <c r="F1303" s="38" t="s">
        <v>937</v>
      </c>
      <c r="G1303" s="39">
        <v>431</v>
      </c>
      <c r="H1303" s="40">
        <v>2</v>
      </c>
      <c r="I1303" s="37">
        <v>163260</v>
      </c>
      <c r="J1303" s="41" t="s">
        <v>207</v>
      </c>
      <c r="K1303" s="42">
        <v>2022</v>
      </c>
    </row>
    <row r="1304" spans="1:11" ht="15" customHeight="1" x14ac:dyDescent="0.3">
      <c r="A1304" s="31">
        <v>1299</v>
      </c>
      <c r="B1304" s="32" t="s">
        <v>2761</v>
      </c>
      <c r="C1304" s="32" t="s">
        <v>2775</v>
      </c>
      <c r="D1304" s="32" t="s">
        <v>2776</v>
      </c>
      <c r="E1304" s="32" t="s">
        <v>2777</v>
      </c>
      <c r="F1304" s="32" t="s">
        <v>2778</v>
      </c>
      <c r="G1304" s="33">
        <v>2600</v>
      </c>
      <c r="H1304" s="34">
        <v>8</v>
      </c>
      <c r="I1304" s="31">
        <v>323260</v>
      </c>
      <c r="J1304" s="35" t="s">
        <v>207</v>
      </c>
      <c r="K1304" s="36">
        <v>2022</v>
      </c>
    </row>
    <row r="1305" spans="1:11" ht="15" customHeight="1" x14ac:dyDescent="0.3">
      <c r="A1305" s="37">
        <v>1300</v>
      </c>
      <c r="B1305" s="38" t="s">
        <v>2779</v>
      </c>
      <c r="C1305" s="38" t="s">
        <v>2780</v>
      </c>
      <c r="D1305" s="38" t="s">
        <v>2781</v>
      </c>
      <c r="E1305" s="38" t="s">
        <v>2782</v>
      </c>
      <c r="F1305" s="38" t="s">
        <v>2783</v>
      </c>
      <c r="G1305" s="39">
        <v>950</v>
      </c>
      <c r="H1305" s="40">
        <v>2.1120000000000001</v>
      </c>
      <c r="I1305" s="37">
        <v>163260</v>
      </c>
      <c r="J1305" s="41" t="s">
        <v>207</v>
      </c>
      <c r="K1305" s="42">
        <v>2022</v>
      </c>
    </row>
    <row r="1306" spans="1:11" ht="15" customHeight="1" x14ac:dyDescent="0.3">
      <c r="A1306" s="31">
        <v>1301</v>
      </c>
      <c r="B1306" s="32" t="s">
        <v>2779</v>
      </c>
      <c r="C1306" s="32" t="s">
        <v>2784</v>
      </c>
      <c r="D1306" s="32" t="s">
        <v>2785</v>
      </c>
      <c r="E1306" s="32" t="s">
        <v>2786</v>
      </c>
      <c r="F1306" s="32" t="s">
        <v>2787</v>
      </c>
      <c r="G1306" s="33">
        <v>2149</v>
      </c>
      <c r="H1306" s="34">
        <v>9</v>
      </c>
      <c r="I1306" s="31">
        <v>350260</v>
      </c>
      <c r="J1306" s="35" t="s">
        <v>668</v>
      </c>
      <c r="K1306" s="36">
        <v>2022</v>
      </c>
    </row>
    <row r="1307" spans="1:11" ht="15" customHeight="1" x14ac:dyDescent="0.3">
      <c r="A1307" s="37">
        <v>1302</v>
      </c>
      <c r="B1307" s="38" t="s">
        <v>2779</v>
      </c>
      <c r="C1307" s="38" t="s">
        <v>2788</v>
      </c>
      <c r="D1307" s="38" t="s">
        <v>2789</v>
      </c>
      <c r="E1307" s="38" t="s">
        <v>2790</v>
      </c>
      <c r="F1307" s="38" t="s">
        <v>2783</v>
      </c>
      <c r="G1307" s="39">
        <v>527.20000000000005</v>
      </c>
      <c r="H1307" s="40">
        <v>1.26</v>
      </c>
      <c r="I1307" s="37">
        <v>135000</v>
      </c>
      <c r="J1307" s="41" t="s">
        <v>668</v>
      </c>
      <c r="K1307" s="42">
        <v>2022</v>
      </c>
    </row>
    <row r="1308" spans="1:11" ht="15" customHeight="1" x14ac:dyDescent="0.3">
      <c r="A1308" s="31">
        <v>1303</v>
      </c>
      <c r="B1308" s="32" t="s">
        <v>2779</v>
      </c>
      <c r="C1308" s="32" t="s">
        <v>2791</v>
      </c>
      <c r="D1308" s="32" t="s">
        <v>2792</v>
      </c>
      <c r="E1308" s="32" t="s">
        <v>2793</v>
      </c>
      <c r="F1308" s="32" t="s">
        <v>2794</v>
      </c>
      <c r="G1308" s="33">
        <v>2676.1840000000002</v>
      </c>
      <c r="H1308" s="34">
        <v>5.3090000000000002</v>
      </c>
      <c r="I1308" s="31">
        <v>245000</v>
      </c>
      <c r="J1308" s="35" t="s">
        <v>668</v>
      </c>
      <c r="K1308" s="36">
        <v>2022</v>
      </c>
    </row>
    <row r="1309" spans="1:11" ht="15" customHeight="1" x14ac:dyDescent="0.3">
      <c r="A1309" s="37">
        <v>1304</v>
      </c>
      <c r="B1309" s="38" t="s">
        <v>2779</v>
      </c>
      <c r="C1309" s="38" t="s">
        <v>2795</v>
      </c>
      <c r="D1309" s="38" t="s">
        <v>2796</v>
      </c>
      <c r="E1309" s="38" t="s">
        <v>2797</v>
      </c>
      <c r="F1309" s="38" t="s">
        <v>2798</v>
      </c>
      <c r="G1309" s="39">
        <v>1169</v>
      </c>
      <c r="H1309" s="40">
        <v>4.1180000000000003</v>
      </c>
      <c r="I1309" s="37">
        <v>219260</v>
      </c>
      <c r="J1309" s="41" t="s">
        <v>668</v>
      </c>
      <c r="K1309" s="42">
        <v>2022</v>
      </c>
    </row>
    <row r="1310" spans="1:11" ht="15" customHeight="1" x14ac:dyDescent="0.3">
      <c r="A1310" s="31">
        <v>1305</v>
      </c>
      <c r="B1310" s="32" t="s">
        <v>2779</v>
      </c>
      <c r="C1310" s="32" t="s">
        <v>2799</v>
      </c>
      <c r="D1310" s="32" t="s">
        <v>2800</v>
      </c>
      <c r="E1310" s="32" t="s">
        <v>2801</v>
      </c>
      <c r="F1310" s="32" t="s">
        <v>2802</v>
      </c>
      <c r="G1310" s="33">
        <v>1542</v>
      </c>
      <c r="H1310" s="34">
        <v>8.5559999999999992</v>
      </c>
      <c r="I1310" s="31">
        <v>350260</v>
      </c>
      <c r="J1310" s="35" t="s">
        <v>668</v>
      </c>
      <c r="K1310" s="36">
        <v>2022</v>
      </c>
    </row>
    <row r="1311" spans="1:11" ht="15" customHeight="1" x14ac:dyDescent="0.3">
      <c r="A1311" s="37">
        <v>1306</v>
      </c>
      <c r="B1311" s="38" t="s">
        <v>2779</v>
      </c>
      <c r="C1311" s="38" t="s">
        <v>2803</v>
      </c>
      <c r="D1311" s="38" t="s">
        <v>1913</v>
      </c>
      <c r="E1311" s="38" t="s">
        <v>35</v>
      </c>
      <c r="F1311" s="38" t="s">
        <v>2783</v>
      </c>
      <c r="G1311" s="39">
        <v>38</v>
      </c>
      <c r="H1311" s="40">
        <v>0.312</v>
      </c>
      <c r="I1311" s="37">
        <v>137260</v>
      </c>
      <c r="J1311" s="41" t="s">
        <v>668</v>
      </c>
      <c r="K1311" s="42">
        <v>2022</v>
      </c>
    </row>
    <row r="1312" spans="1:11" ht="15" customHeight="1" x14ac:dyDescent="0.3">
      <c r="A1312" s="31">
        <v>1307</v>
      </c>
      <c r="B1312" s="32" t="s">
        <v>2779</v>
      </c>
      <c r="C1312" s="32" t="s">
        <v>2804</v>
      </c>
      <c r="D1312" s="32" t="s">
        <v>2805</v>
      </c>
      <c r="E1312" s="32" t="s">
        <v>2806</v>
      </c>
      <c r="F1312" s="32" t="s">
        <v>2798</v>
      </c>
      <c r="G1312" s="33">
        <v>594.15</v>
      </c>
      <c r="H1312" s="34">
        <v>0.61199999999999999</v>
      </c>
      <c r="I1312" s="31">
        <v>137260</v>
      </c>
      <c r="J1312" s="35" t="s">
        <v>668</v>
      </c>
      <c r="K1312" s="36">
        <v>2022</v>
      </c>
    </row>
    <row r="1313" spans="1:11" ht="15" customHeight="1" x14ac:dyDescent="0.3">
      <c r="A1313" s="37">
        <v>1308</v>
      </c>
      <c r="B1313" s="38" t="s">
        <v>2779</v>
      </c>
      <c r="C1313" s="38" t="s">
        <v>2807</v>
      </c>
      <c r="D1313" s="38" t="s">
        <v>2808</v>
      </c>
      <c r="E1313" s="38" t="s">
        <v>35</v>
      </c>
      <c r="F1313" s="38" t="s">
        <v>2809</v>
      </c>
      <c r="G1313" s="39">
        <v>6600</v>
      </c>
      <c r="H1313" s="40">
        <v>6.0149999999999997</v>
      </c>
      <c r="I1313" s="37">
        <v>303260</v>
      </c>
      <c r="J1313" s="41" t="s">
        <v>668</v>
      </c>
      <c r="K1313" s="42">
        <v>2022</v>
      </c>
    </row>
    <row r="1314" spans="1:11" ht="15" customHeight="1" x14ac:dyDescent="0.3">
      <c r="A1314" s="31">
        <v>1309</v>
      </c>
      <c r="B1314" s="32" t="s">
        <v>2779</v>
      </c>
      <c r="C1314" s="32" t="s">
        <v>2810</v>
      </c>
      <c r="D1314" s="32" t="s">
        <v>2811</v>
      </c>
      <c r="E1314" s="32" t="s">
        <v>2520</v>
      </c>
      <c r="F1314" s="32" t="s">
        <v>312</v>
      </c>
      <c r="G1314" s="33">
        <v>565</v>
      </c>
      <c r="H1314" s="34">
        <v>0.39200000000000002</v>
      </c>
      <c r="I1314" s="31">
        <v>135000</v>
      </c>
      <c r="J1314" s="35" t="s">
        <v>668</v>
      </c>
      <c r="K1314" s="36">
        <v>2022</v>
      </c>
    </row>
    <row r="1315" spans="1:11" ht="15" customHeight="1" x14ac:dyDescent="0.3">
      <c r="A1315" s="37">
        <v>1310</v>
      </c>
      <c r="B1315" s="38" t="s">
        <v>2779</v>
      </c>
      <c r="C1315" s="38" t="s">
        <v>2812</v>
      </c>
      <c r="D1315" s="38" t="s">
        <v>2813</v>
      </c>
      <c r="E1315" s="38" t="s">
        <v>43</v>
      </c>
      <c r="F1315" s="38" t="s">
        <v>2783</v>
      </c>
      <c r="G1315" s="39">
        <v>1550</v>
      </c>
      <c r="H1315" s="40">
        <v>2.5609999999999999</v>
      </c>
      <c r="I1315" s="37">
        <v>191260</v>
      </c>
      <c r="J1315" s="41" t="s">
        <v>668</v>
      </c>
      <c r="K1315" s="42">
        <v>2022</v>
      </c>
    </row>
    <row r="1316" spans="1:11" ht="15" customHeight="1" x14ac:dyDescent="0.3">
      <c r="A1316" s="31">
        <v>1311</v>
      </c>
      <c r="B1316" s="32" t="s">
        <v>2814</v>
      </c>
      <c r="C1316" s="32" t="s">
        <v>2815</v>
      </c>
      <c r="D1316" s="32" t="s">
        <v>2789</v>
      </c>
      <c r="E1316" s="32" t="s">
        <v>2790</v>
      </c>
      <c r="F1316" s="32" t="s">
        <v>2783</v>
      </c>
      <c r="G1316" s="33">
        <v>2636</v>
      </c>
      <c r="H1316" s="34">
        <v>6</v>
      </c>
      <c r="I1316" s="31">
        <v>273000</v>
      </c>
      <c r="J1316" s="35" t="s">
        <v>668</v>
      </c>
      <c r="K1316" s="36">
        <v>2022</v>
      </c>
    </row>
    <row r="1317" spans="1:11" ht="15" customHeight="1" x14ac:dyDescent="0.3">
      <c r="A1317" s="37">
        <v>1312</v>
      </c>
      <c r="B1317" s="38" t="s">
        <v>2814</v>
      </c>
      <c r="C1317" s="38" t="s">
        <v>2816</v>
      </c>
      <c r="D1317" s="38" t="s">
        <v>2817</v>
      </c>
      <c r="E1317" s="38" t="s">
        <v>2818</v>
      </c>
      <c r="F1317" s="38" t="s">
        <v>741</v>
      </c>
      <c r="G1317" s="39">
        <v>209</v>
      </c>
      <c r="H1317" s="40">
        <v>0.29899999999999999</v>
      </c>
      <c r="I1317" s="37">
        <v>137260</v>
      </c>
      <c r="J1317" s="41" t="s">
        <v>668</v>
      </c>
      <c r="K1317" s="42">
        <v>2022</v>
      </c>
    </row>
    <row r="1318" spans="1:11" ht="15" customHeight="1" x14ac:dyDescent="0.3">
      <c r="A1318" s="31">
        <v>1313</v>
      </c>
      <c r="B1318" s="32" t="s">
        <v>2814</v>
      </c>
      <c r="C1318" s="32" t="s">
        <v>2819</v>
      </c>
      <c r="D1318" s="32" t="s">
        <v>2789</v>
      </c>
      <c r="E1318" s="32" t="s">
        <v>2820</v>
      </c>
      <c r="F1318" s="32" t="s">
        <v>2809</v>
      </c>
      <c r="G1318" s="33">
        <v>1081</v>
      </c>
      <c r="H1318" s="34">
        <v>3.024</v>
      </c>
      <c r="I1318" s="31">
        <v>189000</v>
      </c>
      <c r="J1318" s="35" t="s">
        <v>668</v>
      </c>
      <c r="K1318" s="36">
        <v>2022</v>
      </c>
    </row>
    <row r="1319" spans="1:11" ht="15" customHeight="1" x14ac:dyDescent="0.3">
      <c r="A1319" s="37">
        <v>1314</v>
      </c>
      <c r="B1319" s="38" t="s">
        <v>2814</v>
      </c>
      <c r="C1319" s="38" t="s">
        <v>2821</v>
      </c>
      <c r="D1319" s="38" t="s">
        <v>2822</v>
      </c>
      <c r="E1319" s="38" t="s">
        <v>2823</v>
      </c>
      <c r="F1319" s="38" t="s">
        <v>2802</v>
      </c>
      <c r="G1319" s="39">
        <v>803</v>
      </c>
      <c r="H1319" s="40">
        <v>8.016</v>
      </c>
      <c r="I1319" s="37">
        <v>323260</v>
      </c>
      <c r="J1319" s="41" t="s">
        <v>668</v>
      </c>
      <c r="K1319" s="42">
        <v>2022</v>
      </c>
    </row>
    <row r="1320" spans="1:11" ht="15" customHeight="1" x14ac:dyDescent="0.3">
      <c r="A1320" s="31">
        <v>1315</v>
      </c>
      <c r="B1320" s="32" t="s">
        <v>2814</v>
      </c>
      <c r="C1320" s="32" t="s">
        <v>2824</v>
      </c>
      <c r="D1320" s="32" t="s">
        <v>2825</v>
      </c>
      <c r="E1320" s="32" t="s">
        <v>2826</v>
      </c>
      <c r="F1320" s="32" t="s">
        <v>2809</v>
      </c>
      <c r="G1320" s="33">
        <v>241.6</v>
      </c>
      <c r="H1320" s="34">
        <v>4.6079999999999997</v>
      </c>
      <c r="I1320" s="31">
        <v>247260</v>
      </c>
      <c r="J1320" s="35" t="s">
        <v>668</v>
      </c>
      <c r="K1320" s="36">
        <v>2022</v>
      </c>
    </row>
    <row r="1321" spans="1:11" ht="15" customHeight="1" x14ac:dyDescent="0.3">
      <c r="A1321" s="37">
        <v>1316</v>
      </c>
      <c r="B1321" s="38" t="s">
        <v>2814</v>
      </c>
      <c r="C1321" s="38" t="s">
        <v>2827</v>
      </c>
      <c r="D1321" s="38" t="s">
        <v>2828</v>
      </c>
      <c r="E1321" s="38" t="s">
        <v>2520</v>
      </c>
      <c r="F1321" s="38" t="s">
        <v>2829</v>
      </c>
      <c r="G1321" s="39">
        <v>3415.3</v>
      </c>
      <c r="H1321" s="40">
        <v>8.74</v>
      </c>
      <c r="I1321" s="37">
        <v>348000</v>
      </c>
      <c r="J1321" s="41" t="s">
        <v>668</v>
      </c>
      <c r="K1321" s="42">
        <v>2022</v>
      </c>
    </row>
    <row r="1322" spans="1:11" ht="15" customHeight="1" x14ac:dyDescent="0.3">
      <c r="A1322" s="31">
        <v>1317</v>
      </c>
      <c r="B1322" s="32" t="s">
        <v>2814</v>
      </c>
      <c r="C1322" s="32" t="s">
        <v>2830</v>
      </c>
      <c r="D1322" s="32" t="s">
        <v>2831</v>
      </c>
      <c r="E1322" s="32" t="s">
        <v>2832</v>
      </c>
      <c r="F1322" s="32" t="s">
        <v>2798</v>
      </c>
      <c r="G1322" s="33">
        <v>740</v>
      </c>
      <c r="H1322" s="34">
        <v>3.7010000000000001</v>
      </c>
      <c r="I1322" s="31">
        <v>219260</v>
      </c>
      <c r="J1322" s="35" t="s">
        <v>668</v>
      </c>
      <c r="K1322" s="36">
        <v>2022</v>
      </c>
    </row>
    <row r="1323" spans="1:11" ht="15" customHeight="1" x14ac:dyDescent="0.3">
      <c r="A1323" s="37">
        <v>1318</v>
      </c>
      <c r="B1323" s="38" t="s">
        <v>2814</v>
      </c>
      <c r="C1323" s="38" t="s">
        <v>2833</v>
      </c>
      <c r="D1323" s="38" t="s">
        <v>2834</v>
      </c>
      <c r="E1323" s="38" t="s">
        <v>1613</v>
      </c>
      <c r="F1323" s="38" t="s">
        <v>2835</v>
      </c>
      <c r="G1323" s="39">
        <v>4391.5</v>
      </c>
      <c r="H1323" s="40">
        <v>11.439</v>
      </c>
      <c r="I1323" s="37">
        <v>377260</v>
      </c>
      <c r="J1323" s="41" t="s">
        <v>668</v>
      </c>
      <c r="K1323" s="42">
        <v>2022</v>
      </c>
    </row>
    <row r="1324" spans="1:11" ht="15" customHeight="1" x14ac:dyDescent="0.3">
      <c r="A1324" s="31">
        <v>1319</v>
      </c>
      <c r="B1324" s="32" t="s">
        <v>2814</v>
      </c>
      <c r="C1324" s="32" t="s">
        <v>2836</v>
      </c>
      <c r="D1324" s="32" t="s">
        <v>50</v>
      </c>
      <c r="E1324" s="32" t="s">
        <v>2837</v>
      </c>
      <c r="F1324" s="32" t="s">
        <v>2838</v>
      </c>
      <c r="G1324" s="33">
        <v>4737</v>
      </c>
      <c r="H1324" s="34">
        <v>10.661</v>
      </c>
      <c r="I1324" s="31">
        <v>377260</v>
      </c>
      <c r="J1324" s="35" t="s">
        <v>668</v>
      </c>
      <c r="K1324" s="36">
        <v>2022</v>
      </c>
    </row>
    <row r="1325" spans="1:11" ht="15" customHeight="1" x14ac:dyDescent="0.3">
      <c r="A1325" s="37">
        <v>1320</v>
      </c>
      <c r="B1325" s="38" t="s">
        <v>2814</v>
      </c>
      <c r="C1325" s="38" t="s">
        <v>2839</v>
      </c>
      <c r="D1325" s="38" t="s">
        <v>2840</v>
      </c>
      <c r="E1325" s="38" t="s">
        <v>2841</v>
      </c>
      <c r="F1325" s="38" t="s">
        <v>2809</v>
      </c>
      <c r="G1325" s="39">
        <v>1811</v>
      </c>
      <c r="H1325" s="40">
        <v>6.5</v>
      </c>
      <c r="I1325" s="37">
        <v>303260</v>
      </c>
      <c r="J1325" s="41" t="s">
        <v>668</v>
      </c>
      <c r="K1325" s="42">
        <v>2022</v>
      </c>
    </row>
    <row r="1326" spans="1:11" ht="15" customHeight="1" x14ac:dyDescent="0.3">
      <c r="A1326" s="31">
        <v>1321</v>
      </c>
      <c r="B1326" s="32" t="s">
        <v>2814</v>
      </c>
      <c r="C1326" s="32" t="s">
        <v>2842</v>
      </c>
      <c r="D1326" s="32" t="s">
        <v>2843</v>
      </c>
      <c r="E1326" s="32" t="s">
        <v>37</v>
      </c>
      <c r="F1326" s="32" t="s">
        <v>2783</v>
      </c>
      <c r="G1326" s="33">
        <v>220</v>
      </c>
      <c r="H1326" s="34">
        <v>0.432</v>
      </c>
      <c r="I1326" s="31">
        <v>137260</v>
      </c>
      <c r="J1326" s="35" t="s">
        <v>668</v>
      </c>
      <c r="K1326" s="36">
        <v>2022</v>
      </c>
    </row>
    <row r="1327" spans="1:11" ht="15" customHeight="1" x14ac:dyDescent="0.3">
      <c r="A1327" s="37">
        <v>1322</v>
      </c>
      <c r="B1327" s="38" t="s">
        <v>2814</v>
      </c>
      <c r="C1327" s="38" t="s">
        <v>2844</v>
      </c>
      <c r="D1327" s="38" t="s">
        <v>1574</v>
      </c>
      <c r="E1327" s="38" t="s">
        <v>35</v>
      </c>
      <c r="F1327" s="38" t="s">
        <v>2783</v>
      </c>
      <c r="G1327" s="39">
        <v>1407</v>
      </c>
      <c r="H1327" s="40">
        <v>1.6020000000000001</v>
      </c>
      <c r="I1327" s="37">
        <v>163260</v>
      </c>
      <c r="J1327" s="41" t="s">
        <v>668</v>
      </c>
      <c r="K1327" s="42">
        <v>2022</v>
      </c>
    </row>
    <row r="1328" spans="1:11" ht="15" customHeight="1" x14ac:dyDescent="0.3">
      <c r="A1328" s="31">
        <v>1323</v>
      </c>
      <c r="B1328" s="32" t="s">
        <v>2814</v>
      </c>
      <c r="C1328" s="32" t="s">
        <v>2845</v>
      </c>
      <c r="D1328" s="32" t="s">
        <v>2846</v>
      </c>
      <c r="E1328" s="32" t="s">
        <v>37</v>
      </c>
      <c r="F1328" s="32" t="s">
        <v>2783</v>
      </c>
      <c r="G1328" s="33">
        <v>530</v>
      </c>
      <c r="H1328" s="34">
        <v>1.08</v>
      </c>
      <c r="I1328" s="31">
        <v>137260</v>
      </c>
      <c r="J1328" s="35" t="s">
        <v>668</v>
      </c>
      <c r="K1328" s="36">
        <v>2022</v>
      </c>
    </row>
    <row r="1329" spans="1:11" ht="15" customHeight="1" x14ac:dyDescent="0.3">
      <c r="A1329" s="37">
        <v>1324</v>
      </c>
      <c r="B1329" s="38" t="s">
        <v>2814</v>
      </c>
      <c r="C1329" s="38" t="s">
        <v>2847</v>
      </c>
      <c r="D1329" s="38" t="s">
        <v>2846</v>
      </c>
      <c r="E1329" s="38" t="s">
        <v>37</v>
      </c>
      <c r="F1329" s="38" t="s">
        <v>2848</v>
      </c>
      <c r="G1329" s="39">
        <v>390</v>
      </c>
      <c r="H1329" s="40">
        <v>1.39</v>
      </c>
      <c r="I1329" s="37">
        <v>137260</v>
      </c>
      <c r="J1329" s="41" t="s">
        <v>668</v>
      </c>
      <c r="K1329" s="42">
        <v>2022</v>
      </c>
    </row>
    <row r="1330" spans="1:11" ht="15" customHeight="1" x14ac:dyDescent="0.3">
      <c r="A1330" s="31">
        <v>1325</v>
      </c>
      <c r="B1330" s="32" t="s">
        <v>2814</v>
      </c>
      <c r="C1330" s="32" t="s">
        <v>2849</v>
      </c>
      <c r="D1330" s="32" t="s">
        <v>2850</v>
      </c>
      <c r="E1330" s="32" t="s">
        <v>2851</v>
      </c>
      <c r="F1330" s="32" t="s">
        <v>2783</v>
      </c>
      <c r="G1330" s="33">
        <v>215</v>
      </c>
      <c r="H1330" s="34">
        <v>1.8320000000000001</v>
      </c>
      <c r="I1330" s="31">
        <v>163260</v>
      </c>
      <c r="J1330" s="35" t="s">
        <v>668</v>
      </c>
      <c r="K1330" s="36">
        <v>2022</v>
      </c>
    </row>
    <row r="1331" spans="1:11" ht="15" customHeight="1" x14ac:dyDescent="0.3">
      <c r="A1331" s="37">
        <v>1326</v>
      </c>
      <c r="B1331" s="38" t="s">
        <v>2814</v>
      </c>
      <c r="C1331" s="38" t="s">
        <v>2852</v>
      </c>
      <c r="D1331" s="38" t="s">
        <v>2853</v>
      </c>
      <c r="E1331" s="38" t="s">
        <v>2854</v>
      </c>
      <c r="F1331" s="38" t="s">
        <v>2783</v>
      </c>
      <c r="G1331" s="39">
        <v>550</v>
      </c>
      <c r="H1331" s="40">
        <v>1.802</v>
      </c>
      <c r="I1331" s="37">
        <v>161000</v>
      </c>
      <c r="J1331" s="41" t="s">
        <v>668</v>
      </c>
      <c r="K1331" s="42">
        <v>2022</v>
      </c>
    </row>
    <row r="1332" spans="1:11" ht="15" customHeight="1" x14ac:dyDescent="0.3">
      <c r="A1332" s="31">
        <v>1327</v>
      </c>
      <c r="B1332" s="32" t="s">
        <v>2814</v>
      </c>
      <c r="C1332" s="32" t="s">
        <v>2855</v>
      </c>
      <c r="D1332" s="32" t="s">
        <v>2856</v>
      </c>
      <c r="E1332" s="32" t="s">
        <v>2857</v>
      </c>
      <c r="F1332" s="32" t="s">
        <v>2783</v>
      </c>
      <c r="G1332" s="33">
        <v>300</v>
      </c>
      <c r="H1332" s="34">
        <v>1.266</v>
      </c>
      <c r="I1332" s="31">
        <v>137260</v>
      </c>
      <c r="J1332" s="35" t="s">
        <v>668</v>
      </c>
      <c r="K1332" s="36">
        <v>2022</v>
      </c>
    </row>
    <row r="1333" spans="1:11" ht="15" customHeight="1" x14ac:dyDescent="0.3">
      <c r="A1333" s="37">
        <v>1328</v>
      </c>
      <c r="B1333" s="38" t="s">
        <v>2814</v>
      </c>
      <c r="C1333" s="38" t="s">
        <v>2858</v>
      </c>
      <c r="D1333" s="38" t="s">
        <v>2859</v>
      </c>
      <c r="E1333" s="38" t="s">
        <v>2520</v>
      </c>
      <c r="F1333" s="38" t="s">
        <v>312</v>
      </c>
      <c r="G1333" s="39">
        <v>590</v>
      </c>
      <c r="H1333" s="40">
        <v>1.5629999999999999</v>
      </c>
      <c r="I1333" s="37">
        <v>161000</v>
      </c>
      <c r="J1333" s="41" t="s">
        <v>668</v>
      </c>
      <c r="K1333" s="42">
        <v>2022</v>
      </c>
    </row>
    <row r="1334" spans="1:11" ht="15" customHeight="1" x14ac:dyDescent="0.3">
      <c r="A1334" s="31">
        <v>1329</v>
      </c>
      <c r="B1334" s="32" t="s">
        <v>2814</v>
      </c>
      <c r="C1334" s="32" t="s">
        <v>2860</v>
      </c>
      <c r="D1334" s="32" t="s">
        <v>2861</v>
      </c>
      <c r="E1334" s="32" t="s">
        <v>529</v>
      </c>
      <c r="F1334" s="32" t="s">
        <v>2783</v>
      </c>
      <c r="G1334" s="33">
        <v>75</v>
      </c>
      <c r="H1334" s="34">
        <v>1.3919999999999999</v>
      </c>
      <c r="I1334" s="31">
        <v>137260</v>
      </c>
      <c r="J1334" s="35" t="s">
        <v>668</v>
      </c>
      <c r="K1334" s="36">
        <v>2022</v>
      </c>
    </row>
    <row r="1335" spans="1:11" ht="15" customHeight="1" x14ac:dyDescent="0.3">
      <c r="A1335" s="37">
        <v>1330</v>
      </c>
      <c r="B1335" s="38" t="s">
        <v>2814</v>
      </c>
      <c r="C1335" s="38" t="s">
        <v>2862</v>
      </c>
      <c r="D1335" s="38" t="s">
        <v>2863</v>
      </c>
      <c r="E1335" s="38" t="s">
        <v>2864</v>
      </c>
      <c r="F1335" s="38" t="s">
        <v>312</v>
      </c>
      <c r="G1335" s="39">
        <v>269</v>
      </c>
      <c r="H1335" s="40">
        <v>0.89800000000000002</v>
      </c>
      <c r="I1335" s="37">
        <v>137260</v>
      </c>
      <c r="J1335" s="41" t="s">
        <v>668</v>
      </c>
      <c r="K1335" s="42">
        <v>2022</v>
      </c>
    </row>
    <row r="1336" spans="1:11" ht="15" customHeight="1" x14ac:dyDescent="0.3">
      <c r="A1336" s="31">
        <v>1331</v>
      </c>
      <c r="B1336" s="32" t="s">
        <v>2814</v>
      </c>
      <c r="C1336" s="32" t="s">
        <v>2865</v>
      </c>
      <c r="D1336" s="32" t="s">
        <v>2866</v>
      </c>
      <c r="E1336" s="32" t="s">
        <v>43</v>
      </c>
      <c r="F1336" s="32" t="s">
        <v>2783</v>
      </c>
      <c r="G1336" s="33">
        <v>82</v>
      </c>
      <c r="H1336" s="34">
        <v>1</v>
      </c>
      <c r="I1336" s="31">
        <v>137260</v>
      </c>
      <c r="J1336" s="35" t="s">
        <v>668</v>
      </c>
      <c r="K1336" s="36">
        <v>2022</v>
      </c>
    </row>
    <row r="1337" spans="1:11" ht="15" customHeight="1" x14ac:dyDescent="0.3">
      <c r="A1337" s="37">
        <v>1332</v>
      </c>
      <c r="B1337" s="38" t="s">
        <v>2814</v>
      </c>
      <c r="C1337" s="38" t="s">
        <v>2867</v>
      </c>
      <c r="D1337" s="38" t="s">
        <v>2868</v>
      </c>
      <c r="E1337" s="38" t="s">
        <v>2869</v>
      </c>
      <c r="F1337" s="38" t="s">
        <v>2809</v>
      </c>
      <c r="G1337" s="39">
        <v>1160</v>
      </c>
      <c r="H1337" s="40">
        <v>3.16</v>
      </c>
      <c r="I1337" s="37">
        <v>191260</v>
      </c>
      <c r="J1337" s="41" t="s">
        <v>668</v>
      </c>
      <c r="K1337" s="42">
        <v>2022</v>
      </c>
    </row>
    <row r="1338" spans="1:11" ht="15" customHeight="1" x14ac:dyDescent="0.3">
      <c r="A1338" s="31">
        <v>1333</v>
      </c>
      <c r="B1338" s="32" t="s">
        <v>2814</v>
      </c>
      <c r="C1338" s="32" t="s">
        <v>2870</v>
      </c>
      <c r="D1338" s="32" t="s">
        <v>2871</v>
      </c>
      <c r="E1338" s="32" t="s">
        <v>2872</v>
      </c>
      <c r="F1338" s="32" t="s">
        <v>312</v>
      </c>
      <c r="G1338" s="33">
        <v>800</v>
      </c>
      <c r="H1338" s="34">
        <v>3.956</v>
      </c>
      <c r="I1338" s="31">
        <v>219260</v>
      </c>
      <c r="J1338" s="35" t="s">
        <v>668</v>
      </c>
      <c r="K1338" s="36">
        <v>2022</v>
      </c>
    </row>
    <row r="1339" spans="1:11" ht="15" customHeight="1" x14ac:dyDescent="0.3">
      <c r="A1339" s="37">
        <v>1334</v>
      </c>
      <c r="B1339" s="38" t="s">
        <v>2814</v>
      </c>
      <c r="C1339" s="38" t="s">
        <v>2873</v>
      </c>
      <c r="D1339" s="38" t="s">
        <v>2874</v>
      </c>
      <c r="E1339" s="38" t="s">
        <v>39</v>
      </c>
      <c r="F1339" s="38" t="s">
        <v>312</v>
      </c>
      <c r="G1339" s="39">
        <v>650</v>
      </c>
      <c r="H1339" s="40">
        <v>1.4379999999999999</v>
      </c>
      <c r="I1339" s="37">
        <v>137260</v>
      </c>
      <c r="J1339" s="41" t="s">
        <v>668</v>
      </c>
      <c r="K1339" s="42">
        <v>2022</v>
      </c>
    </row>
    <row r="1340" spans="1:11" ht="15" customHeight="1" x14ac:dyDescent="0.3">
      <c r="A1340" s="31">
        <v>1335</v>
      </c>
      <c r="B1340" s="32" t="s">
        <v>2814</v>
      </c>
      <c r="C1340" s="32" t="s">
        <v>2875</v>
      </c>
      <c r="D1340" s="32" t="s">
        <v>2876</v>
      </c>
      <c r="E1340" s="32" t="s">
        <v>987</v>
      </c>
      <c r="F1340" s="32" t="s">
        <v>2877</v>
      </c>
      <c r="G1340" s="33">
        <v>1629</v>
      </c>
      <c r="H1340" s="34">
        <v>3.65</v>
      </c>
      <c r="I1340" s="31">
        <v>217000</v>
      </c>
      <c r="J1340" s="35" t="s">
        <v>668</v>
      </c>
      <c r="K1340" s="36">
        <v>2022</v>
      </c>
    </row>
    <row r="1341" spans="1:11" ht="15" customHeight="1" x14ac:dyDescent="0.3">
      <c r="A1341" s="37">
        <v>1336</v>
      </c>
      <c r="B1341" s="38" t="s">
        <v>2878</v>
      </c>
      <c r="C1341" s="38" t="s">
        <v>2879</v>
      </c>
      <c r="D1341" s="38" t="s">
        <v>2880</v>
      </c>
      <c r="E1341" s="38" t="s">
        <v>2881</v>
      </c>
      <c r="F1341" s="38" t="s">
        <v>316</v>
      </c>
      <c r="G1341" s="39">
        <v>450</v>
      </c>
      <c r="H1341" s="40">
        <v>2.5059999999999998</v>
      </c>
      <c r="I1341" s="37">
        <v>191260</v>
      </c>
      <c r="J1341" s="41" t="s">
        <v>805</v>
      </c>
      <c r="K1341" s="42">
        <v>2022</v>
      </c>
    </row>
    <row r="1342" spans="1:11" ht="15" customHeight="1" x14ac:dyDescent="0.3">
      <c r="A1342" s="31">
        <v>1337</v>
      </c>
      <c r="B1342" s="32" t="s">
        <v>2878</v>
      </c>
      <c r="C1342" s="32" t="s">
        <v>2882</v>
      </c>
      <c r="D1342" s="32" t="s">
        <v>2883</v>
      </c>
      <c r="E1342" s="32" t="s">
        <v>2884</v>
      </c>
      <c r="F1342" s="32" t="s">
        <v>316</v>
      </c>
      <c r="G1342" s="33">
        <v>295.5</v>
      </c>
      <c r="H1342" s="34">
        <v>3.2160000000000002</v>
      </c>
      <c r="I1342" s="31">
        <v>225000</v>
      </c>
      <c r="J1342" s="35" t="s">
        <v>805</v>
      </c>
      <c r="K1342" s="36">
        <v>2022</v>
      </c>
    </row>
    <row r="1343" spans="1:11" ht="15" customHeight="1" x14ac:dyDescent="0.3">
      <c r="A1343" s="37">
        <v>1338</v>
      </c>
      <c r="B1343" s="38" t="s">
        <v>2878</v>
      </c>
      <c r="C1343" s="38" t="s">
        <v>2885</v>
      </c>
      <c r="D1343" s="38" t="s">
        <v>2608</v>
      </c>
      <c r="E1343" s="38" t="s">
        <v>2886</v>
      </c>
      <c r="F1343" s="38" t="s">
        <v>435</v>
      </c>
      <c r="G1343" s="39">
        <v>3746.12</v>
      </c>
      <c r="H1343" s="40">
        <v>5.0510000000000002</v>
      </c>
      <c r="I1343" s="37">
        <v>245000</v>
      </c>
      <c r="J1343" s="41" t="s">
        <v>805</v>
      </c>
      <c r="K1343" s="42">
        <v>2022</v>
      </c>
    </row>
    <row r="1344" spans="1:11" ht="15" customHeight="1" x14ac:dyDescent="0.3">
      <c r="A1344" s="31">
        <v>1339</v>
      </c>
      <c r="B1344" s="32" t="s">
        <v>2878</v>
      </c>
      <c r="C1344" s="32" t="s">
        <v>2887</v>
      </c>
      <c r="D1344" s="32" t="s">
        <v>2888</v>
      </c>
      <c r="E1344" s="32" t="s">
        <v>2889</v>
      </c>
      <c r="F1344" s="32" t="s">
        <v>674</v>
      </c>
      <c r="G1344" s="33">
        <v>1840</v>
      </c>
      <c r="H1344" s="34">
        <v>2.7839999999999998</v>
      </c>
      <c r="I1344" s="31">
        <v>191260</v>
      </c>
      <c r="J1344" s="35" t="s">
        <v>805</v>
      </c>
      <c r="K1344" s="36">
        <v>2022</v>
      </c>
    </row>
    <row r="1345" spans="1:11" ht="15" customHeight="1" x14ac:dyDescent="0.3">
      <c r="A1345" s="37">
        <v>1340</v>
      </c>
      <c r="B1345" s="38" t="s">
        <v>2878</v>
      </c>
      <c r="C1345" s="38" t="s">
        <v>2890</v>
      </c>
      <c r="D1345" s="38" t="s">
        <v>2891</v>
      </c>
      <c r="E1345" s="38" t="s">
        <v>2892</v>
      </c>
      <c r="F1345" s="38" t="s">
        <v>435</v>
      </c>
      <c r="G1345" s="39">
        <v>840</v>
      </c>
      <c r="H1345" s="40">
        <v>7</v>
      </c>
      <c r="I1345" s="37">
        <v>303260</v>
      </c>
      <c r="J1345" s="41" t="s">
        <v>805</v>
      </c>
      <c r="K1345" s="42">
        <v>2022</v>
      </c>
    </row>
    <row r="1346" spans="1:11" ht="15" customHeight="1" x14ac:dyDescent="0.3">
      <c r="A1346" s="31">
        <v>1341</v>
      </c>
      <c r="B1346" s="32" t="s">
        <v>2878</v>
      </c>
      <c r="C1346" s="32" t="s">
        <v>2893</v>
      </c>
      <c r="D1346" s="32" t="s">
        <v>2894</v>
      </c>
      <c r="E1346" s="32" t="s">
        <v>2889</v>
      </c>
      <c r="F1346" s="32" t="s">
        <v>287</v>
      </c>
      <c r="G1346" s="33">
        <v>3180</v>
      </c>
      <c r="H1346" s="34">
        <v>7.452</v>
      </c>
      <c r="I1346" s="31">
        <v>211800</v>
      </c>
      <c r="J1346" s="35" t="s">
        <v>805</v>
      </c>
      <c r="K1346" s="36">
        <v>2022</v>
      </c>
    </row>
    <row r="1347" spans="1:11" ht="15" customHeight="1" x14ac:dyDescent="0.3">
      <c r="A1347" s="37">
        <v>1342</v>
      </c>
      <c r="B1347" s="38" t="s">
        <v>2878</v>
      </c>
      <c r="C1347" s="38" t="s">
        <v>2895</v>
      </c>
      <c r="D1347" s="38" t="s">
        <v>2896</v>
      </c>
      <c r="E1347" s="38" t="s">
        <v>2851</v>
      </c>
      <c r="F1347" s="38" t="s">
        <v>1594</v>
      </c>
      <c r="G1347" s="39">
        <v>1000</v>
      </c>
      <c r="H1347" s="40">
        <v>8.1620000000000008</v>
      </c>
      <c r="I1347" s="37">
        <v>313000</v>
      </c>
      <c r="J1347" s="41" t="s">
        <v>805</v>
      </c>
      <c r="K1347" s="42">
        <v>2022</v>
      </c>
    </row>
    <row r="1348" spans="1:11" ht="15" customHeight="1" x14ac:dyDescent="0.3">
      <c r="A1348" s="31">
        <v>1343</v>
      </c>
      <c r="B1348" s="32" t="s">
        <v>2878</v>
      </c>
      <c r="C1348" s="32" t="s">
        <v>2897</v>
      </c>
      <c r="D1348" s="32" t="s">
        <v>2898</v>
      </c>
      <c r="E1348" s="32" t="s">
        <v>2899</v>
      </c>
      <c r="F1348" s="32" t="s">
        <v>2900</v>
      </c>
      <c r="G1348" s="33">
        <v>6800</v>
      </c>
      <c r="H1348" s="34">
        <v>7.6349999999999998</v>
      </c>
      <c r="I1348" s="31">
        <v>323260</v>
      </c>
      <c r="J1348" s="35" t="s">
        <v>805</v>
      </c>
      <c r="K1348" s="36">
        <v>2022</v>
      </c>
    </row>
    <row r="1349" spans="1:11" ht="15" customHeight="1" x14ac:dyDescent="0.3">
      <c r="A1349" s="37">
        <v>1344</v>
      </c>
      <c r="B1349" s="38" t="s">
        <v>2878</v>
      </c>
      <c r="C1349" s="38" t="s">
        <v>2901</v>
      </c>
      <c r="D1349" s="38" t="s">
        <v>2902</v>
      </c>
      <c r="E1349" s="38" t="s">
        <v>2520</v>
      </c>
      <c r="F1349" s="38" t="s">
        <v>287</v>
      </c>
      <c r="G1349" s="39">
        <v>725.41</v>
      </c>
      <c r="H1349" s="40">
        <v>7.6230000000000002</v>
      </c>
      <c r="I1349" s="37">
        <v>321000</v>
      </c>
      <c r="J1349" s="41" t="s">
        <v>805</v>
      </c>
      <c r="K1349" s="42">
        <v>2022</v>
      </c>
    </row>
    <row r="1350" spans="1:11" ht="15" customHeight="1" x14ac:dyDescent="0.3">
      <c r="A1350" s="31">
        <v>1345</v>
      </c>
      <c r="B1350" s="32" t="s">
        <v>2878</v>
      </c>
      <c r="C1350" s="32" t="s">
        <v>2903</v>
      </c>
      <c r="D1350" s="32" t="s">
        <v>2904</v>
      </c>
      <c r="E1350" s="32" t="s">
        <v>2905</v>
      </c>
      <c r="F1350" s="32" t="s">
        <v>2906</v>
      </c>
      <c r="G1350" s="33">
        <v>197</v>
      </c>
      <c r="H1350" s="34">
        <v>1.08</v>
      </c>
      <c r="I1350" s="31">
        <v>137260</v>
      </c>
      <c r="J1350" s="35" t="s">
        <v>805</v>
      </c>
      <c r="K1350" s="36">
        <v>2022</v>
      </c>
    </row>
    <row r="1351" spans="1:11" ht="15" customHeight="1" x14ac:dyDescent="0.3">
      <c r="A1351" s="37">
        <v>1346</v>
      </c>
      <c r="B1351" s="38" t="s">
        <v>2907</v>
      </c>
      <c r="C1351" s="38" t="s">
        <v>2908</v>
      </c>
      <c r="D1351" s="38" t="s">
        <v>2909</v>
      </c>
      <c r="E1351" s="38" t="s">
        <v>2910</v>
      </c>
      <c r="F1351" s="38" t="s">
        <v>2911</v>
      </c>
      <c r="G1351" s="39">
        <v>356</v>
      </c>
      <c r="H1351" s="40">
        <v>1.046</v>
      </c>
      <c r="I1351" s="37">
        <v>137260</v>
      </c>
      <c r="J1351" s="41" t="s">
        <v>805</v>
      </c>
      <c r="K1351" s="42">
        <v>2022</v>
      </c>
    </row>
    <row r="1352" spans="1:11" ht="15" customHeight="1" x14ac:dyDescent="0.3">
      <c r="A1352" s="31">
        <v>1347</v>
      </c>
      <c r="B1352" s="32" t="s">
        <v>2907</v>
      </c>
      <c r="C1352" s="32" t="s">
        <v>2912</v>
      </c>
      <c r="D1352" s="32" t="s">
        <v>2913</v>
      </c>
      <c r="E1352" s="32" t="s">
        <v>35</v>
      </c>
      <c r="F1352" s="32" t="s">
        <v>316</v>
      </c>
      <c r="G1352" s="33">
        <v>800</v>
      </c>
      <c r="H1352" s="34">
        <v>3.5840000000000001</v>
      </c>
      <c r="I1352" s="31">
        <v>129260</v>
      </c>
      <c r="J1352" s="35" t="s">
        <v>805</v>
      </c>
      <c r="K1352" s="36">
        <v>2022</v>
      </c>
    </row>
    <row r="1353" spans="1:11" ht="15" customHeight="1" x14ac:dyDescent="0.3">
      <c r="A1353" s="37">
        <v>1348</v>
      </c>
      <c r="B1353" s="38" t="s">
        <v>2907</v>
      </c>
      <c r="C1353" s="38" t="s">
        <v>2914</v>
      </c>
      <c r="D1353" s="38" t="s">
        <v>2915</v>
      </c>
      <c r="E1353" s="38" t="s">
        <v>2916</v>
      </c>
      <c r="F1353" s="38" t="s">
        <v>435</v>
      </c>
      <c r="G1353" s="39">
        <v>5680</v>
      </c>
      <c r="H1353" s="40">
        <v>4.7</v>
      </c>
      <c r="I1353" s="37">
        <v>275260</v>
      </c>
      <c r="J1353" s="41" t="s">
        <v>805</v>
      </c>
      <c r="K1353" s="42">
        <v>2022</v>
      </c>
    </row>
    <row r="1354" spans="1:11" ht="15" customHeight="1" x14ac:dyDescent="0.3">
      <c r="A1354" s="31">
        <v>1349</v>
      </c>
      <c r="B1354" s="32" t="s">
        <v>2907</v>
      </c>
      <c r="C1354" s="32" t="s">
        <v>2917</v>
      </c>
      <c r="D1354" s="32" t="s">
        <v>2918</v>
      </c>
      <c r="E1354" s="32" t="s">
        <v>2919</v>
      </c>
      <c r="F1354" s="32" t="s">
        <v>2906</v>
      </c>
      <c r="G1354" s="33">
        <v>184</v>
      </c>
      <c r="H1354" s="34">
        <v>1.429</v>
      </c>
      <c r="I1354" s="31">
        <v>137260</v>
      </c>
      <c r="J1354" s="35" t="s">
        <v>805</v>
      </c>
      <c r="K1354" s="36">
        <v>2022</v>
      </c>
    </row>
    <row r="1355" spans="1:11" ht="15" customHeight="1" x14ac:dyDescent="0.3">
      <c r="A1355" s="37">
        <v>1350</v>
      </c>
      <c r="B1355" s="38" t="s">
        <v>2907</v>
      </c>
      <c r="C1355" s="38" t="s">
        <v>2920</v>
      </c>
      <c r="D1355" s="38" t="s">
        <v>2921</v>
      </c>
      <c r="E1355" s="38" t="s">
        <v>2922</v>
      </c>
      <c r="F1355" s="38" t="s">
        <v>316</v>
      </c>
      <c r="G1355" s="39">
        <v>1500</v>
      </c>
      <c r="H1355" s="40">
        <v>4.62</v>
      </c>
      <c r="I1355" s="37">
        <v>247260</v>
      </c>
      <c r="J1355" s="41" t="s">
        <v>805</v>
      </c>
      <c r="K1355" s="42">
        <v>2022</v>
      </c>
    </row>
    <row r="1356" spans="1:11" ht="15" customHeight="1" x14ac:dyDescent="0.3">
      <c r="A1356" s="31">
        <v>1351</v>
      </c>
      <c r="B1356" s="32" t="s">
        <v>2907</v>
      </c>
      <c r="C1356" s="32" t="s">
        <v>2923</v>
      </c>
      <c r="D1356" s="32" t="s">
        <v>2924</v>
      </c>
      <c r="E1356" s="32" t="s">
        <v>1975</v>
      </c>
      <c r="F1356" s="32" t="s">
        <v>2906</v>
      </c>
      <c r="G1356" s="33">
        <v>100</v>
      </c>
      <c r="H1356" s="34">
        <v>1.3440000000000001</v>
      </c>
      <c r="I1356" s="31">
        <v>135000</v>
      </c>
      <c r="J1356" s="35" t="s">
        <v>805</v>
      </c>
      <c r="K1356" s="36">
        <v>2022</v>
      </c>
    </row>
    <row r="1357" spans="1:11" ht="15" customHeight="1" x14ac:dyDescent="0.3">
      <c r="A1357" s="37">
        <v>1352</v>
      </c>
      <c r="B1357" s="38" t="s">
        <v>2907</v>
      </c>
      <c r="C1357" s="38" t="s">
        <v>2925</v>
      </c>
      <c r="D1357" s="38" t="s">
        <v>2926</v>
      </c>
      <c r="E1357" s="38" t="s">
        <v>39</v>
      </c>
      <c r="F1357" s="38" t="s">
        <v>2906</v>
      </c>
      <c r="G1357" s="39">
        <v>152.41</v>
      </c>
      <c r="H1357" s="40">
        <v>0.219</v>
      </c>
      <c r="I1357" s="37">
        <v>137260</v>
      </c>
      <c r="J1357" s="41" t="s">
        <v>805</v>
      </c>
      <c r="K1357" s="42">
        <v>2022</v>
      </c>
    </row>
    <row r="1358" spans="1:11" ht="15" customHeight="1" x14ac:dyDescent="0.3">
      <c r="A1358" s="31">
        <v>1353</v>
      </c>
      <c r="B1358" s="32" t="s">
        <v>2907</v>
      </c>
      <c r="C1358" s="32" t="s">
        <v>2927</v>
      </c>
      <c r="D1358" s="32" t="s">
        <v>2928</v>
      </c>
      <c r="E1358" s="32" t="s">
        <v>2929</v>
      </c>
      <c r="F1358" s="32" t="s">
        <v>287</v>
      </c>
      <c r="G1358" s="33">
        <v>2262</v>
      </c>
      <c r="H1358" s="34">
        <v>2.4630000000000001</v>
      </c>
      <c r="I1358" s="31">
        <v>161000</v>
      </c>
      <c r="J1358" s="35" t="s">
        <v>805</v>
      </c>
      <c r="K1358" s="36">
        <v>2022</v>
      </c>
    </row>
    <row r="1359" spans="1:11" ht="15" customHeight="1" x14ac:dyDescent="0.3">
      <c r="A1359" s="37">
        <v>1354</v>
      </c>
      <c r="B1359" s="38" t="s">
        <v>2907</v>
      </c>
      <c r="C1359" s="38" t="s">
        <v>2930</v>
      </c>
      <c r="D1359" s="38" t="s">
        <v>305</v>
      </c>
      <c r="E1359" s="38" t="s">
        <v>45</v>
      </c>
      <c r="F1359" s="38" t="s">
        <v>1717</v>
      </c>
      <c r="G1359" s="39">
        <v>265</v>
      </c>
      <c r="H1359" s="40">
        <v>0.54500000000000004</v>
      </c>
      <c r="I1359" s="37">
        <v>135000</v>
      </c>
      <c r="J1359" s="41" t="s">
        <v>805</v>
      </c>
      <c r="K1359" s="42">
        <v>2022</v>
      </c>
    </row>
    <row r="1360" spans="1:11" ht="15" customHeight="1" x14ac:dyDescent="0.3">
      <c r="A1360" s="31">
        <v>1355</v>
      </c>
      <c r="B1360" s="32" t="s">
        <v>2907</v>
      </c>
      <c r="C1360" s="32" t="s">
        <v>2931</v>
      </c>
      <c r="D1360" s="32" t="s">
        <v>64</v>
      </c>
      <c r="E1360" s="32" t="s">
        <v>2932</v>
      </c>
      <c r="F1360" s="32" t="s">
        <v>2906</v>
      </c>
      <c r="G1360" s="33">
        <v>1050</v>
      </c>
      <c r="H1360" s="34">
        <v>0.63600000000000001</v>
      </c>
      <c r="I1360" s="31">
        <v>137260</v>
      </c>
      <c r="J1360" s="35" t="s">
        <v>805</v>
      </c>
      <c r="K1360" s="36">
        <v>2022</v>
      </c>
    </row>
    <row r="1361" spans="1:11" ht="15" customHeight="1" x14ac:dyDescent="0.3">
      <c r="A1361" s="37">
        <v>1356</v>
      </c>
      <c r="B1361" s="38" t="s">
        <v>2907</v>
      </c>
      <c r="C1361" s="38" t="s">
        <v>2933</v>
      </c>
      <c r="D1361" s="38" t="s">
        <v>2934</v>
      </c>
      <c r="E1361" s="38" t="s">
        <v>2935</v>
      </c>
      <c r="F1361" s="38" t="s">
        <v>2906</v>
      </c>
      <c r="G1361" s="39">
        <v>167</v>
      </c>
      <c r="H1361" s="40">
        <v>0.35499999999999998</v>
      </c>
      <c r="I1361" s="37">
        <v>275260</v>
      </c>
      <c r="J1361" s="41" t="s">
        <v>805</v>
      </c>
      <c r="K1361" s="42">
        <v>2022</v>
      </c>
    </row>
    <row r="1362" spans="1:11" ht="15" customHeight="1" x14ac:dyDescent="0.3">
      <c r="A1362" s="31">
        <v>1357</v>
      </c>
      <c r="B1362" s="32" t="s">
        <v>2907</v>
      </c>
      <c r="C1362" s="32" t="s">
        <v>2936</v>
      </c>
      <c r="D1362" s="32" t="s">
        <v>2937</v>
      </c>
      <c r="E1362" s="32" t="s">
        <v>2938</v>
      </c>
      <c r="F1362" s="32" t="s">
        <v>1717</v>
      </c>
      <c r="G1362" s="33">
        <v>865</v>
      </c>
      <c r="H1362" s="34">
        <v>5.8710000000000004</v>
      </c>
      <c r="I1362" s="31">
        <v>273000</v>
      </c>
      <c r="J1362" s="35" t="s">
        <v>805</v>
      </c>
      <c r="K1362" s="36">
        <v>2022</v>
      </c>
    </row>
    <row r="1363" spans="1:11" ht="15" customHeight="1" x14ac:dyDescent="0.3">
      <c r="A1363" s="37">
        <v>1358</v>
      </c>
      <c r="B1363" s="38" t="s">
        <v>2907</v>
      </c>
      <c r="C1363" s="38" t="s">
        <v>2939</v>
      </c>
      <c r="D1363" s="38" t="s">
        <v>2940</v>
      </c>
      <c r="E1363" s="38" t="s">
        <v>2941</v>
      </c>
      <c r="F1363" s="38" t="s">
        <v>316</v>
      </c>
      <c r="G1363" s="39">
        <v>908</v>
      </c>
      <c r="H1363" s="40">
        <v>2.5</v>
      </c>
      <c r="I1363" s="37">
        <v>191260</v>
      </c>
      <c r="J1363" s="41" t="s">
        <v>805</v>
      </c>
      <c r="K1363" s="42">
        <v>2022</v>
      </c>
    </row>
    <row r="1364" spans="1:11" ht="15" customHeight="1" x14ac:dyDescent="0.3">
      <c r="A1364" s="31">
        <v>1359</v>
      </c>
      <c r="B1364" s="32" t="s">
        <v>2907</v>
      </c>
      <c r="C1364" s="32" t="s">
        <v>2942</v>
      </c>
      <c r="D1364" s="32" t="s">
        <v>36</v>
      </c>
      <c r="E1364" s="32" t="s">
        <v>2943</v>
      </c>
      <c r="F1364" s="32" t="s">
        <v>316</v>
      </c>
      <c r="G1364" s="33">
        <v>1752</v>
      </c>
      <c r="H1364" s="34">
        <v>1.796</v>
      </c>
      <c r="I1364" s="31">
        <v>163260</v>
      </c>
      <c r="J1364" s="35" t="s">
        <v>805</v>
      </c>
      <c r="K1364" s="36">
        <v>2022</v>
      </c>
    </row>
    <row r="1365" spans="1:11" ht="15" customHeight="1" x14ac:dyDescent="0.3">
      <c r="A1365" s="37">
        <v>1360</v>
      </c>
      <c r="B1365" s="38" t="s">
        <v>2944</v>
      </c>
      <c r="C1365" s="38" t="s">
        <v>2945</v>
      </c>
      <c r="D1365" s="38" t="s">
        <v>2946</v>
      </c>
      <c r="E1365" s="38" t="s">
        <v>35</v>
      </c>
      <c r="F1365" s="38" t="s">
        <v>435</v>
      </c>
      <c r="G1365" s="39">
        <v>1596</v>
      </c>
      <c r="H1365" s="40">
        <v>3.0430000000000001</v>
      </c>
      <c r="I1365" s="37">
        <v>385800</v>
      </c>
      <c r="J1365" s="41" t="s">
        <v>920</v>
      </c>
      <c r="K1365" s="42">
        <v>2022</v>
      </c>
    </row>
    <row r="1366" spans="1:11" ht="15" customHeight="1" x14ac:dyDescent="0.3">
      <c r="A1366" s="31">
        <v>1361</v>
      </c>
      <c r="B1366" s="32" t="s">
        <v>2944</v>
      </c>
      <c r="C1366" s="32" t="s">
        <v>2947</v>
      </c>
      <c r="D1366" s="32" t="s">
        <v>2667</v>
      </c>
      <c r="E1366" s="32" t="s">
        <v>2948</v>
      </c>
      <c r="F1366" s="32" t="s">
        <v>689</v>
      </c>
      <c r="G1366" s="33">
        <v>6372</v>
      </c>
      <c r="H1366" s="34">
        <v>9.0229999999999997</v>
      </c>
      <c r="I1366" s="31">
        <v>358800</v>
      </c>
      <c r="J1366" s="35" t="s">
        <v>920</v>
      </c>
      <c r="K1366" s="36">
        <v>2022</v>
      </c>
    </row>
    <row r="1367" spans="1:11" ht="15" customHeight="1" x14ac:dyDescent="0.3">
      <c r="A1367" s="37">
        <v>1362</v>
      </c>
      <c r="B1367" s="38" t="s">
        <v>2944</v>
      </c>
      <c r="C1367" s="38" t="s">
        <v>2949</v>
      </c>
      <c r="D1367" s="38" t="s">
        <v>2950</v>
      </c>
      <c r="E1367" s="38" t="s">
        <v>2951</v>
      </c>
      <c r="F1367" s="38" t="s">
        <v>2906</v>
      </c>
      <c r="G1367" s="39">
        <v>490</v>
      </c>
      <c r="H1367" s="40">
        <v>0.48799999999999999</v>
      </c>
      <c r="I1367" s="37">
        <v>145800</v>
      </c>
      <c r="J1367" s="41" t="s">
        <v>920</v>
      </c>
      <c r="K1367" s="42">
        <v>2022</v>
      </c>
    </row>
    <row r="1368" spans="1:11" ht="15" customHeight="1" x14ac:dyDescent="0.3">
      <c r="A1368" s="31">
        <v>1363</v>
      </c>
      <c r="B1368" s="32" t="s">
        <v>2944</v>
      </c>
      <c r="C1368" s="32" t="s">
        <v>2952</v>
      </c>
      <c r="D1368" s="32" t="s">
        <v>52</v>
      </c>
      <c r="E1368" s="32" t="s">
        <v>35</v>
      </c>
      <c r="F1368" s="32" t="s">
        <v>2906</v>
      </c>
      <c r="G1368" s="33">
        <v>203</v>
      </c>
      <c r="H1368" s="34">
        <v>0.28799999999999998</v>
      </c>
      <c r="I1368" s="31">
        <v>145800</v>
      </c>
      <c r="J1368" s="35" t="s">
        <v>920</v>
      </c>
      <c r="K1368" s="36">
        <v>2022</v>
      </c>
    </row>
    <row r="1369" spans="1:11" ht="15" customHeight="1" x14ac:dyDescent="0.3">
      <c r="A1369" s="37">
        <v>1364</v>
      </c>
      <c r="B1369" s="38" t="s">
        <v>2944</v>
      </c>
      <c r="C1369" s="38" t="s">
        <v>2953</v>
      </c>
      <c r="D1369" s="38" t="s">
        <v>848</v>
      </c>
      <c r="E1369" s="38" t="s">
        <v>2935</v>
      </c>
      <c r="F1369" s="38" t="s">
        <v>2906</v>
      </c>
      <c r="G1369" s="39">
        <v>120</v>
      </c>
      <c r="H1369" s="40">
        <v>0.47299999999999998</v>
      </c>
      <c r="I1369" s="37">
        <v>145800</v>
      </c>
      <c r="J1369" s="41" t="s">
        <v>920</v>
      </c>
      <c r="K1369" s="42">
        <v>2022</v>
      </c>
    </row>
    <row r="1370" spans="1:11" ht="15" customHeight="1" x14ac:dyDescent="0.3">
      <c r="A1370" s="31">
        <v>1365</v>
      </c>
      <c r="B1370" s="32" t="s">
        <v>2944</v>
      </c>
      <c r="C1370" s="32" t="s">
        <v>2954</v>
      </c>
      <c r="D1370" s="32" t="s">
        <v>2955</v>
      </c>
      <c r="E1370" s="32" t="s">
        <v>37</v>
      </c>
      <c r="F1370" s="32" t="s">
        <v>2906</v>
      </c>
      <c r="G1370" s="33">
        <v>1103</v>
      </c>
      <c r="H1370" s="34">
        <v>3.2810000000000001</v>
      </c>
      <c r="I1370" s="31">
        <v>199800</v>
      </c>
      <c r="J1370" s="35" t="s">
        <v>920</v>
      </c>
      <c r="K1370" s="36">
        <v>2022</v>
      </c>
    </row>
    <row r="1371" spans="1:11" ht="15" customHeight="1" x14ac:dyDescent="0.3">
      <c r="A1371" s="37">
        <v>1366</v>
      </c>
      <c r="B1371" s="38" t="s">
        <v>2944</v>
      </c>
      <c r="C1371" s="38" t="s">
        <v>2956</v>
      </c>
      <c r="D1371" s="38" t="s">
        <v>56</v>
      </c>
      <c r="E1371" s="38" t="s">
        <v>41</v>
      </c>
      <c r="F1371" s="38" t="s">
        <v>316</v>
      </c>
      <c r="G1371" s="39">
        <v>627</v>
      </c>
      <c r="H1371" s="40">
        <v>1</v>
      </c>
      <c r="I1371" s="37">
        <v>145800</v>
      </c>
      <c r="J1371" s="41" t="s">
        <v>920</v>
      </c>
      <c r="K1371" s="42">
        <v>2022</v>
      </c>
    </row>
    <row r="1372" spans="1:11" ht="15" customHeight="1" x14ac:dyDescent="0.3">
      <c r="A1372" s="31">
        <v>1367</v>
      </c>
      <c r="B1372" s="32" t="s">
        <v>2944</v>
      </c>
      <c r="C1372" s="32" t="s">
        <v>2957</v>
      </c>
      <c r="D1372" s="32" t="s">
        <v>2958</v>
      </c>
      <c r="E1372" s="32" t="s">
        <v>35</v>
      </c>
      <c r="F1372" s="32" t="s">
        <v>287</v>
      </c>
      <c r="G1372" s="33">
        <v>1482</v>
      </c>
      <c r="H1372" s="34">
        <v>6.367</v>
      </c>
      <c r="I1372" s="31">
        <v>283800</v>
      </c>
      <c r="J1372" s="35" t="s">
        <v>920</v>
      </c>
      <c r="K1372" s="36">
        <v>2022</v>
      </c>
    </row>
    <row r="1373" spans="1:11" ht="15" customHeight="1" x14ac:dyDescent="0.3">
      <c r="A1373" s="37">
        <v>1368</v>
      </c>
      <c r="B1373" s="38" t="s">
        <v>2944</v>
      </c>
      <c r="C1373" s="38" t="s">
        <v>2959</v>
      </c>
      <c r="D1373" s="38" t="s">
        <v>2960</v>
      </c>
      <c r="E1373" s="38" t="s">
        <v>2961</v>
      </c>
      <c r="F1373" s="38" t="s">
        <v>2906</v>
      </c>
      <c r="G1373" s="39">
        <v>71</v>
      </c>
      <c r="H1373" s="40">
        <v>0.96</v>
      </c>
      <c r="I1373" s="37">
        <v>145800</v>
      </c>
      <c r="J1373" s="41" t="s">
        <v>920</v>
      </c>
      <c r="K1373" s="42">
        <v>2022</v>
      </c>
    </row>
    <row r="1374" spans="1:11" ht="15" customHeight="1" x14ac:dyDescent="0.3">
      <c r="A1374" s="31">
        <v>1369</v>
      </c>
      <c r="B1374" s="32" t="s">
        <v>2944</v>
      </c>
      <c r="C1374" s="32" t="s">
        <v>2962</v>
      </c>
      <c r="D1374" s="32" t="s">
        <v>2963</v>
      </c>
      <c r="E1374" s="32" t="s">
        <v>37</v>
      </c>
      <c r="F1374" s="32" t="s">
        <v>2906</v>
      </c>
      <c r="G1374" s="33">
        <v>100</v>
      </c>
      <c r="H1374" s="34">
        <v>0.72</v>
      </c>
      <c r="I1374" s="31">
        <v>145800</v>
      </c>
      <c r="J1374" s="35" t="s">
        <v>920</v>
      </c>
      <c r="K1374" s="36">
        <v>2022</v>
      </c>
    </row>
    <row r="1375" spans="1:11" ht="15" customHeight="1" x14ac:dyDescent="0.3">
      <c r="A1375" s="37">
        <v>1370</v>
      </c>
      <c r="B1375" s="38" t="s">
        <v>2944</v>
      </c>
      <c r="C1375" s="38" t="s">
        <v>2964</v>
      </c>
      <c r="D1375" s="38" t="s">
        <v>2965</v>
      </c>
      <c r="E1375" s="38" t="s">
        <v>2966</v>
      </c>
      <c r="F1375" s="38" t="s">
        <v>316</v>
      </c>
      <c r="G1375" s="39">
        <v>311</v>
      </c>
      <c r="H1375" s="40">
        <v>1.603</v>
      </c>
      <c r="I1375" s="37">
        <v>171800</v>
      </c>
      <c r="J1375" s="41" t="s">
        <v>920</v>
      </c>
      <c r="K1375" s="42">
        <v>2022</v>
      </c>
    </row>
    <row r="1376" spans="1:11" ht="15" customHeight="1" x14ac:dyDescent="0.3">
      <c r="A1376" s="31">
        <v>1371</v>
      </c>
      <c r="B1376" s="32" t="s">
        <v>2944</v>
      </c>
      <c r="C1376" s="32" t="s">
        <v>2967</v>
      </c>
      <c r="D1376" s="32" t="s">
        <v>2968</v>
      </c>
      <c r="E1376" s="32" t="s">
        <v>2969</v>
      </c>
      <c r="F1376" s="32" t="s">
        <v>287</v>
      </c>
      <c r="G1376" s="33">
        <v>3114</v>
      </c>
      <c r="H1376" s="34">
        <v>4.3920000000000003</v>
      </c>
      <c r="I1376" s="31">
        <v>225800</v>
      </c>
      <c r="J1376" s="35" t="s">
        <v>920</v>
      </c>
      <c r="K1376" s="36">
        <v>2022</v>
      </c>
    </row>
    <row r="1377" spans="1:11" ht="15" customHeight="1" x14ac:dyDescent="0.3">
      <c r="A1377" s="37">
        <v>1372</v>
      </c>
      <c r="B1377" s="38" t="s">
        <v>2944</v>
      </c>
      <c r="C1377" s="38" t="s">
        <v>2970</v>
      </c>
      <c r="D1377" s="38" t="s">
        <v>1034</v>
      </c>
      <c r="E1377" s="38" t="s">
        <v>2971</v>
      </c>
      <c r="F1377" s="38" t="s">
        <v>435</v>
      </c>
      <c r="G1377" s="39">
        <v>2301</v>
      </c>
      <c r="H1377" s="40">
        <v>9.0549999999999997</v>
      </c>
      <c r="I1377" s="37">
        <v>171800</v>
      </c>
      <c r="J1377" s="41" t="s">
        <v>920</v>
      </c>
      <c r="K1377" s="42">
        <v>2022</v>
      </c>
    </row>
    <row r="1378" spans="1:11" ht="15" customHeight="1" x14ac:dyDescent="0.3">
      <c r="A1378" s="31">
        <v>1373</v>
      </c>
      <c r="B1378" s="32" t="s">
        <v>2944</v>
      </c>
      <c r="C1378" s="32" t="s">
        <v>2972</v>
      </c>
      <c r="D1378" s="32" t="s">
        <v>56</v>
      </c>
      <c r="E1378" s="32" t="s">
        <v>37</v>
      </c>
      <c r="F1378" s="32" t="s">
        <v>287</v>
      </c>
      <c r="G1378" s="33">
        <v>808</v>
      </c>
      <c r="H1378" s="34">
        <v>1.762</v>
      </c>
      <c r="I1378" s="31">
        <v>171800</v>
      </c>
      <c r="J1378" s="35" t="s">
        <v>920</v>
      </c>
      <c r="K1378" s="36">
        <v>2022</v>
      </c>
    </row>
    <row r="1379" spans="1:11" ht="15" customHeight="1" x14ac:dyDescent="0.3">
      <c r="A1379" s="37">
        <v>1374</v>
      </c>
      <c r="B1379" s="38" t="s">
        <v>2944</v>
      </c>
      <c r="C1379" s="38" t="s">
        <v>2973</v>
      </c>
      <c r="D1379" s="38" t="s">
        <v>50</v>
      </c>
      <c r="E1379" s="38" t="s">
        <v>2974</v>
      </c>
      <c r="F1379" s="38" t="s">
        <v>2112</v>
      </c>
      <c r="G1379" s="39">
        <v>175</v>
      </c>
      <c r="H1379" s="40">
        <v>4.3</v>
      </c>
      <c r="I1379" s="37">
        <v>227800</v>
      </c>
      <c r="J1379" s="41" t="s">
        <v>920</v>
      </c>
      <c r="K1379" s="42">
        <v>2022</v>
      </c>
    </row>
    <row r="1380" spans="1:11" ht="15" customHeight="1" x14ac:dyDescent="0.3">
      <c r="A1380" s="31">
        <v>1375</v>
      </c>
      <c r="B1380" s="32" t="s">
        <v>2944</v>
      </c>
      <c r="C1380" s="32" t="s">
        <v>2975</v>
      </c>
      <c r="D1380" s="32" t="s">
        <v>50</v>
      </c>
      <c r="E1380" s="32" t="s">
        <v>2976</v>
      </c>
      <c r="F1380" s="32" t="s">
        <v>316</v>
      </c>
      <c r="G1380" s="33">
        <v>323</v>
      </c>
      <c r="H1380" s="34">
        <v>2.9329999999999998</v>
      </c>
      <c r="I1380" s="31">
        <v>199800</v>
      </c>
      <c r="J1380" s="35" t="s">
        <v>920</v>
      </c>
      <c r="K1380" s="36">
        <v>2022</v>
      </c>
    </row>
    <row r="1381" spans="1:11" ht="15" customHeight="1" x14ac:dyDescent="0.3">
      <c r="A1381" s="37">
        <v>1376</v>
      </c>
      <c r="B1381" s="38" t="s">
        <v>2977</v>
      </c>
      <c r="C1381" s="38" t="s">
        <v>2978</v>
      </c>
      <c r="D1381" s="38" t="s">
        <v>62</v>
      </c>
      <c r="E1381" s="38" t="s">
        <v>59</v>
      </c>
      <c r="F1381" s="38" t="s">
        <v>689</v>
      </c>
      <c r="G1381" s="39">
        <v>2301.2800000000002</v>
      </c>
      <c r="H1381" s="40">
        <v>5.5890000000000004</v>
      </c>
      <c r="I1381" s="37">
        <v>525260</v>
      </c>
      <c r="J1381" s="41" t="s">
        <v>920</v>
      </c>
      <c r="K1381" s="42">
        <v>2022</v>
      </c>
    </row>
    <row r="1382" spans="1:11" ht="15" customHeight="1" x14ac:dyDescent="0.3">
      <c r="A1382" s="31">
        <v>1377</v>
      </c>
      <c r="B1382" s="32" t="s">
        <v>2977</v>
      </c>
      <c r="C1382" s="32" t="s">
        <v>2979</v>
      </c>
      <c r="D1382" s="32" t="s">
        <v>2980</v>
      </c>
      <c r="E1382" s="32" t="s">
        <v>2981</v>
      </c>
      <c r="F1382" s="32" t="s">
        <v>2982</v>
      </c>
      <c r="G1382" s="33">
        <v>2552.88</v>
      </c>
      <c r="H1382" s="34">
        <v>9.7949999999999999</v>
      </c>
      <c r="I1382" s="31">
        <v>385800</v>
      </c>
      <c r="J1382" s="35" t="s">
        <v>920</v>
      </c>
      <c r="K1382" s="36">
        <v>2022</v>
      </c>
    </row>
    <row r="1383" spans="1:11" ht="15" customHeight="1" x14ac:dyDescent="0.3">
      <c r="A1383" s="37">
        <v>1378</v>
      </c>
      <c r="B1383" s="38" t="s">
        <v>2977</v>
      </c>
      <c r="C1383" s="38" t="s">
        <v>2983</v>
      </c>
      <c r="D1383" s="38" t="s">
        <v>2984</v>
      </c>
      <c r="E1383" s="38" t="s">
        <v>2985</v>
      </c>
      <c r="F1383" s="38" t="s">
        <v>2986</v>
      </c>
      <c r="G1383" s="39">
        <v>352</v>
      </c>
      <c r="H1383" s="40">
        <v>1.1830000000000001</v>
      </c>
      <c r="I1383" s="37">
        <v>143000</v>
      </c>
      <c r="J1383" s="41" t="s">
        <v>920</v>
      </c>
      <c r="K1383" s="42">
        <v>2022</v>
      </c>
    </row>
    <row r="1384" spans="1:11" ht="15" customHeight="1" x14ac:dyDescent="0.3">
      <c r="A1384" s="31">
        <v>1379</v>
      </c>
      <c r="B1384" s="32" t="s">
        <v>2878</v>
      </c>
      <c r="C1384" s="32" t="s">
        <v>2987</v>
      </c>
      <c r="D1384" s="32" t="s">
        <v>1024</v>
      </c>
      <c r="E1384" s="32" t="s">
        <v>2988</v>
      </c>
      <c r="F1384" s="32" t="s">
        <v>2906</v>
      </c>
      <c r="G1384" s="33">
        <v>550</v>
      </c>
      <c r="H1384" s="34">
        <v>1.54</v>
      </c>
      <c r="I1384" s="31">
        <v>171800</v>
      </c>
      <c r="J1384" s="35" t="s">
        <v>920</v>
      </c>
      <c r="K1384" s="36">
        <v>2022</v>
      </c>
    </row>
    <row r="1385" spans="1:11" ht="15" customHeight="1" x14ac:dyDescent="0.3">
      <c r="A1385" s="37">
        <v>1380</v>
      </c>
      <c r="B1385" s="38" t="s">
        <v>2878</v>
      </c>
      <c r="C1385" s="38" t="s">
        <v>2989</v>
      </c>
      <c r="D1385" s="38" t="s">
        <v>529</v>
      </c>
      <c r="E1385" s="38" t="s">
        <v>2990</v>
      </c>
      <c r="F1385" s="38" t="s">
        <v>2906</v>
      </c>
      <c r="G1385" s="39">
        <v>330</v>
      </c>
      <c r="H1385" s="40">
        <v>1.1499999999999999</v>
      </c>
      <c r="I1385" s="37">
        <v>145800</v>
      </c>
      <c r="J1385" s="41" t="s">
        <v>920</v>
      </c>
      <c r="K1385" s="42">
        <v>2022</v>
      </c>
    </row>
    <row r="1386" spans="1:11" ht="15" customHeight="1" x14ac:dyDescent="0.3">
      <c r="A1386" s="31">
        <v>1381</v>
      </c>
      <c r="B1386" s="32" t="s">
        <v>2878</v>
      </c>
      <c r="C1386" s="32" t="s">
        <v>2991</v>
      </c>
      <c r="D1386" s="32" t="s">
        <v>1810</v>
      </c>
      <c r="E1386" s="32" t="s">
        <v>2951</v>
      </c>
      <c r="F1386" s="32" t="s">
        <v>2906</v>
      </c>
      <c r="G1386" s="33">
        <v>1610</v>
      </c>
      <c r="H1386" s="34">
        <v>1.5860000000000001</v>
      </c>
      <c r="I1386" s="31">
        <v>171800</v>
      </c>
      <c r="J1386" s="35" t="s">
        <v>920</v>
      </c>
      <c r="K1386" s="36">
        <v>2022</v>
      </c>
    </row>
    <row r="1387" spans="1:11" ht="15" customHeight="1" x14ac:dyDescent="0.3">
      <c r="A1387" s="37">
        <v>1382</v>
      </c>
      <c r="B1387" s="38" t="s">
        <v>2878</v>
      </c>
      <c r="C1387" s="38" t="s">
        <v>2992</v>
      </c>
      <c r="D1387" s="38" t="s">
        <v>1585</v>
      </c>
      <c r="E1387" s="38" t="s">
        <v>2993</v>
      </c>
      <c r="F1387" s="38" t="s">
        <v>316</v>
      </c>
      <c r="G1387" s="39">
        <v>1055.4000000000001</v>
      </c>
      <c r="H1387" s="40">
        <v>2.3199999999999998</v>
      </c>
      <c r="I1387" s="37">
        <v>169000</v>
      </c>
      <c r="J1387" s="41" t="s">
        <v>920</v>
      </c>
      <c r="K1387" s="42">
        <v>2022</v>
      </c>
    </row>
    <row r="1388" spans="1:11" ht="15" customHeight="1" x14ac:dyDescent="0.3">
      <c r="A1388" s="31">
        <v>1383</v>
      </c>
      <c r="B1388" s="32" t="s">
        <v>2878</v>
      </c>
      <c r="C1388" s="32" t="s">
        <v>2994</v>
      </c>
      <c r="D1388" s="32" t="s">
        <v>2995</v>
      </c>
      <c r="E1388" s="32" t="s">
        <v>2996</v>
      </c>
      <c r="F1388" s="32" t="s">
        <v>2906</v>
      </c>
      <c r="G1388" s="33">
        <v>486</v>
      </c>
      <c r="H1388" s="34">
        <v>0.9</v>
      </c>
      <c r="I1388" s="31">
        <v>145800</v>
      </c>
      <c r="J1388" s="35" t="s">
        <v>920</v>
      </c>
      <c r="K1388" s="36">
        <v>2022</v>
      </c>
    </row>
    <row r="1389" spans="1:11" ht="15" customHeight="1" x14ac:dyDescent="0.3">
      <c r="A1389" s="37">
        <v>1384</v>
      </c>
      <c r="B1389" s="38" t="s">
        <v>2878</v>
      </c>
      <c r="C1389" s="38" t="s">
        <v>2997</v>
      </c>
      <c r="D1389" s="38" t="s">
        <v>2998</v>
      </c>
      <c r="E1389" s="38" t="s">
        <v>2999</v>
      </c>
      <c r="F1389" s="38" t="s">
        <v>316</v>
      </c>
      <c r="G1389" s="39">
        <v>2.2909999999999999</v>
      </c>
      <c r="H1389" s="40">
        <v>1.21</v>
      </c>
      <c r="I1389" s="37">
        <v>169000</v>
      </c>
      <c r="J1389" s="41" t="s">
        <v>920</v>
      </c>
      <c r="K1389" s="42">
        <v>2022</v>
      </c>
    </row>
    <row r="1390" spans="1:11" ht="15" customHeight="1" x14ac:dyDescent="0.3">
      <c r="A1390" s="31">
        <v>1385</v>
      </c>
      <c r="B1390" s="32" t="s">
        <v>2878</v>
      </c>
      <c r="C1390" s="32" t="s">
        <v>3000</v>
      </c>
      <c r="D1390" s="32" t="s">
        <v>2998</v>
      </c>
      <c r="E1390" s="32" t="s">
        <v>2999</v>
      </c>
      <c r="F1390" s="32" t="s">
        <v>316</v>
      </c>
      <c r="G1390" s="33">
        <v>2.2909999999999999</v>
      </c>
      <c r="H1390" s="34">
        <v>2.06</v>
      </c>
      <c r="I1390" s="31">
        <v>169000</v>
      </c>
      <c r="J1390" s="35" t="s">
        <v>920</v>
      </c>
      <c r="K1390" s="36">
        <v>2022</v>
      </c>
    </row>
    <row r="1391" spans="1:11" ht="15" customHeight="1" x14ac:dyDescent="0.3">
      <c r="A1391" s="37">
        <v>1386</v>
      </c>
      <c r="B1391" s="38" t="s">
        <v>2878</v>
      </c>
      <c r="C1391" s="38" t="s">
        <v>3001</v>
      </c>
      <c r="D1391" s="38" t="s">
        <v>3002</v>
      </c>
      <c r="E1391" s="38" t="s">
        <v>2851</v>
      </c>
      <c r="F1391" s="38" t="s">
        <v>2906</v>
      </c>
      <c r="G1391" s="39">
        <v>371.95</v>
      </c>
      <c r="H1391" s="40">
        <v>3.18</v>
      </c>
      <c r="I1391" s="37">
        <v>199800</v>
      </c>
      <c r="J1391" s="41" t="s">
        <v>920</v>
      </c>
      <c r="K1391" s="42">
        <v>2022</v>
      </c>
    </row>
    <row r="1392" spans="1:11" ht="15" customHeight="1" x14ac:dyDescent="0.3">
      <c r="A1392" s="31">
        <v>1387</v>
      </c>
      <c r="B1392" s="32" t="s">
        <v>2878</v>
      </c>
      <c r="C1392" s="32" t="s">
        <v>3003</v>
      </c>
      <c r="D1392" s="32" t="s">
        <v>3004</v>
      </c>
      <c r="E1392" s="32" t="s">
        <v>2938</v>
      </c>
      <c r="F1392" s="32" t="s">
        <v>2906</v>
      </c>
      <c r="G1392" s="33">
        <v>70</v>
      </c>
      <c r="H1392" s="34">
        <v>0.25</v>
      </c>
      <c r="I1392" s="31">
        <v>143000</v>
      </c>
      <c r="J1392" s="35" t="s">
        <v>920</v>
      </c>
      <c r="K1392" s="36">
        <v>2022</v>
      </c>
    </row>
    <row r="1393" spans="1:11" ht="15" customHeight="1" x14ac:dyDescent="0.3">
      <c r="A1393" s="37">
        <v>1388</v>
      </c>
      <c r="B1393" s="38" t="s">
        <v>2878</v>
      </c>
      <c r="C1393" s="38" t="s">
        <v>3005</v>
      </c>
      <c r="D1393" s="38" t="s">
        <v>826</v>
      </c>
      <c r="E1393" s="38" t="s">
        <v>35</v>
      </c>
      <c r="F1393" s="38" t="s">
        <v>2906</v>
      </c>
      <c r="G1393" s="39">
        <v>337</v>
      </c>
      <c r="H1393" s="40">
        <v>0.52</v>
      </c>
      <c r="I1393" s="37">
        <v>145800</v>
      </c>
      <c r="J1393" s="41" t="s">
        <v>920</v>
      </c>
      <c r="K1393" s="42">
        <v>2022</v>
      </c>
    </row>
    <row r="1394" spans="1:11" ht="15" customHeight="1" x14ac:dyDescent="0.3">
      <c r="A1394" s="31">
        <v>1389</v>
      </c>
      <c r="B1394" s="32" t="s">
        <v>2878</v>
      </c>
      <c r="C1394" s="32" t="s">
        <v>3006</v>
      </c>
      <c r="D1394" s="32" t="s">
        <v>996</v>
      </c>
      <c r="E1394" s="32" t="s">
        <v>35</v>
      </c>
      <c r="F1394" s="32" t="s">
        <v>2906</v>
      </c>
      <c r="G1394" s="33">
        <v>200</v>
      </c>
      <c r="H1394" s="34">
        <v>0.24</v>
      </c>
      <c r="I1394" s="31">
        <v>145800</v>
      </c>
      <c r="J1394" s="35" t="s">
        <v>920</v>
      </c>
      <c r="K1394" s="36">
        <v>2022</v>
      </c>
    </row>
    <row r="1395" spans="1:11" ht="15" customHeight="1" x14ac:dyDescent="0.3">
      <c r="A1395" s="37">
        <v>1390</v>
      </c>
      <c r="B1395" s="38" t="s">
        <v>2878</v>
      </c>
      <c r="C1395" s="38" t="s">
        <v>3007</v>
      </c>
      <c r="D1395" s="38" t="s">
        <v>381</v>
      </c>
      <c r="E1395" s="38" t="s">
        <v>381</v>
      </c>
      <c r="F1395" s="38" t="s">
        <v>2906</v>
      </c>
      <c r="G1395" s="39">
        <v>190</v>
      </c>
      <c r="H1395" s="40">
        <v>0.42</v>
      </c>
      <c r="I1395" s="37">
        <v>145800</v>
      </c>
      <c r="J1395" s="41" t="s">
        <v>920</v>
      </c>
      <c r="K1395" s="42">
        <v>2022</v>
      </c>
    </row>
    <row r="1396" spans="1:11" ht="15" customHeight="1" x14ac:dyDescent="0.3">
      <c r="A1396" s="31">
        <v>1391</v>
      </c>
      <c r="B1396" s="32" t="s">
        <v>2878</v>
      </c>
      <c r="C1396" s="32" t="s">
        <v>3008</v>
      </c>
      <c r="D1396" s="32" t="s">
        <v>3009</v>
      </c>
      <c r="E1396" s="32" t="s">
        <v>3010</v>
      </c>
      <c r="F1396" s="32" t="s">
        <v>2906</v>
      </c>
      <c r="G1396" s="33">
        <v>760</v>
      </c>
      <c r="H1396" s="34">
        <v>1.42</v>
      </c>
      <c r="I1396" s="31">
        <v>143000</v>
      </c>
      <c r="J1396" s="35" t="s">
        <v>920</v>
      </c>
      <c r="K1396" s="36">
        <v>2022</v>
      </c>
    </row>
    <row r="1397" spans="1:11" ht="15" customHeight="1" x14ac:dyDescent="0.3">
      <c r="A1397" s="37">
        <v>1392</v>
      </c>
      <c r="B1397" s="38" t="s">
        <v>2878</v>
      </c>
      <c r="C1397" s="38" t="s">
        <v>3011</v>
      </c>
      <c r="D1397" s="38" t="s">
        <v>1193</v>
      </c>
      <c r="E1397" s="38" t="s">
        <v>3012</v>
      </c>
      <c r="F1397" s="38" t="s">
        <v>316</v>
      </c>
      <c r="G1397" s="39">
        <v>306</v>
      </c>
      <c r="H1397" s="40">
        <v>2.46</v>
      </c>
      <c r="I1397" s="37">
        <v>171800</v>
      </c>
      <c r="J1397" s="41" t="s">
        <v>920</v>
      </c>
      <c r="K1397" s="42">
        <v>2022</v>
      </c>
    </row>
    <row r="1398" spans="1:11" ht="15" customHeight="1" x14ac:dyDescent="0.3">
      <c r="A1398" s="31">
        <v>1393</v>
      </c>
      <c r="B1398" s="32" t="s">
        <v>2878</v>
      </c>
      <c r="C1398" s="32" t="s">
        <v>3013</v>
      </c>
      <c r="D1398" s="32" t="s">
        <v>3014</v>
      </c>
      <c r="E1398" s="32" t="s">
        <v>3015</v>
      </c>
      <c r="F1398" s="32" t="s">
        <v>435</v>
      </c>
      <c r="G1398" s="33">
        <v>1.6</v>
      </c>
      <c r="H1398" s="34">
        <v>4.4400000000000004</v>
      </c>
      <c r="I1398" s="31">
        <v>227800</v>
      </c>
      <c r="J1398" s="35" t="s">
        <v>920</v>
      </c>
      <c r="K1398" s="36">
        <v>2022</v>
      </c>
    </row>
    <row r="1399" spans="1:11" ht="15" customHeight="1" x14ac:dyDescent="0.3">
      <c r="A1399" s="37">
        <v>1394</v>
      </c>
      <c r="B1399" s="38" t="s">
        <v>2878</v>
      </c>
      <c r="C1399" s="38" t="s">
        <v>3016</v>
      </c>
      <c r="D1399" s="38" t="s">
        <v>3017</v>
      </c>
      <c r="E1399" s="38" t="s">
        <v>3018</v>
      </c>
      <c r="F1399" s="38" t="s">
        <v>316</v>
      </c>
      <c r="G1399" s="39">
        <v>340</v>
      </c>
      <c r="H1399" s="40">
        <v>3.78</v>
      </c>
      <c r="I1399" s="37">
        <v>227800</v>
      </c>
      <c r="J1399" s="41" t="s">
        <v>920</v>
      </c>
      <c r="K1399" s="42">
        <v>2022</v>
      </c>
    </row>
    <row r="1400" spans="1:11" ht="15" customHeight="1" x14ac:dyDescent="0.3">
      <c r="A1400" s="31">
        <v>1395</v>
      </c>
      <c r="B1400" s="32" t="s">
        <v>2878</v>
      </c>
      <c r="C1400" s="32" t="s">
        <v>3019</v>
      </c>
      <c r="D1400" s="32" t="s">
        <v>3020</v>
      </c>
      <c r="E1400" s="32" t="s">
        <v>3021</v>
      </c>
      <c r="F1400" s="32" t="s">
        <v>402</v>
      </c>
      <c r="G1400" s="33">
        <v>2.77</v>
      </c>
      <c r="H1400" s="34">
        <v>5.23</v>
      </c>
      <c r="I1400" s="31">
        <v>255800</v>
      </c>
      <c r="J1400" s="35" t="s">
        <v>920</v>
      </c>
      <c r="K1400" s="36">
        <v>2022</v>
      </c>
    </row>
    <row r="1401" spans="1:11" ht="15" customHeight="1" x14ac:dyDescent="0.3">
      <c r="A1401" s="37">
        <v>1396</v>
      </c>
      <c r="B1401" s="38" t="s">
        <v>2878</v>
      </c>
      <c r="C1401" s="38" t="s">
        <v>3022</v>
      </c>
      <c r="D1401" s="38" t="s">
        <v>3023</v>
      </c>
      <c r="E1401" s="38" t="s">
        <v>37</v>
      </c>
      <c r="F1401" s="38" t="s">
        <v>2906</v>
      </c>
      <c r="G1401" s="39">
        <v>1.03</v>
      </c>
      <c r="H1401" s="40">
        <v>2.25</v>
      </c>
      <c r="I1401" s="37">
        <v>171800</v>
      </c>
      <c r="J1401" s="41" t="s">
        <v>920</v>
      </c>
      <c r="K1401" s="42">
        <v>2022</v>
      </c>
    </row>
    <row r="1402" spans="1:11" ht="15" customHeight="1" x14ac:dyDescent="0.3">
      <c r="A1402" s="31">
        <v>1397</v>
      </c>
      <c r="B1402" s="32" t="s">
        <v>2878</v>
      </c>
      <c r="C1402" s="32" t="s">
        <v>3024</v>
      </c>
      <c r="D1402" s="32" t="s">
        <v>2963</v>
      </c>
      <c r="E1402" s="32" t="s">
        <v>37</v>
      </c>
      <c r="F1402" s="32" t="s">
        <v>2906</v>
      </c>
      <c r="G1402" s="33">
        <v>80</v>
      </c>
      <c r="H1402" s="34">
        <v>0.12</v>
      </c>
      <c r="I1402" s="31">
        <v>145800</v>
      </c>
      <c r="J1402" s="35" t="s">
        <v>920</v>
      </c>
      <c r="K1402" s="36">
        <v>2022</v>
      </c>
    </row>
    <row r="1403" spans="1:11" ht="15" customHeight="1" x14ac:dyDescent="0.3">
      <c r="A1403" s="37">
        <v>1398</v>
      </c>
      <c r="B1403" s="38" t="s">
        <v>2878</v>
      </c>
      <c r="C1403" s="38" t="s">
        <v>3025</v>
      </c>
      <c r="D1403" s="38" t="s">
        <v>3026</v>
      </c>
      <c r="E1403" s="38" t="s">
        <v>3027</v>
      </c>
      <c r="F1403" s="38" t="s">
        <v>316</v>
      </c>
      <c r="G1403" s="39">
        <v>2.016</v>
      </c>
      <c r="H1403" s="40">
        <v>4.0999999999999996</v>
      </c>
      <c r="I1403" s="37">
        <v>227800</v>
      </c>
      <c r="J1403" s="41" t="s">
        <v>920</v>
      </c>
      <c r="K1403" s="42">
        <v>2022</v>
      </c>
    </row>
    <row r="1404" spans="1:11" ht="15" customHeight="1" x14ac:dyDescent="0.3">
      <c r="A1404" s="31">
        <v>1399</v>
      </c>
      <c r="B1404" s="32" t="s">
        <v>2878</v>
      </c>
      <c r="C1404" s="32" t="s">
        <v>3028</v>
      </c>
      <c r="D1404" s="32" t="s">
        <v>3029</v>
      </c>
      <c r="E1404" s="32" t="s">
        <v>3030</v>
      </c>
      <c r="F1404" s="32" t="s">
        <v>2906</v>
      </c>
      <c r="G1404" s="33">
        <v>241</v>
      </c>
      <c r="H1404" s="34">
        <v>1.92</v>
      </c>
      <c r="I1404" s="31">
        <v>169000</v>
      </c>
      <c r="J1404" s="35" t="s">
        <v>920</v>
      </c>
      <c r="K1404" s="36">
        <v>2022</v>
      </c>
    </row>
    <row r="1405" spans="1:11" ht="15" customHeight="1" x14ac:dyDescent="0.3">
      <c r="A1405" s="37">
        <v>1400</v>
      </c>
      <c r="B1405" s="38" t="s">
        <v>2878</v>
      </c>
      <c r="C1405" s="38" t="s">
        <v>3031</v>
      </c>
      <c r="D1405" s="38" t="s">
        <v>50</v>
      </c>
      <c r="E1405" s="38" t="s">
        <v>3032</v>
      </c>
      <c r="F1405" s="38" t="s">
        <v>402</v>
      </c>
      <c r="G1405" s="39">
        <v>935.15</v>
      </c>
      <c r="H1405" s="40">
        <v>0.77</v>
      </c>
      <c r="I1405" s="37">
        <v>145800</v>
      </c>
      <c r="J1405" s="41" t="s">
        <v>920</v>
      </c>
      <c r="K1405" s="42">
        <v>2022</v>
      </c>
    </row>
    <row r="1406" spans="1:11" ht="15" customHeight="1" x14ac:dyDescent="0.3">
      <c r="A1406" s="31">
        <v>1401</v>
      </c>
      <c r="B1406" s="32" t="s">
        <v>2878</v>
      </c>
      <c r="C1406" s="32" t="s">
        <v>3033</v>
      </c>
      <c r="D1406" s="32" t="s">
        <v>50</v>
      </c>
      <c r="E1406" s="32" t="s">
        <v>3034</v>
      </c>
      <c r="F1406" s="32" t="s">
        <v>2906</v>
      </c>
      <c r="G1406" s="33">
        <v>380</v>
      </c>
      <c r="H1406" s="34">
        <v>1.05</v>
      </c>
      <c r="I1406" s="31">
        <v>143000</v>
      </c>
      <c r="J1406" s="35" t="s">
        <v>920</v>
      </c>
      <c r="K1406" s="36">
        <v>2022</v>
      </c>
    </row>
    <row r="1407" spans="1:11" ht="15" customHeight="1" x14ac:dyDescent="0.3">
      <c r="A1407" s="37">
        <v>1402</v>
      </c>
      <c r="B1407" s="38" t="s">
        <v>2878</v>
      </c>
      <c r="C1407" s="38" t="s">
        <v>3035</v>
      </c>
      <c r="D1407" s="38" t="s">
        <v>50</v>
      </c>
      <c r="E1407" s="38" t="s">
        <v>3036</v>
      </c>
      <c r="F1407" s="38" t="s">
        <v>2906</v>
      </c>
      <c r="G1407" s="39">
        <v>109.6</v>
      </c>
      <c r="H1407" s="40">
        <v>0.38</v>
      </c>
      <c r="I1407" s="37">
        <v>143000</v>
      </c>
      <c r="J1407" s="41" t="s">
        <v>920</v>
      </c>
      <c r="K1407" s="42">
        <v>2022</v>
      </c>
    </row>
    <row r="1408" spans="1:11" ht="15" customHeight="1" x14ac:dyDescent="0.3">
      <c r="A1408" s="31">
        <v>1403</v>
      </c>
      <c r="B1408" s="32" t="s">
        <v>2878</v>
      </c>
      <c r="C1408" s="32" t="s">
        <v>3037</v>
      </c>
      <c r="D1408" s="32" t="s">
        <v>50</v>
      </c>
      <c r="E1408" s="32" t="s">
        <v>3038</v>
      </c>
      <c r="F1408" s="32" t="s">
        <v>287</v>
      </c>
      <c r="G1408" s="33">
        <v>880</v>
      </c>
      <c r="H1408" s="34">
        <v>1.1200000000000001</v>
      </c>
      <c r="I1408" s="31">
        <v>143000</v>
      </c>
      <c r="J1408" s="35" t="s">
        <v>920</v>
      </c>
      <c r="K1408" s="36">
        <v>2022</v>
      </c>
    </row>
    <row r="1409" spans="1:11" ht="15" customHeight="1" x14ac:dyDescent="0.3">
      <c r="A1409" s="37">
        <v>1404</v>
      </c>
      <c r="B1409" s="38" t="s">
        <v>2878</v>
      </c>
      <c r="C1409" s="38" t="s">
        <v>3039</v>
      </c>
      <c r="D1409" s="38" t="s">
        <v>50</v>
      </c>
      <c r="E1409" s="38" t="s">
        <v>3040</v>
      </c>
      <c r="F1409" s="38" t="s">
        <v>435</v>
      </c>
      <c r="G1409" s="39">
        <v>2.891</v>
      </c>
      <c r="H1409" s="40">
        <v>4.75</v>
      </c>
      <c r="I1409" s="37">
        <v>253000</v>
      </c>
      <c r="J1409" s="41" t="s">
        <v>920</v>
      </c>
      <c r="K1409" s="42">
        <v>2022</v>
      </c>
    </row>
    <row r="1410" spans="1:11" ht="15" customHeight="1" x14ac:dyDescent="0.3">
      <c r="A1410" s="31">
        <v>1405</v>
      </c>
      <c r="B1410" s="32" t="s">
        <v>2878</v>
      </c>
      <c r="C1410" s="32" t="s">
        <v>3041</v>
      </c>
      <c r="D1410" s="32" t="s">
        <v>3042</v>
      </c>
      <c r="E1410" s="32" t="s">
        <v>37</v>
      </c>
      <c r="F1410" s="32" t="s">
        <v>316</v>
      </c>
      <c r="G1410" s="33">
        <v>1.4390000000000001</v>
      </c>
      <c r="H1410" s="34">
        <v>3.56</v>
      </c>
      <c r="I1410" s="31">
        <v>227800</v>
      </c>
      <c r="J1410" s="35" t="s">
        <v>920</v>
      </c>
      <c r="K1410" s="36">
        <v>2022</v>
      </c>
    </row>
    <row r="1411" spans="1:11" ht="15" customHeight="1" x14ac:dyDescent="0.3">
      <c r="A1411" s="37">
        <v>1406</v>
      </c>
      <c r="B1411" s="38" t="s">
        <v>2977</v>
      </c>
      <c r="C1411" s="38" t="s">
        <v>3043</v>
      </c>
      <c r="D1411" s="38" t="s">
        <v>1585</v>
      </c>
      <c r="E1411" s="38" t="s">
        <v>2993</v>
      </c>
      <c r="F1411" s="38" t="s">
        <v>2906</v>
      </c>
      <c r="G1411" s="39">
        <v>331</v>
      </c>
      <c r="H1411" s="40">
        <v>2.5379999999999998</v>
      </c>
      <c r="I1411" s="37">
        <v>191260</v>
      </c>
      <c r="J1411" s="41" t="s">
        <v>920</v>
      </c>
      <c r="K1411" s="42">
        <v>2022</v>
      </c>
    </row>
    <row r="1412" spans="1:11" ht="15" customHeight="1" x14ac:dyDescent="0.3">
      <c r="A1412" s="31">
        <v>1407</v>
      </c>
      <c r="B1412" s="32" t="s">
        <v>2977</v>
      </c>
      <c r="C1412" s="32" t="s">
        <v>3044</v>
      </c>
      <c r="D1412" s="32" t="s">
        <v>3045</v>
      </c>
      <c r="E1412" s="32" t="s">
        <v>3040</v>
      </c>
      <c r="F1412" s="32" t="s">
        <v>689</v>
      </c>
      <c r="G1412" s="33">
        <v>4340.2</v>
      </c>
      <c r="H1412" s="34">
        <v>9.0719999999999992</v>
      </c>
      <c r="I1412" s="31">
        <v>358800</v>
      </c>
      <c r="J1412" s="35" t="s">
        <v>920</v>
      </c>
      <c r="K1412" s="36">
        <v>2022</v>
      </c>
    </row>
    <row r="1413" spans="1:11" ht="15" customHeight="1" x14ac:dyDescent="0.3">
      <c r="A1413" s="37">
        <v>1408</v>
      </c>
      <c r="B1413" s="38" t="s">
        <v>3046</v>
      </c>
      <c r="C1413" s="38" t="s">
        <v>3047</v>
      </c>
      <c r="D1413" s="38" t="s">
        <v>3048</v>
      </c>
      <c r="E1413" s="38" t="s">
        <v>35</v>
      </c>
      <c r="F1413" s="38" t="s">
        <v>2906</v>
      </c>
      <c r="G1413" s="39">
        <v>118</v>
      </c>
      <c r="H1413" s="40">
        <v>0.28899999999999998</v>
      </c>
      <c r="I1413" s="37">
        <v>145800</v>
      </c>
      <c r="J1413" s="41" t="s">
        <v>920</v>
      </c>
      <c r="K1413" s="42">
        <v>2022</v>
      </c>
    </row>
    <row r="1414" spans="1:11" ht="15" customHeight="1" x14ac:dyDescent="0.3">
      <c r="A1414" s="31">
        <v>1409</v>
      </c>
      <c r="B1414" s="32" t="s">
        <v>2977</v>
      </c>
      <c r="C1414" s="32" t="s">
        <v>3049</v>
      </c>
      <c r="D1414" s="32" t="s">
        <v>3050</v>
      </c>
      <c r="E1414" s="32" t="s">
        <v>35</v>
      </c>
      <c r="F1414" s="32" t="s">
        <v>2906</v>
      </c>
      <c r="G1414" s="33">
        <v>44</v>
      </c>
      <c r="H1414" s="34">
        <v>0.26800000000000002</v>
      </c>
      <c r="I1414" s="31">
        <v>137260</v>
      </c>
      <c r="J1414" s="35" t="s">
        <v>920</v>
      </c>
      <c r="K1414" s="36">
        <v>2022</v>
      </c>
    </row>
    <row r="1415" spans="1:11" ht="15" customHeight="1" x14ac:dyDescent="0.3">
      <c r="A1415" s="37">
        <v>1410</v>
      </c>
      <c r="B1415" s="38" t="s">
        <v>2977</v>
      </c>
      <c r="C1415" s="38" t="s">
        <v>3051</v>
      </c>
      <c r="D1415" s="38" t="s">
        <v>3052</v>
      </c>
      <c r="E1415" s="38" t="s">
        <v>857</v>
      </c>
      <c r="F1415" s="38" t="s">
        <v>435</v>
      </c>
      <c r="G1415" s="39">
        <v>479</v>
      </c>
      <c r="H1415" s="40">
        <v>2.44</v>
      </c>
      <c r="I1415" s="37">
        <v>163260</v>
      </c>
      <c r="J1415" s="41" t="s">
        <v>920</v>
      </c>
      <c r="K1415" s="42">
        <v>2022</v>
      </c>
    </row>
    <row r="1416" spans="1:11" ht="15" customHeight="1" x14ac:dyDescent="0.3">
      <c r="A1416" s="31">
        <v>1411</v>
      </c>
      <c r="B1416" s="32" t="s">
        <v>2977</v>
      </c>
      <c r="C1416" s="32" t="s">
        <v>3053</v>
      </c>
      <c r="D1416" s="32" t="s">
        <v>3054</v>
      </c>
      <c r="E1416" s="32" t="s">
        <v>45</v>
      </c>
      <c r="F1416" s="32" t="s">
        <v>2906</v>
      </c>
      <c r="G1416" s="33">
        <v>119</v>
      </c>
      <c r="H1416" s="34">
        <v>0.96</v>
      </c>
      <c r="I1416" s="31">
        <v>137260</v>
      </c>
      <c r="J1416" s="35" t="s">
        <v>920</v>
      </c>
      <c r="K1416" s="36">
        <v>2022</v>
      </c>
    </row>
    <row r="1417" spans="1:11" ht="15" customHeight="1" x14ac:dyDescent="0.3">
      <c r="A1417" s="37">
        <v>1412</v>
      </c>
      <c r="B1417" s="38" t="s">
        <v>2977</v>
      </c>
      <c r="C1417" s="38" t="s">
        <v>3055</v>
      </c>
      <c r="D1417" s="38" t="s">
        <v>3056</v>
      </c>
      <c r="E1417" s="38" t="s">
        <v>3057</v>
      </c>
      <c r="F1417" s="38" t="s">
        <v>741</v>
      </c>
      <c r="G1417" s="39">
        <v>161</v>
      </c>
      <c r="H1417" s="40">
        <v>0.86</v>
      </c>
      <c r="I1417" s="37">
        <v>143000</v>
      </c>
      <c r="J1417" s="41" t="s">
        <v>920</v>
      </c>
      <c r="K1417" s="42">
        <v>2022</v>
      </c>
    </row>
    <row r="1418" spans="1:11" ht="15" customHeight="1" x14ac:dyDescent="0.3">
      <c r="A1418" s="31">
        <v>1413</v>
      </c>
      <c r="B1418" s="32" t="s">
        <v>2977</v>
      </c>
      <c r="C1418" s="32" t="s">
        <v>3058</v>
      </c>
      <c r="D1418" s="32" t="s">
        <v>3059</v>
      </c>
      <c r="E1418" s="32" t="s">
        <v>3060</v>
      </c>
      <c r="F1418" s="32" t="s">
        <v>287</v>
      </c>
      <c r="G1418" s="33">
        <v>1880.5</v>
      </c>
      <c r="H1418" s="34">
        <v>4.5830000000000002</v>
      </c>
      <c r="I1418" s="31">
        <v>255800</v>
      </c>
      <c r="J1418" s="35" t="s">
        <v>920</v>
      </c>
      <c r="K1418" s="36">
        <v>2022</v>
      </c>
    </row>
    <row r="1419" spans="1:11" ht="15" customHeight="1" x14ac:dyDescent="0.3">
      <c r="A1419" s="37">
        <v>1414</v>
      </c>
      <c r="B1419" s="38" t="s">
        <v>2977</v>
      </c>
      <c r="C1419" s="38" t="s">
        <v>3061</v>
      </c>
      <c r="D1419" s="38" t="s">
        <v>3062</v>
      </c>
      <c r="E1419" s="38" t="s">
        <v>3063</v>
      </c>
      <c r="F1419" s="38" t="s">
        <v>316</v>
      </c>
      <c r="G1419" s="39">
        <v>1100</v>
      </c>
      <c r="H1419" s="40">
        <v>10.432</v>
      </c>
      <c r="I1419" s="37">
        <v>377260</v>
      </c>
      <c r="J1419" s="41" t="s">
        <v>920</v>
      </c>
      <c r="K1419" s="42">
        <v>2022</v>
      </c>
    </row>
    <row r="1420" spans="1:11" ht="15" customHeight="1" x14ac:dyDescent="0.3">
      <c r="A1420" s="31">
        <v>1415</v>
      </c>
      <c r="B1420" s="32" t="s">
        <v>2977</v>
      </c>
      <c r="C1420" s="32" t="s">
        <v>3064</v>
      </c>
      <c r="D1420" s="32" t="s">
        <v>3065</v>
      </c>
      <c r="E1420" s="32" t="s">
        <v>3066</v>
      </c>
      <c r="F1420" s="32" t="s">
        <v>2906</v>
      </c>
      <c r="G1420" s="33">
        <v>92.65</v>
      </c>
      <c r="H1420" s="34">
        <v>0.89300000000000002</v>
      </c>
      <c r="I1420" s="31">
        <v>143000</v>
      </c>
      <c r="J1420" s="35" t="s">
        <v>920</v>
      </c>
      <c r="K1420" s="36">
        <v>2022</v>
      </c>
    </row>
    <row r="1421" spans="1:11" ht="15" customHeight="1" x14ac:dyDescent="0.3">
      <c r="A1421" s="37">
        <v>1416</v>
      </c>
      <c r="B1421" s="38" t="s">
        <v>2977</v>
      </c>
      <c r="C1421" s="38" t="s">
        <v>3067</v>
      </c>
      <c r="D1421" s="38" t="s">
        <v>3068</v>
      </c>
      <c r="E1421" s="38" t="s">
        <v>45</v>
      </c>
      <c r="F1421" s="38" t="s">
        <v>2906</v>
      </c>
      <c r="G1421" s="39">
        <v>118</v>
      </c>
      <c r="H1421" s="40">
        <v>8.343</v>
      </c>
      <c r="I1421" s="37">
        <v>323260</v>
      </c>
      <c r="J1421" s="41" t="s">
        <v>920</v>
      </c>
      <c r="K1421" s="42">
        <v>2022</v>
      </c>
    </row>
    <row r="1422" spans="1:11" ht="15" customHeight="1" x14ac:dyDescent="0.3">
      <c r="A1422" s="31">
        <v>1417</v>
      </c>
      <c r="B1422" s="32" t="s">
        <v>2977</v>
      </c>
      <c r="C1422" s="32" t="s">
        <v>3069</v>
      </c>
      <c r="D1422" s="32" t="s">
        <v>3070</v>
      </c>
      <c r="E1422" s="32" t="s">
        <v>3071</v>
      </c>
      <c r="F1422" s="32" t="s">
        <v>287</v>
      </c>
      <c r="G1422" s="33">
        <v>1543.7</v>
      </c>
      <c r="H1422" s="34">
        <v>3.0150000000000001</v>
      </c>
      <c r="I1422" s="31">
        <v>189000</v>
      </c>
      <c r="J1422" s="35" t="s">
        <v>920</v>
      </c>
      <c r="K1422" s="36">
        <v>2022</v>
      </c>
    </row>
    <row r="1423" spans="1:11" ht="15" customHeight="1" x14ac:dyDescent="0.3">
      <c r="A1423" s="37">
        <v>1418</v>
      </c>
      <c r="B1423" s="38" t="s">
        <v>2977</v>
      </c>
      <c r="C1423" s="38" t="s">
        <v>3072</v>
      </c>
      <c r="D1423" s="38" t="s">
        <v>3073</v>
      </c>
      <c r="E1423" s="38" t="s">
        <v>41</v>
      </c>
      <c r="F1423" s="38" t="s">
        <v>316</v>
      </c>
      <c r="G1423" s="39">
        <v>1840</v>
      </c>
      <c r="H1423" s="40">
        <v>2.86</v>
      </c>
      <c r="I1423" s="37">
        <v>191260</v>
      </c>
      <c r="J1423" s="41" t="s">
        <v>920</v>
      </c>
      <c r="K1423" s="42">
        <v>2022</v>
      </c>
    </row>
    <row r="1424" spans="1:11" ht="15" customHeight="1" x14ac:dyDescent="0.3">
      <c r="A1424" s="31">
        <v>1419</v>
      </c>
      <c r="B1424" s="32" t="s">
        <v>2977</v>
      </c>
      <c r="C1424" s="32" t="s">
        <v>3074</v>
      </c>
      <c r="D1424" s="32" t="s">
        <v>3075</v>
      </c>
      <c r="E1424" s="32" t="s">
        <v>45</v>
      </c>
      <c r="F1424" s="32" t="s">
        <v>2159</v>
      </c>
      <c r="G1424" s="33">
        <v>2000</v>
      </c>
      <c r="H1424" s="34">
        <v>4.4420000000000002</v>
      </c>
      <c r="I1424" s="31">
        <v>219260</v>
      </c>
      <c r="J1424" s="35" t="s">
        <v>920</v>
      </c>
      <c r="K1424" s="36">
        <v>2022</v>
      </c>
    </row>
    <row r="1425" spans="1:11" ht="15" customHeight="1" x14ac:dyDescent="0.3">
      <c r="A1425" s="37">
        <v>1420</v>
      </c>
      <c r="B1425" s="38" t="s">
        <v>2977</v>
      </c>
      <c r="C1425" s="38" t="s">
        <v>3076</v>
      </c>
      <c r="D1425" s="38" t="s">
        <v>3077</v>
      </c>
      <c r="E1425" s="38" t="s">
        <v>3078</v>
      </c>
      <c r="F1425" s="38" t="s">
        <v>3079</v>
      </c>
      <c r="G1425" s="39">
        <v>1538.999</v>
      </c>
      <c r="H1425" s="40">
        <v>9.0269999999999992</v>
      </c>
      <c r="I1425" s="37">
        <v>350260</v>
      </c>
      <c r="J1425" s="41" t="s">
        <v>920</v>
      </c>
      <c r="K1425" s="42">
        <v>2022</v>
      </c>
    </row>
    <row r="1426" spans="1:11" ht="15" customHeight="1" x14ac:dyDescent="0.3">
      <c r="A1426" s="31">
        <v>1421</v>
      </c>
      <c r="B1426" s="32" t="s">
        <v>2977</v>
      </c>
      <c r="C1426" s="32" t="s">
        <v>3080</v>
      </c>
      <c r="D1426" s="32" t="s">
        <v>50</v>
      </c>
      <c r="E1426" s="32" t="s">
        <v>3081</v>
      </c>
      <c r="F1426" s="32" t="s">
        <v>3082</v>
      </c>
      <c r="G1426" s="33">
        <v>2279</v>
      </c>
      <c r="H1426" s="34">
        <v>4.3899999999999997</v>
      </c>
      <c r="I1426" s="31">
        <v>227800</v>
      </c>
      <c r="J1426" s="35" t="s">
        <v>920</v>
      </c>
      <c r="K1426" s="36">
        <v>2022</v>
      </c>
    </row>
    <row r="1427" spans="1:11" ht="15" customHeight="1" x14ac:dyDescent="0.3">
      <c r="A1427" s="37">
        <v>1422</v>
      </c>
      <c r="B1427" s="38" t="s">
        <v>2488</v>
      </c>
      <c r="C1427" s="38" t="s">
        <v>3083</v>
      </c>
      <c r="D1427" s="38" t="s">
        <v>50</v>
      </c>
      <c r="E1427" s="38" t="s">
        <v>3084</v>
      </c>
      <c r="F1427" s="38" t="s">
        <v>2906</v>
      </c>
      <c r="G1427" s="39">
        <v>219.2</v>
      </c>
      <c r="H1427" s="40">
        <v>0.75</v>
      </c>
      <c r="I1427" s="37">
        <v>143000</v>
      </c>
      <c r="J1427" s="41" t="s">
        <v>1006</v>
      </c>
      <c r="K1427" s="42">
        <v>2022</v>
      </c>
    </row>
    <row r="1428" spans="1:11" ht="15" customHeight="1" x14ac:dyDescent="0.3">
      <c r="A1428" s="31">
        <v>1423</v>
      </c>
      <c r="B1428" s="32" t="s">
        <v>2488</v>
      </c>
      <c r="C1428" s="32" t="s">
        <v>3085</v>
      </c>
      <c r="D1428" s="32" t="s">
        <v>3086</v>
      </c>
      <c r="E1428" s="32" t="s">
        <v>3087</v>
      </c>
      <c r="F1428" s="32" t="s">
        <v>316</v>
      </c>
      <c r="G1428" s="33">
        <v>650</v>
      </c>
      <c r="H1428" s="34">
        <v>7.33</v>
      </c>
      <c r="I1428" s="31">
        <v>311800</v>
      </c>
      <c r="J1428" s="35" t="s">
        <v>1006</v>
      </c>
      <c r="K1428" s="36">
        <v>2022</v>
      </c>
    </row>
    <row r="1429" spans="1:11" ht="15" customHeight="1" x14ac:dyDescent="0.3">
      <c r="A1429" s="37">
        <v>1424</v>
      </c>
      <c r="B1429" s="38" t="s">
        <v>2488</v>
      </c>
      <c r="C1429" s="38" t="s">
        <v>3088</v>
      </c>
      <c r="D1429" s="38" t="s">
        <v>50</v>
      </c>
      <c r="E1429" s="38" t="s">
        <v>3084</v>
      </c>
      <c r="F1429" s="38" t="s">
        <v>3089</v>
      </c>
      <c r="G1429" s="39">
        <v>2.8340000000000001</v>
      </c>
      <c r="H1429" s="40">
        <v>5.43</v>
      </c>
      <c r="I1429" s="37">
        <v>255800</v>
      </c>
      <c r="J1429" s="41" t="s">
        <v>1006</v>
      </c>
      <c r="K1429" s="42">
        <v>2022</v>
      </c>
    </row>
    <row r="1430" spans="1:11" ht="15" customHeight="1" x14ac:dyDescent="0.3">
      <c r="A1430" s="31">
        <v>1425</v>
      </c>
      <c r="B1430" s="32" t="s">
        <v>2488</v>
      </c>
      <c r="C1430" s="32" t="s">
        <v>3090</v>
      </c>
      <c r="D1430" s="32" t="s">
        <v>3091</v>
      </c>
      <c r="E1430" s="32" t="s">
        <v>37</v>
      </c>
      <c r="F1430" s="32" t="s">
        <v>3092</v>
      </c>
      <c r="G1430" s="33">
        <v>1966</v>
      </c>
      <c r="H1430" s="34">
        <v>2.7</v>
      </c>
      <c r="I1430" s="31">
        <v>199800</v>
      </c>
      <c r="J1430" s="35" t="s">
        <v>1006</v>
      </c>
      <c r="K1430" s="36">
        <v>2022</v>
      </c>
    </row>
    <row r="1431" spans="1:11" ht="15" customHeight="1" x14ac:dyDescent="0.3">
      <c r="A1431" s="37">
        <v>1426</v>
      </c>
      <c r="B1431" s="38" t="s">
        <v>2488</v>
      </c>
      <c r="C1431" s="38" t="s">
        <v>3093</v>
      </c>
      <c r="D1431" s="38" t="s">
        <v>3094</v>
      </c>
      <c r="E1431" s="38" t="s">
        <v>3095</v>
      </c>
      <c r="F1431" s="38" t="s">
        <v>3096</v>
      </c>
      <c r="G1431" s="39">
        <v>1.27</v>
      </c>
      <c r="H1431" s="40">
        <v>4.07</v>
      </c>
      <c r="I1431" s="37">
        <v>225000</v>
      </c>
      <c r="J1431" s="41" t="s">
        <v>1006</v>
      </c>
      <c r="K1431" s="42">
        <v>2022</v>
      </c>
    </row>
    <row r="1432" spans="1:11" ht="15" customHeight="1" x14ac:dyDescent="0.3">
      <c r="A1432" s="31">
        <v>1427</v>
      </c>
      <c r="B1432" s="32" t="s">
        <v>2488</v>
      </c>
      <c r="C1432" s="32" t="s">
        <v>3097</v>
      </c>
      <c r="D1432" s="32" t="s">
        <v>3098</v>
      </c>
      <c r="E1432" s="32" t="s">
        <v>37</v>
      </c>
      <c r="F1432" s="32" t="s">
        <v>3099</v>
      </c>
      <c r="G1432" s="33">
        <v>2.19</v>
      </c>
      <c r="H1432" s="34">
        <v>4.9000000000000004</v>
      </c>
      <c r="I1432" s="31">
        <v>255800</v>
      </c>
      <c r="J1432" s="35" t="s">
        <v>1006</v>
      </c>
      <c r="K1432" s="36">
        <v>2022</v>
      </c>
    </row>
    <row r="1433" spans="1:11" ht="15" customHeight="1" x14ac:dyDescent="0.3">
      <c r="A1433" s="37">
        <v>1428</v>
      </c>
      <c r="B1433" s="38" t="s">
        <v>3100</v>
      </c>
      <c r="C1433" s="38" t="s">
        <v>3101</v>
      </c>
      <c r="D1433" s="38" t="s">
        <v>1574</v>
      </c>
      <c r="E1433" s="38" t="s">
        <v>35</v>
      </c>
      <c r="F1433" s="38" t="s">
        <v>1135</v>
      </c>
      <c r="G1433" s="39">
        <v>4950</v>
      </c>
      <c r="H1433" s="40">
        <v>4.95</v>
      </c>
      <c r="I1433" s="37">
        <v>255800</v>
      </c>
      <c r="J1433" s="41" t="s">
        <v>1006</v>
      </c>
      <c r="K1433" s="42">
        <v>2022</v>
      </c>
    </row>
    <row r="1434" spans="1:11" ht="15" customHeight="1" x14ac:dyDescent="0.3">
      <c r="A1434" s="31">
        <v>1429</v>
      </c>
      <c r="B1434" s="32" t="s">
        <v>3100</v>
      </c>
      <c r="C1434" s="32" t="s">
        <v>3102</v>
      </c>
      <c r="D1434" s="32" t="s">
        <v>3045</v>
      </c>
      <c r="E1434" s="32" t="s">
        <v>1415</v>
      </c>
      <c r="F1434" s="32" t="s">
        <v>402</v>
      </c>
      <c r="G1434" s="33">
        <v>2636</v>
      </c>
      <c r="H1434" s="34">
        <v>4</v>
      </c>
      <c r="I1434" s="31">
        <v>169000</v>
      </c>
      <c r="J1434" s="35" t="s">
        <v>1006</v>
      </c>
      <c r="K1434" s="36">
        <v>2022</v>
      </c>
    </row>
    <row r="1435" spans="1:11" ht="15" customHeight="1" x14ac:dyDescent="0.3">
      <c r="A1435" s="37">
        <v>1430</v>
      </c>
      <c r="B1435" s="38" t="s">
        <v>3100</v>
      </c>
      <c r="C1435" s="38" t="s">
        <v>3103</v>
      </c>
      <c r="D1435" s="38" t="s">
        <v>3104</v>
      </c>
      <c r="E1435" s="38" t="s">
        <v>541</v>
      </c>
      <c r="F1435" s="38" t="s">
        <v>435</v>
      </c>
      <c r="G1435" s="39">
        <v>902</v>
      </c>
      <c r="H1435" s="40">
        <v>4.07</v>
      </c>
      <c r="I1435" s="37">
        <v>227800</v>
      </c>
      <c r="J1435" s="41" t="s">
        <v>1006</v>
      </c>
      <c r="K1435" s="42">
        <v>2022</v>
      </c>
    </row>
    <row r="1436" spans="1:11" ht="15" customHeight="1" x14ac:dyDescent="0.3">
      <c r="A1436" s="31">
        <v>1431</v>
      </c>
      <c r="B1436" s="32" t="s">
        <v>3100</v>
      </c>
      <c r="C1436" s="32" t="s">
        <v>3105</v>
      </c>
      <c r="D1436" s="32" t="s">
        <v>52</v>
      </c>
      <c r="E1436" s="32" t="s">
        <v>37</v>
      </c>
      <c r="F1436" s="32" t="s">
        <v>316</v>
      </c>
      <c r="G1436" s="33">
        <v>250</v>
      </c>
      <c r="H1436" s="34">
        <v>1.1759999999999999</v>
      </c>
      <c r="I1436" s="31">
        <v>145800</v>
      </c>
      <c r="J1436" s="35" t="s">
        <v>1006</v>
      </c>
      <c r="K1436" s="36">
        <v>2022</v>
      </c>
    </row>
    <row r="1437" spans="1:11" ht="15" customHeight="1" x14ac:dyDescent="0.3">
      <c r="A1437" s="37">
        <v>1432</v>
      </c>
      <c r="B1437" s="38" t="s">
        <v>3100</v>
      </c>
      <c r="C1437" s="38" t="s">
        <v>3106</v>
      </c>
      <c r="D1437" s="38" t="s">
        <v>3107</v>
      </c>
      <c r="E1437" s="38" t="s">
        <v>3107</v>
      </c>
      <c r="F1437" s="38" t="s">
        <v>2906</v>
      </c>
      <c r="G1437" s="39">
        <v>570</v>
      </c>
      <c r="H1437" s="40">
        <v>0.54700000000000004</v>
      </c>
      <c r="I1437" s="37">
        <v>145800</v>
      </c>
      <c r="J1437" s="41" t="s">
        <v>1006</v>
      </c>
      <c r="K1437" s="42">
        <v>2022</v>
      </c>
    </row>
    <row r="1438" spans="1:11" ht="15" customHeight="1" x14ac:dyDescent="0.3">
      <c r="A1438" s="31">
        <v>1433</v>
      </c>
      <c r="B1438" s="32" t="s">
        <v>3100</v>
      </c>
      <c r="C1438" s="32" t="s">
        <v>3108</v>
      </c>
      <c r="D1438" s="32" t="s">
        <v>528</v>
      </c>
      <c r="E1438" s="32" t="s">
        <v>529</v>
      </c>
      <c r="F1438" s="32" t="s">
        <v>316</v>
      </c>
      <c r="G1438" s="33">
        <v>1395</v>
      </c>
      <c r="H1438" s="34">
        <v>2.5630000000000002</v>
      </c>
      <c r="I1438" s="31">
        <v>199800</v>
      </c>
      <c r="J1438" s="35" t="s">
        <v>1006</v>
      </c>
      <c r="K1438" s="36">
        <v>2022</v>
      </c>
    </row>
    <row r="1439" spans="1:11" ht="15" customHeight="1" x14ac:dyDescent="0.3">
      <c r="A1439" s="37">
        <v>1434</v>
      </c>
      <c r="B1439" s="38" t="s">
        <v>3100</v>
      </c>
      <c r="C1439" s="38" t="s">
        <v>3109</v>
      </c>
      <c r="D1439" s="38" t="s">
        <v>3110</v>
      </c>
      <c r="E1439" s="38" t="s">
        <v>1746</v>
      </c>
      <c r="F1439" s="38" t="s">
        <v>386</v>
      </c>
      <c r="G1439" s="39">
        <v>996</v>
      </c>
      <c r="H1439" s="40">
        <v>2.3919999999999999</v>
      </c>
      <c r="I1439" s="37">
        <v>169000</v>
      </c>
      <c r="J1439" s="41" t="s">
        <v>1006</v>
      </c>
      <c r="K1439" s="42">
        <v>2022</v>
      </c>
    </row>
    <row r="1440" spans="1:11" ht="15" customHeight="1" x14ac:dyDescent="0.3">
      <c r="A1440" s="31">
        <v>1435</v>
      </c>
      <c r="B1440" s="32" t="s">
        <v>3100</v>
      </c>
      <c r="C1440" s="32" t="s">
        <v>3111</v>
      </c>
      <c r="D1440" s="32" t="s">
        <v>3112</v>
      </c>
      <c r="E1440" s="32" t="s">
        <v>499</v>
      </c>
      <c r="F1440" s="32" t="s">
        <v>2906</v>
      </c>
      <c r="G1440" s="33">
        <v>393.2</v>
      </c>
      <c r="H1440" s="34">
        <v>1.526</v>
      </c>
      <c r="I1440" s="31">
        <v>171800</v>
      </c>
      <c r="J1440" s="35" t="s">
        <v>1006</v>
      </c>
      <c r="K1440" s="36">
        <v>2022</v>
      </c>
    </row>
    <row r="1441" spans="1:11" ht="15" customHeight="1" x14ac:dyDescent="0.3">
      <c r="A1441" s="37">
        <v>1436</v>
      </c>
      <c r="B1441" s="38" t="s">
        <v>3100</v>
      </c>
      <c r="C1441" s="38" t="s">
        <v>3113</v>
      </c>
      <c r="D1441" s="38" t="s">
        <v>50</v>
      </c>
      <c r="E1441" s="38" t="s">
        <v>3084</v>
      </c>
      <c r="F1441" s="38" t="s">
        <v>2906</v>
      </c>
      <c r="G1441" s="39">
        <v>750</v>
      </c>
      <c r="H1441" s="40">
        <v>1.512</v>
      </c>
      <c r="I1441" s="37">
        <v>171800</v>
      </c>
      <c r="J1441" s="41" t="s">
        <v>1006</v>
      </c>
      <c r="K1441" s="42">
        <v>2022</v>
      </c>
    </row>
    <row r="1442" spans="1:11" ht="15" customHeight="1" x14ac:dyDescent="0.3">
      <c r="A1442" s="31">
        <v>1437</v>
      </c>
      <c r="B1442" s="32" t="s">
        <v>3100</v>
      </c>
      <c r="C1442" s="32" t="s">
        <v>3114</v>
      </c>
      <c r="D1442" s="32" t="s">
        <v>3115</v>
      </c>
      <c r="E1442" s="32" t="s">
        <v>3116</v>
      </c>
      <c r="F1442" s="32" t="s">
        <v>2906</v>
      </c>
      <c r="G1442" s="33">
        <v>443</v>
      </c>
      <c r="H1442" s="34">
        <v>1.3440000000000001</v>
      </c>
      <c r="I1442" s="31">
        <v>145800</v>
      </c>
      <c r="J1442" s="35" t="s">
        <v>1006</v>
      </c>
      <c r="K1442" s="36">
        <v>2022</v>
      </c>
    </row>
    <row r="1443" spans="1:11" ht="15" customHeight="1" x14ac:dyDescent="0.3">
      <c r="A1443" s="37">
        <v>1438</v>
      </c>
      <c r="B1443" s="38" t="s">
        <v>3100</v>
      </c>
      <c r="C1443" s="38" t="s">
        <v>3117</v>
      </c>
      <c r="D1443" s="38" t="s">
        <v>3118</v>
      </c>
      <c r="E1443" s="38" t="s">
        <v>3119</v>
      </c>
      <c r="F1443" s="38" t="s">
        <v>3120</v>
      </c>
      <c r="G1443" s="39">
        <v>345</v>
      </c>
      <c r="H1443" s="40">
        <v>1.296</v>
      </c>
      <c r="I1443" s="37">
        <v>145800</v>
      </c>
      <c r="J1443" s="41" t="s">
        <v>1006</v>
      </c>
      <c r="K1443" s="42">
        <v>2022</v>
      </c>
    </row>
    <row r="1444" spans="1:11" ht="15" customHeight="1" x14ac:dyDescent="0.3">
      <c r="A1444" s="31">
        <v>1439</v>
      </c>
      <c r="B1444" s="32" t="s">
        <v>3121</v>
      </c>
      <c r="C1444" s="32" t="s">
        <v>3122</v>
      </c>
      <c r="D1444" s="32" t="s">
        <v>3123</v>
      </c>
      <c r="E1444" s="32" t="s">
        <v>3124</v>
      </c>
      <c r="F1444" s="32" t="s">
        <v>2906</v>
      </c>
      <c r="G1444" s="33">
        <v>614.45000000000005</v>
      </c>
      <c r="H1444" s="34">
        <v>3.2749999999999999</v>
      </c>
      <c r="I1444" s="31">
        <v>199800</v>
      </c>
      <c r="J1444" s="35" t="s">
        <v>1006</v>
      </c>
      <c r="K1444" s="36">
        <v>2022</v>
      </c>
    </row>
    <row r="1445" spans="1:11" ht="15" customHeight="1" x14ac:dyDescent="0.3">
      <c r="A1445" s="37">
        <v>1440</v>
      </c>
      <c r="B1445" s="38" t="s">
        <v>3121</v>
      </c>
      <c r="C1445" s="38" t="s">
        <v>3125</v>
      </c>
      <c r="D1445" s="38" t="s">
        <v>3126</v>
      </c>
      <c r="E1445" s="38" t="s">
        <v>454</v>
      </c>
      <c r="F1445" s="38" t="s">
        <v>3127</v>
      </c>
      <c r="G1445" s="39">
        <v>5135</v>
      </c>
      <c r="H1445" s="40">
        <v>8.75</v>
      </c>
      <c r="I1445" s="37">
        <v>358800</v>
      </c>
      <c r="J1445" s="41" t="s">
        <v>1006</v>
      </c>
      <c r="K1445" s="42">
        <v>2022</v>
      </c>
    </row>
    <row r="1446" spans="1:11" ht="15" customHeight="1" x14ac:dyDescent="0.3">
      <c r="A1446" s="31">
        <v>1441</v>
      </c>
      <c r="B1446" s="32" t="s">
        <v>3121</v>
      </c>
      <c r="C1446" s="32" t="s">
        <v>3128</v>
      </c>
      <c r="D1446" s="32" t="s">
        <v>3129</v>
      </c>
      <c r="E1446" s="32" t="s">
        <v>215</v>
      </c>
      <c r="F1446" s="32" t="s">
        <v>3130</v>
      </c>
      <c r="G1446" s="33">
        <v>932</v>
      </c>
      <c r="H1446" s="34">
        <v>7.6689999999999996</v>
      </c>
      <c r="I1446" s="31">
        <v>329000</v>
      </c>
      <c r="J1446" s="35" t="s">
        <v>1006</v>
      </c>
      <c r="K1446" s="36">
        <v>2022</v>
      </c>
    </row>
    <row r="1447" spans="1:11" ht="15" customHeight="1" x14ac:dyDescent="0.3">
      <c r="A1447" s="37">
        <v>1442</v>
      </c>
      <c r="B1447" s="38" t="s">
        <v>3121</v>
      </c>
      <c r="C1447" s="38" t="s">
        <v>3131</v>
      </c>
      <c r="D1447" s="38" t="s">
        <v>42</v>
      </c>
      <c r="E1447" s="38" t="s">
        <v>35</v>
      </c>
      <c r="F1447" s="38" t="s">
        <v>3132</v>
      </c>
      <c r="G1447" s="39">
        <v>778</v>
      </c>
      <c r="H1447" s="40">
        <v>3.84</v>
      </c>
      <c r="I1447" s="37">
        <v>255800</v>
      </c>
      <c r="J1447" s="41" t="s">
        <v>1006</v>
      </c>
      <c r="K1447" s="42">
        <v>2022</v>
      </c>
    </row>
    <row r="1448" spans="1:11" ht="15" customHeight="1" x14ac:dyDescent="0.3">
      <c r="A1448" s="31">
        <v>1443</v>
      </c>
      <c r="B1448" s="32" t="s">
        <v>3133</v>
      </c>
      <c r="C1448" s="32" t="s">
        <v>3134</v>
      </c>
      <c r="D1448" s="32" t="s">
        <v>42</v>
      </c>
      <c r="E1448" s="32" t="s">
        <v>35</v>
      </c>
      <c r="F1448" s="32" t="s">
        <v>3135</v>
      </c>
      <c r="G1448" s="33">
        <v>643</v>
      </c>
      <c r="H1448" s="34">
        <v>6.6479999999999997</v>
      </c>
      <c r="I1448" s="31">
        <v>311800</v>
      </c>
      <c r="J1448" s="35" t="s">
        <v>1006</v>
      </c>
      <c r="K1448" s="36">
        <v>2022</v>
      </c>
    </row>
    <row r="1449" spans="1:11" ht="15" customHeight="1" x14ac:dyDescent="0.3">
      <c r="A1449" s="37">
        <v>1444</v>
      </c>
      <c r="B1449" s="38" t="s">
        <v>3133</v>
      </c>
      <c r="C1449" s="38" t="s">
        <v>3136</v>
      </c>
      <c r="D1449" s="38" t="s">
        <v>3137</v>
      </c>
      <c r="E1449" s="38" t="s">
        <v>3138</v>
      </c>
      <c r="F1449" s="38" t="s">
        <v>3139</v>
      </c>
      <c r="G1449" s="39">
        <v>150</v>
      </c>
      <c r="H1449" s="40">
        <v>0.97399999999999998</v>
      </c>
      <c r="I1449" s="37">
        <v>145800</v>
      </c>
      <c r="J1449" s="41" t="s">
        <v>1006</v>
      </c>
      <c r="K1449" s="42">
        <v>2022</v>
      </c>
    </row>
    <row r="1450" spans="1:11" ht="15" customHeight="1" x14ac:dyDescent="0.3">
      <c r="A1450" s="31">
        <v>1445</v>
      </c>
      <c r="B1450" s="32" t="s">
        <v>3133</v>
      </c>
      <c r="C1450" s="32" t="s">
        <v>3140</v>
      </c>
      <c r="D1450" s="32" t="s">
        <v>715</v>
      </c>
      <c r="E1450" s="32" t="s">
        <v>3141</v>
      </c>
      <c r="F1450" s="32" t="s">
        <v>3142</v>
      </c>
      <c r="G1450" s="33">
        <v>950</v>
      </c>
      <c r="H1450" s="34">
        <v>5.7</v>
      </c>
      <c r="I1450" s="31">
        <v>281000</v>
      </c>
      <c r="J1450" s="35" t="s">
        <v>1006</v>
      </c>
      <c r="K1450" s="36">
        <v>2022</v>
      </c>
    </row>
    <row r="1451" spans="1:11" ht="15" customHeight="1" x14ac:dyDescent="0.3">
      <c r="A1451" s="37">
        <v>1446</v>
      </c>
      <c r="B1451" s="38" t="s">
        <v>3133</v>
      </c>
      <c r="C1451" s="38" t="s">
        <v>3143</v>
      </c>
      <c r="D1451" s="38" t="s">
        <v>3144</v>
      </c>
      <c r="E1451" s="38" t="s">
        <v>3145</v>
      </c>
      <c r="F1451" s="38" t="s">
        <v>3146</v>
      </c>
      <c r="G1451" s="39">
        <v>1565</v>
      </c>
      <c r="H1451" s="40">
        <v>8.3369999999999997</v>
      </c>
      <c r="I1451" s="37">
        <v>331800</v>
      </c>
      <c r="J1451" s="41" t="s">
        <v>1006</v>
      </c>
      <c r="K1451" s="42">
        <v>2022</v>
      </c>
    </row>
    <row r="1452" spans="1:11" ht="15" customHeight="1" x14ac:dyDescent="0.3">
      <c r="A1452" s="31">
        <v>1447</v>
      </c>
      <c r="B1452" s="32" t="s">
        <v>3147</v>
      </c>
      <c r="C1452" s="32" t="s">
        <v>3148</v>
      </c>
      <c r="D1452" s="32" t="s">
        <v>763</v>
      </c>
      <c r="E1452" s="32" t="s">
        <v>2820</v>
      </c>
      <c r="F1452" s="32" t="s">
        <v>287</v>
      </c>
      <c r="G1452" s="33">
        <v>1718</v>
      </c>
      <c r="H1452" s="34">
        <v>3.7690000000000001</v>
      </c>
      <c r="I1452" s="31">
        <v>225000</v>
      </c>
      <c r="J1452" s="35" t="s">
        <v>1132</v>
      </c>
      <c r="K1452" s="36">
        <v>2022</v>
      </c>
    </row>
    <row r="1453" spans="1:11" ht="15" customHeight="1" x14ac:dyDescent="0.3">
      <c r="A1453" s="37">
        <v>1448</v>
      </c>
      <c r="B1453" s="38" t="s">
        <v>3147</v>
      </c>
      <c r="C1453" s="38" t="s">
        <v>3149</v>
      </c>
      <c r="D1453" s="38" t="s">
        <v>3150</v>
      </c>
      <c r="E1453" s="38" t="s">
        <v>3151</v>
      </c>
      <c r="F1453" s="38" t="s">
        <v>2906</v>
      </c>
      <c r="G1453" s="39">
        <v>301</v>
      </c>
      <c r="H1453" s="40">
        <v>0.72</v>
      </c>
      <c r="I1453" s="37">
        <v>143000</v>
      </c>
      <c r="J1453" s="41" t="s">
        <v>1132</v>
      </c>
      <c r="K1453" s="42">
        <v>2022</v>
      </c>
    </row>
    <row r="1454" spans="1:11" ht="15" customHeight="1" x14ac:dyDescent="0.3">
      <c r="A1454" s="31">
        <v>1449</v>
      </c>
      <c r="B1454" s="32" t="s">
        <v>3147</v>
      </c>
      <c r="C1454" s="32" t="s">
        <v>3152</v>
      </c>
      <c r="D1454" s="32" t="s">
        <v>3153</v>
      </c>
      <c r="E1454" s="32" t="s">
        <v>3154</v>
      </c>
      <c r="F1454" s="32" t="s">
        <v>2906</v>
      </c>
      <c r="G1454" s="33">
        <v>420</v>
      </c>
      <c r="H1454" s="34">
        <v>4.4340000000000002</v>
      </c>
      <c r="I1454" s="31">
        <v>227000</v>
      </c>
      <c r="J1454" s="35" t="s">
        <v>1132</v>
      </c>
      <c r="K1454" s="36">
        <v>2022</v>
      </c>
    </row>
    <row r="1455" spans="1:11" ht="15" customHeight="1" x14ac:dyDescent="0.3">
      <c r="A1455" s="37">
        <v>1450</v>
      </c>
      <c r="B1455" s="38" t="s">
        <v>3147</v>
      </c>
      <c r="C1455" s="38" t="s">
        <v>3155</v>
      </c>
      <c r="D1455" s="38" t="s">
        <v>3156</v>
      </c>
      <c r="E1455" s="38" t="s">
        <v>3157</v>
      </c>
      <c r="F1455" s="38" t="s">
        <v>287</v>
      </c>
      <c r="G1455" s="39">
        <v>280</v>
      </c>
      <c r="H1455" s="40">
        <v>4.8529999999999998</v>
      </c>
      <c r="I1455" s="37">
        <v>253000</v>
      </c>
      <c r="J1455" s="41" t="s">
        <v>1132</v>
      </c>
      <c r="K1455" s="42">
        <v>2022</v>
      </c>
    </row>
    <row r="1456" spans="1:11" ht="15" customHeight="1" x14ac:dyDescent="0.3">
      <c r="A1456" s="31">
        <v>1451</v>
      </c>
      <c r="B1456" s="32" t="s">
        <v>3147</v>
      </c>
      <c r="C1456" s="32" t="s">
        <v>3158</v>
      </c>
      <c r="D1456" s="32" t="s">
        <v>3159</v>
      </c>
      <c r="E1456" s="32" t="s">
        <v>35</v>
      </c>
      <c r="F1456" s="32" t="s">
        <v>435</v>
      </c>
      <c r="G1456" s="33">
        <v>9480</v>
      </c>
      <c r="H1456" s="34">
        <v>10.308</v>
      </c>
      <c r="I1456" s="31">
        <v>385800</v>
      </c>
      <c r="J1456" s="35" t="s">
        <v>1132</v>
      </c>
      <c r="K1456" s="36">
        <v>2022</v>
      </c>
    </row>
    <row r="1457" spans="1:11" ht="15" customHeight="1" x14ac:dyDescent="0.3">
      <c r="A1457" s="37">
        <v>1452</v>
      </c>
      <c r="B1457" s="38" t="s">
        <v>3160</v>
      </c>
      <c r="C1457" s="38" t="s">
        <v>3161</v>
      </c>
      <c r="D1457" s="38" t="s">
        <v>3162</v>
      </c>
      <c r="E1457" s="38" t="s">
        <v>37</v>
      </c>
      <c r="F1457" s="38" t="s">
        <v>2906</v>
      </c>
      <c r="G1457" s="39">
        <v>555</v>
      </c>
      <c r="H1457" s="40">
        <v>0.78200000000000003</v>
      </c>
      <c r="I1457" s="37">
        <v>145800</v>
      </c>
      <c r="J1457" s="41" t="s">
        <v>1132</v>
      </c>
      <c r="K1457" s="42">
        <v>2022</v>
      </c>
    </row>
    <row r="1458" spans="1:11" ht="15" customHeight="1" x14ac:dyDescent="0.3">
      <c r="A1458" s="31">
        <v>1453</v>
      </c>
      <c r="B1458" s="32" t="s">
        <v>3160</v>
      </c>
      <c r="C1458" s="32" t="s">
        <v>3163</v>
      </c>
      <c r="D1458" s="32" t="s">
        <v>3164</v>
      </c>
      <c r="E1458" s="32" t="s">
        <v>1975</v>
      </c>
      <c r="F1458" s="32" t="s">
        <v>312</v>
      </c>
      <c r="G1458" s="33">
        <v>471</v>
      </c>
      <c r="H1458" s="34">
        <v>0.56999999999999995</v>
      </c>
      <c r="I1458" s="31">
        <v>143000</v>
      </c>
      <c r="J1458" s="35" t="s">
        <v>1132</v>
      </c>
      <c r="K1458" s="36">
        <v>2022</v>
      </c>
    </row>
    <row r="1459" spans="1:11" ht="15" customHeight="1" x14ac:dyDescent="0.3">
      <c r="A1459" s="37">
        <v>1454</v>
      </c>
      <c r="B1459" s="38" t="s">
        <v>3160</v>
      </c>
      <c r="C1459" s="38" t="s">
        <v>3165</v>
      </c>
      <c r="D1459" s="38" t="s">
        <v>2519</v>
      </c>
      <c r="E1459" s="38" t="s">
        <v>2935</v>
      </c>
      <c r="F1459" s="38" t="s">
        <v>287</v>
      </c>
      <c r="G1459" s="39">
        <v>242</v>
      </c>
      <c r="H1459" s="40">
        <v>1.857</v>
      </c>
      <c r="I1459" s="37">
        <v>171800</v>
      </c>
      <c r="J1459" s="41" t="s">
        <v>1132</v>
      </c>
      <c r="K1459" s="42">
        <v>2022</v>
      </c>
    </row>
    <row r="1460" spans="1:11" ht="15" customHeight="1" x14ac:dyDescent="0.3">
      <c r="A1460" s="31">
        <v>1455</v>
      </c>
      <c r="B1460" s="32" t="s">
        <v>3160</v>
      </c>
      <c r="C1460" s="32" t="s">
        <v>3166</v>
      </c>
      <c r="D1460" s="32" t="s">
        <v>3167</v>
      </c>
      <c r="E1460" s="32" t="s">
        <v>3168</v>
      </c>
      <c r="F1460" s="32" t="s">
        <v>3169</v>
      </c>
      <c r="G1460" s="33">
        <v>645</v>
      </c>
      <c r="H1460" s="34">
        <v>3.226</v>
      </c>
      <c r="I1460" s="31">
        <v>199800</v>
      </c>
      <c r="J1460" s="35" t="s">
        <v>1132</v>
      </c>
      <c r="K1460" s="36">
        <v>2022</v>
      </c>
    </row>
    <row r="1461" spans="1:11" ht="15" customHeight="1" x14ac:dyDescent="0.3">
      <c r="A1461" s="37">
        <v>1456</v>
      </c>
      <c r="B1461" s="38" t="s">
        <v>3160</v>
      </c>
      <c r="C1461" s="38" t="s">
        <v>3170</v>
      </c>
      <c r="D1461" s="38" t="s">
        <v>763</v>
      </c>
      <c r="E1461" s="38" t="s">
        <v>3171</v>
      </c>
      <c r="F1461" s="38" t="s">
        <v>287</v>
      </c>
      <c r="G1461" s="39">
        <v>1719</v>
      </c>
      <c r="H1461" s="40">
        <v>3.5870000000000002</v>
      </c>
      <c r="I1461" s="37">
        <v>227800</v>
      </c>
      <c r="J1461" s="41" t="s">
        <v>1132</v>
      </c>
      <c r="K1461" s="42">
        <v>2022</v>
      </c>
    </row>
    <row r="1462" spans="1:11" ht="15" customHeight="1" x14ac:dyDescent="0.3">
      <c r="A1462" s="31">
        <v>1457</v>
      </c>
      <c r="B1462" s="32" t="s">
        <v>3160</v>
      </c>
      <c r="C1462" s="32" t="s">
        <v>3172</v>
      </c>
      <c r="D1462" s="32" t="s">
        <v>366</v>
      </c>
      <c r="E1462" s="32" t="s">
        <v>55</v>
      </c>
      <c r="F1462" s="32" t="s">
        <v>287</v>
      </c>
      <c r="G1462" s="33">
        <v>3060</v>
      </c>
      <c r="H1462" s="34">
        <v>4.1399999999999997</v>
      </c>
      <c r="I1462" s="31">
        <v>225000</v>
      </c>
      <c r="J1462" s="35" t="s">
        <v>1132</v>
      </c>
      <c r="K1462" s="36">
        <v>2022</v>
      </c>
    </row>
    <row r="1463" spans="1:11" ht="15" customHeight="1" x14ac:dyDescent="0.3">
      <c r="A1463" s="37">
        <v>1458</v>
      </c>
      <c r="B1463" s="38" t="s">
        <v>3160</v>
      </c>
      <c r="C1463" s="38" t="s">
        <v>3173</v>
      </c>
      <c r="D1463" s="38" t="s">
        <v>3174</v>
      </c>
      <c r="E1463" s="38" t="s">
        <v>3175</v>
      </c>
      <c r="F1463" s="38" t="s">
        <v>2906</v>
      </c>
      <c r="G1463" s="39">
        <v>3320</v>
      </c>
      <c r="H1463" s="40">
        <v>1.7609999999999999</v>
      </c>
      <c r="I1463" s="37">
        <v>199800</v>
      </c>
      <c r="J1463" s="41" t="s">
        <v>1132</v>
      </c>
      <c r="K1463" s="42">
        <v>2022</v>
      </c>
    </row>
    <row r="1464" spans="1:11" ht="15" customHeight="1" x14ac:dyDescent="0.3">
      <c r="A1464" s="31">
        <v>1459</v>
      </c>
      <c r="B1464" s="32" t="s">
        <v>3160</v>
      </c>
      <c r="C1464" s="32" t="s">
        <v>3176</v>
      </c>
      <c r="D1464" s="32" t="s">
        <v>3177</v>
      </c>
      <c r="E1464" s="32" t="s">
        <v>3178</v>
      </c>
      <c r="F1464" s="32" t="s">
        <v>316</v>
      </c>
      <c r="G1464" s="33">
        <v>1058</v>
      </c>
      <c r="H1464" s="34">
        <v>5.8310000000000004</v>
      </c>
      <c r="I1464" s="31">
        <v>283800</v>
      </c>
      <c r="J1464" s="35" t="s">
        <v>1132</v>
      </c>
      <c r="K1464" s="36">
        <v>2022</v>
      </c>
    </row>
    <row r="1465" spans="1:11" ht="15" customHeight="1" x14ac:dyDescent="0.3">
      <c r="A1465" s="37">
        <v>1460</v>
      </c>
      <c r="B1465" s="38" t="s">
        <v>3160</v>
      </c>
      <c r="C1465" s="38" t="s">
        <v>3179</v>
      </c>
      <c r="D1465" s="38" t="s">
        <v>3107</v>
      </c>
      <c r="E1465" s="38" t="s">
        <v>3180</v>
      </c>
      <c r="F1465" s="38" t="s">
        <v>312</v>
      </c>
      <c r="G1465" s="39">
        <v>580</v>
      </c>
      <c r="H1465" s="40">
        <v>2.9249999999999998</v>
      </c>
      <c r="I1465" s="37">
        <v>199800</v>
      </c>
      <c r="J1465" s="41" t="s">
        <v>1132</v>
      </c>
      <c r="K1465" s="42">
        <v>2022</v>
      </c>
    </row>
    <row r="1466" spans="1:11" ht="15" customHeight="1" x14ac:dyDescent="0.3">
      <c r="A1466" s="31">
        <v>1461</v>
      </c>
      <c r="B1466" s="32" t="s">
        <v>3160</v>
      </c>
      <c r="C1466" s="32" t="s">
        <v>3181</v>
      </c>
      <c r="D1466" s="32" t="s">
        <v>48</v>
      </c>
      <c r="E1466" s="32" t="s">
        <v>35</v>
      </c>
      <c r="F1466" s="32" t="s">
        <v>402</v>
      </c>
      <c r="G1466" s="33">
        <v>2008</v>
      </c>
      <c r="H1466" s="34">
        <v>2.5779999999999998</v>
      </c>
      <c r="I1466" s="31">
        <v>199800</v>
      </c>
      <c r="J1466" s="35" t="s">
        <v>1132</v>
      </c>
      <c r="K1466" s="36">
        <v>2022</v>
      </c>
    </row>
    <row r="1467" spans="1:11" ht="15" customHeight="1" x14ac:dyDescent="0.3">
      <c r="A1467" s="37">
        <v>1462</v>
      </c>
      <c r="B1467" s="38" t="s">
        <v>3160</v>
      </c>
      <c r="C1467" s="38" t="s">
        <v>3182</v>
      </c>
      <c r="D1467" s="38" t="s">
        <v>3183</v>
      </c>
      <c r="E1467" s="38" t="s">
        <v>592</v>
      </c>
      <c r="F1467" s="38" t="s">
        <v>287</v>
      </c>
      <c r="G1467" s="39">
        <v>360</v>
      </c>
      <c r="H1467" s="40">
        <v>4.4349999999999996</v>
      </c>
      <c r="I1467" s="37">
        <v>199800</v>
      </c>
      <c r="J1467" s="41" t="s">
        <v>1132</v>
      </c>
      <c r="K1467" s="42">
        <v>2022</v>
      </c>
    </row>
    <row r="1468" spans="1:11" ht="15" customHeight="1" x14ac:dyDescent="0.3">
      <c r="A1468" s="31">
        <v>1463</v>
      </c>
      <c r="B1468" s="32" t="s">
        <v>3160</v>
      </c>
      <c r="C1468" s="32" t="s">
        <v>3184</v>
      </c>
      <c r="D1468" s="32" t="s">
        <v>3185</v>
      </c>
      <c r="E1468" s="32" t="s">
        <v>41</v>
      </c>
      <c r="F1468" s="32" t="s">
        <v>435</v>
      </c>
      <c r="G1468" s="33">
        <v>4840</v>
      </c>
      <c r="H1468" s="34">
        <v>4.3010000000000002</v>
      </c>
      <c r="I1468" s="31">
        <v>255800</v>
      </c>
      <c r="J1468" s="35" t="s">
        <v>1132</v>
      </c>
      <c r="K1468" s="36">
        <v>2022</v>
      </c>
    </row>
    <row r="1469" spans="1:11" ht="15" customHeight="1" x14ac:dyDescent="0.3">
      <c r="A1469" s="37">
        <v>1464</v>
      </c>
      <c r="B1469" s="38" t="s">
        <v>3160</v>
      </c>
      <c r="C1469" s="38" t="s">
        <v>3186</v>
      </c>
      <c r="D1469" s="38" t="s">
        <v>2963</v>
      </c>
      <c r="E1469" s="38" t="s">
        <v>45</v>
      </c>
      <c r="F1469" s="38" t="s">
        <v>312</v>
      </c>
      <c r="G1469" s="39">
        <v>260</v>
      </c>
      <c r="H1469" s="40">
        <v>1.224</v>
      </c>
      <c r="I1469" s="37">
        <v>143000</v>
      </c>
      <c r="J1469" s="41" t="s">
        <v>1132</v>
      </c>
      <c r="K1469" s="42">
        <v>2022</v>
      </c>
    </row>
    <row r="1470" spans="1:11" ht="15" customHeight="1" x14ac:dyDescent="0.3">
      <c r="A1470" s="31">
        <v>1465</v>
      </c>
      <c r="B1470" s="32" t="s">
        <v>3160</v>
      </c>
      <c r="C1470" s="32" t="s">
        <v>3187</v>
      </c>
      <c r="D1470" s="32" t="s">
        <v>3188</v>
      </c>
      <c r="E1470" s="32" t="s">
        <v>1975</v>
      </c>
      <c r="F1470" s="32" t="s">
        <v>2906</v>
      </c>
      <c r="G1470" s="33">
        <v>72</v>
      </c>
      <c r="H1470" s="34">
        <v>0.49</v>
      </c>
      <c r="I1470" s="31">
        <v>143000</v>
      </c>
      <c r="J1470" s="35" t="s">
        <v>1132</v>
      </c>
      <c r="K1470" s="36">
        <v>2022</v>
      </c>
    </row>
    <row r="1471" spans="1:11" ht="15" customHeight="1" x14ac:dyDescent="0.3">
      <c r="A1471" s="37">
        <v>1466</v>
      </c>
      <c r="B1471" s="38" t="s">
        <v>3160</v>
      </c>
      <c r="C1471" s="38" t="s">
        <v>3189</v>
      </c>
      <c r="D1471" s="38" t="s">
        <v>2813</v>
      </c>
      <c r="E1471" s="38" t="s">
        <v>592</v>
      </c>
      <c r="F1471" s="38" t="s">
        <v>312</v>
      </c>
      <c r="G1471" s="39">
        <v>928</v>
      </c>
      <c r="H1471" s="40">
        <v>2.8540000000000001</v>
      </c>
      <c r="I1471" s="37">
        <v>199800</v>
      </c>
      <c r="J1471" s="41" t="s">
        <v>1132</v>
      </c>
      <c r="K1471" s="42">
        <v>2022</v>
      </c>
    </row>
    <row r="1472" spans="1:11" ht="15" customHeight="1" x14ac:dyDescent="0.3">
      <c r="A1472" s="31">
        <v>1467</v>
      </c>
      <c r="B1472" s="32" t="s">
        <v>3160</v>
      </c>
      <c r="C1472" s="32" t="s">
        <v>3190</v>
      </c>
      <c r="D1472" s="32" t="s">
        <v>3191</v>
      </c>
      <c r="E1472" s="32" t="s">
        <v>35</v>
      </c>
      <c r="F1472" s="32" t="s">
        <v>287</v>
      </c>
      <c r="G1472" s="33">
        <v>304</v>
      </c>
      <c r="H1472" s="34">
        <v>1.282</v>
      </c>
      <c r="I1472" s="31">
        <v>145800</v>
      </c>
      <c r="J1472" s="35" t="s">
        <v>1132</v>
      </c>
      <c r="K1472" s="36">
        <v>2022</v>
      </c>
    </row>
    <row r="1473" spans="1:11" ht="15" customHeight="1" x14ac:dyDescent="0.3">
      <c r="A1473" s="37">
        <v>1468</v>
      </c>
      <c r="B1473" s="38" t="s">
        <v>3160</v>
      </c>
      <c r="C1473" s="38" t="s">
        <v>3192</v>
      </c>
      <c r="D1473" s="38" t="s">
        <v>3193</v>
      </c>
      <c r="E1473" s="38" t="s">
        <v>35</v>
      </c>
      <c r="F1473" s="38" t="s">
        <v>287</v>
      </c>
      <c r="G1473" s="39">
        <v>711</v>
      </c>
      <c r="H1473" s="40">
        <v>2.16</v>
      </c>
      <c r="I1473" s="37">
        <v>171800</v>
      </c>
      <c r="J1473" s="41" t="s">
        <v>1132</v>
      </c>
      <c r="K1473" s="42">
        <v>2022</v>
      </c>
    </row>
    <row r="1474" spans="1:11" ht="15" customHeight="1" x14ac:dyDescent="0.3">
      <c r="A1474" s="31">
        <v>1469</v>
      </c>
      <c r="B1474" s="32" t="s">
        <v>3160</v>
      </c>
      <c r="C1474" s="32" t="s">
        <v>3194</v>
      </c>
      <c r="D1474" s="32" t="s">
        <v>3195</v>
      </c>
      <c r="E1474" s="32" t="s">
        <v>3196</v>
      </c>
      <c r="F1474" s="32" t="s">
        <v>517</v>
      </c>
      <c r="G1474" s="33">
        <v>585</v>
      </c>
      <c r="H1474" s="34">
        <v>1.1000000000000001</v>
      </c>
      <c r="I1474" s="31">
        <v>143000</v>
      </c>
      <c r="J1474" s="35" t="s">
        <v>1132</v>
      </c>
      <c r="K1474" s="36">
        <v>2022</v>
      </c>
    </row>
    <row r="1475" spans="1:11" ht="15" customHeight="1" x14ac:dyDescent="0.3">
      <c r="A1475" s="37">
        <v>1470</v>
      </c>
      <c r="B1475" s="38" t="s">
        <v>2404</v>
      </c>
      <c r="C1475" s="38" t="s">
        <v>3197</v>
      </c>
      <c r="D1475" s="38" t="s">
        <v>3198</v>
      </c>
      <c r="E1475" s="38" t="s">
        <v>3180</v>
      </c>
      <c r="F1475" s="38" t="s">
        <v>316</v>
      </c>
      <c r="G1475" s="39">
        <v>350</v>
      </c>
      <c r="H1475" s="40">
        <v>3.0720000000000001</v>
      </c>
      <c r="I1475" s="37">
        <v>199800</v>
      </c>
      <c r="J1475" s="41" t="s">
        <v>1132</v>
      </c>
      <c r="K1475" s="42">
        <v>2022</v>
      </c>
    </row>
    <row r="1476" spans="1:11" ht="15" customHeight="1" x14ac:dyDescent="0.3">
      <c r="A1476" s="31">
        <v>1471</v>
      </c>
      <c r="B1476" s="32" t="s">
        <v>2404</v>
      </c>
      <c r="C1476" s="32" t="s">
        <v>3199</v>
      </c>
      <c r="D1476" s="32" t="s">
        <v>3107</v>
      </c>
      <c r="E1476" s="32" t="s">
        <v>3180</v>
      </c>
      <c r="F1476" s="32" t="s">
        <v>402</v>
      </c>
      <c r="G1476" s="33">
        <v>3012</v>
      </c>
      <c r="H1476" s="34">
        <v>3.7839999999999998</v>
      </c>
      <c r="I1476" s="31">
        <v>227800</v>
      </c>
      <c r="J1476" s="35" t="s">
        <v>1132</v>
      </c>
      <c r="K1476" s="36">
        <v>2022</v>
      </c>
    </row>
    <row r="1477" spans="1:11" ht="15" customHeight="1" x14ac:dyDescent="0.3">
      <c r="A1477" s="37">
        <v>1472</v>
      </c>
      <c r="B1477" s="38" t="s">
        <v>2404</v>
      </c>
      <c r="C1477" s="38" t="s">
        <v>3200</v>
      </c>
      <c r="D1477" s="38" t="s">
        <v>3201</v>
      </c>
      <c r="E1477" s="38" t="s">
        <v>499</v>
      </c>
      <c r="F1477" s="38" t="s">
        <v>2906</v>
      </c>
      <c r="G1477" s="39">
        <v>95</v>
      </c>
      <c r="H1477" s="40">
        <v>0.68200000000000005</v>
      </c>
      <c r="I1477" s="37">
        <v>145800</v>
      </c>
      <c r="J1477" s="41" t="s">
        <v>1132</v>
      </c>
      <c r="K1477" s="42">
        <v>2022</v>
      </c>
    </row>
    <row r="1478" spans="1:11" ht="15" customHeight="1" x14ac:dyDescent="0.3">
      <c r="A1478" s="31">
        <v>1473</v>
      </c>
      <c r="B1478" s="32" t="s">
        <v>2404</v>
      </c>
      <c r="C1478" s="32" t="s">
        <v>3202</v>
      </c>
      <c r="D1478" s="32" t="s">
        <v>48</v>
      </c>
      <c r="E1478" s="32" t="s">
        <v>37</v>
      </c>
      <c r="F1478" s="32" t="s">
        <v>2906</v>
      </c>
      <c r="G1478" s="33">
        <v>603</v>
      </c>
      <c r="H1478" s="34">
        <v>1.306</v>
      </c>
      <c r="I1478" s="31">
        <v>145800</v>
      </c>
      <c r="J1478" s="35" t="s">
        <v>1132</v>
      </c>
      <c r="K1478" s="36">
        <v>2022</v>
      </c>
    </row>
    <row r="1479" spans="1:11" ht="15" customHeight="1" x14ac:dyDescent="0.3">
      <c r="A1479" s="37">
        <v>1474</v>
      </c>
      <c r="B1479" s="38" t="s">
        <v>2404</v>
      </c>
      <c r="C1479" s="38" t="s">
        <v>3203</v>
      </c>
      <c r="D1479" s="38" t="s">
        <v>48</v>
      </c>
      <c r="E1479" s="38" t="s">
        <v>35</v>
      </c>
      <c r="F1479" s="38" t="s">
        <v>517</v>
      </c>
      <c r="G1479" s="39">
        <v>3021</v>
      </c>
      <c r="H1479" s="40">
        <v>4.3659999999999997</v>
      </c>
      <c r="I1479" s="37">
        <v>227800</v>
      </c>
      <c r="J1479" s="41" t="s">
        <v>1132</v>
      </c>
      <c r="K1479" s="42">
        <v>2022</v>
      </c>
    </row>
    <row r="1480" spans="1:11" ht="15" customHeight="1" x14ac:dyDescent="0.3">
      <c r="A1480" s="31">
        <v>1475</v>
      </c>
      <c r="B1480" s="32" t="s">
        <v>2404</v>
      </c>
      <c r="C1480" s="32" t="s">
        <v>3204</v>
      </c>
      <c r="D1480" s="32" t="s">
        <v>3205</v>
      </c>
      <c r="E1480" s="32" t="s">
        <v>3206</v>
      </c>
      <c r="F1480" s="32" t="s">
        <v>849</v>
      </c>
      <c r="G1480" s="33">
        <v>1500</v>
      </c>
      <c r="H1480" s="34">
        <v>2.093</v>
      </c>
      <c r="I1480" s="31">
        <v>171800</v>
      </c>
      <c r="J1480" s="35" t="s">
        <v>1132</v>
      </c>
      <c r="K1480" s="36">
        <v>2022</v>
      </c>
    </row>
    <row r="1481" spans="1:11" ht="15" customHeight="1" x14ac:dyDescent="0.3">
      <c r="A1481" s="37">
        <v>1476</v>
      </c>
      <c r="B1481" s="38" t="s">
        <v>2404</v>
      </c>
      <c r="C1481" s="38" t="s">
        <v>3207</v>
      </c>
      <c r="D1481" s="38" t="s">
        <v>2868</v>
      </c>
      <c r="E1481" s="38" t="s">
        <v>3208</v>
      </c>
      <c r="F1481" s="38" t="s">
        <v>3209</v>
      </c>
      <c r="G1481" s="39">
        <v>1768</v>
      </c>
      <c r="H1481" s="40">
        <v>4.13</v>
      </c>
      <c r="I1481" s="37">
        <v>285000</v>
      </c>
      <c r="J1481" s="41" t="s">
        <v>1132</v>
      </c>
      <c r="K1481" s="42">
        <v>2022</v>
      </c>
    </row>
    <row r="1482" spans="1:11" ht="15" customHeight="1" x14ac:dyDescent="0.3">
      <c r="A1482" s="31">
        <v>1477</v>
      </c>
      <c r="B1482" s="32" t="s">
        <v>2404</v>
      </c>
      <c r="C1482" s="32" t="s">
        <v>3210</v>
      </c>
      <c r="D1482" s="32" t="s">
        <v>3195</v>
      </c>
      <c r="E1482" s="32" t="s">
        <v>3211</v>
      </c>
      <c r="F1482" s="32" t="s">
        <v>517</v>
      </c>
      <c r="G1482" s="33">
        <v>854</v>
      </c>
      <c r="H1482" s="34">
        <v>1.847</v>
      </c>
      <c r="I1482" s="31">
        <v>169000</v>
      </c>
      <c r="J1482" s="35" t="s">
        <v>1132</v>
      </c>
      <c r="K1482" s="36">
        <v>2022</v>
      </c>
    </row>
    <row r="1483" spans="1:11" ht="15" customHeight="1" x14ac:dyDescent="0.3">
      <c r="A1483" s="37">
        <v>1478</v>
      </c>
      <c r="B1483" s="38" t="s">
        <v>2404</v>
      </c>
      <c r="C1483" s="38" t="s">
        <v>3212</v>
      </c>
      <c r="D1483" s="38" t="s">
        <v>2086</v>
      </c>
      <c r="E1483" s="38" t="s">
        <v>3213</v>
      </c>
      <c r="F1483" s="38" t="s">
        <v>435</v>
      </c>
      <c r="G1483" s="39">
        <v>2300</v>
      </c>
      <c r="H1483" s="40">
        <v>3.7280000000000002</v>
      </c>
      <c r="I1483" s="37">
        <v>227800</v>
      </c>
      <c r="J1483" s="41" t="s">
        <v>1132</v>
      </c>
      <c r="K1483" s="42">
        <v>2022</v>
      </c>
    </row>
    <row r="1484" spans="1:11" ht="15" customHeight="1" x14ac:dyDescent="0.3">
      <c r="A1484" s="31">
        <v>1479</v>
      </c>
      <c r="B1484" s="32" t="s">
        <v>3214</v>
      </c>
      <c r="C1484" s="32" t="s">
        <v>3215</v>
      </c>
      <c r="D1484" s="32" t="s">
        <v>62</v>
      </c>
      <c r="E1484" s="32" t="s">
        <v>3216</v>
      </c>
      <c r="F1484" s="32" t="s">
        <v>316</v>
      </c>
      <c r="G1484" s="33">
        <v>1055.4000000000001</v>
      </c>
      <c r="H1484" s="34">
        <v>2.3420000000000001</v>
      </c>
      <c r="I1484" s="31">
        <v>169000</v>
      </c>
      <c r="J1484" s="35" t="s">
        <v>1132</v>
      </c>
      <c r="K1484" s="36">
        <v>2022</v>
      </c>
    </row>
    <row r="1485" spans="1:11" ht="15" customHeight="1" x14ac:dyDescent="0.3">
      <c r="A1485" s="37">
        <v>1480</v>
      </c>
      <c r="B1485" s="38" t="s">
        <v>3214</v>
      </c>
      <c r="C1485" s="38" t="s">
        <v>3215</v>
      </c>
      <c r="D1485" s="38" t="s">
        <v>62</v>
      </c>
      <c r="E1485" s="38" t="s">
        <v>3216</v>
      </c>
      <c r="F1485" s="38" t="s">
        <v>402</v>
      </c>
      <c r="G1485" s="39">
        <v>726.8</v>
      </c>
      <c r="H1485" s="40">
        <v>4.3869999999999996</v>
      </c>
      <c r="I1485" s="37">
        <v>227800</v>
      </c>
      <c r="J1485" s="41" t="s">
        <v>1132</v>
      </c>
      <c r="K1485" s="42">
        <v>2022</v>
      </c>
    </row>
    <row r="1486" spans="1:11" ht="15" customHeight="1" x14ac:dyDescent="0.3">
      <c r="A1486" s="31">
        <v>1481</v>
      </c>
      <c r="B1486" s="32" t="s">
        <v>3214</v>
      </c>
      <c r="C1486" s="32" t="s">
        <v>3215</v>
      </c>
      <c r="D1486" s="32" t="s">
        <v>62</v>
      </c>
      <c r="E1486" s="32" t="s">
        <v>3216</v>
      </c>
      <c r="F1486" s="32" t="s">
        <v>287</v>
      </c>
      <c r="G1486" s="33">
        <v>1967.184</v>
      </c>
      <c r="H1486" s="34">
        <v>3.78</v>
      </c>
      <c r="I1486" s="31">
        <v>225000</v>
      </c>
      <c r="J1486" s="35" t="s">
        <v>1132</v>
      </c>
      <c r="K1486" s="36">
        <v>2022</v>
      </c>
    </row>
    <row r="1487" spans="1:11" ht="15" customHeight="1" x14ac:dyDescent="0.3">
      <c r="A1487" s="37">
        <v>1482</v>
      </c>
      <c r="B1487" s="38" t="s">
        <v>3214</v>
      </c>
      <c r="C1487" s="38" t="s">
        <v>3217</v>
      </c>
      <c r="D1487" s="38" t="s">
        <v>50</v>
      </c>
      <c r="E1487" s="38" t="s">
        <v>37</v>
      </c>
      <c r="F1487" s="38" t="s">
        <v>2126</v>
      </c>
      <c r="G1487" s="39">
        <v>2233</v>
      </c>
      <c r="H1487" s="40">
        <v>3.81</v>
      </c>
      <c r="I1487" s="37">
        <v>227800</v>
      </c>
      <c r="J1487" s="41" t="s">
        <v>1132</v>
      </c>
      <c r="K1487" s="42">
        <v>2022</v>
      </c>
    </row>
    <row r="1488" spans="1:11" ht="15" customHeight="1" x14ac:dyDescent="0.3">
      <c r="A1488" s="31">
        <v>1483</v>
      </c>
      <c r="B1488" s="32" t="s">
        <v>3214</v>
      </c>
      <c r="C1488" s="32" t="s">
        <v>3218</v>
      </c>
      <c r="D1488" s="32" t="s">
        <v>3219</v>
      </c>
      <c r="E1488" s="32" t="s">
        <v>3220</v>
      </c>
      <c r="F1488" s="32" t="s">
        <v>312</v>
      </c>
      <c r="G1488" s="33">
        <v>620</v>
      </c>
      <c r="H1488" s="34">
        <v>1.39</v>
      </c>
      <c r="I1488" s="31">
        <v>169000</v>
      </c>
      <c r="J1488" s="35" t="s">
        <v>1132</v>
      </c>
      <c r="K1488" s="36">
        <v>2022</v>
      </c>
    </row>
    <row r="1489" spans="1:11" ht="15" customHeight="1" x14ac:dyDescent="0.3">
      <c r="A1489" s="37">
        <v>1484</v>
      </c>
      <c r="B1489" s="38" t="s">
        <v>2977</v>
      </c>
      <c r="C1489" s="38" t="s">
        <v>3221</v>
      </c>
      <c r="D1489" s="38" t="s">
        <v>2640</v>
      </c>
      <c r="E1489" s="38" t="s">
        <v>35</v>
      </c>
      <c r="F1489" s="38" t="s">
        <v>312</v>
      </c>
      <c r="G1489" s="39">
        <v>9080</v>
      </c>
      <c r="H1489" s="40">
        <v>16.690000000000001</v>
      </c>
      <c r="I1489" s="37">
        <v>574800</v>
      </c>
      <c r="J1489" s="41" t="s">
        <v>1259</v>
      </c>
      <c r="K1489" s="42">
        <v>2022</v>
      </c>
    </row>
    <row r="1490" spans="1:11" ht="15" customHeight="1" x14ac:dyDescent="0.3">
      <c r="A1490" s="31">
        <v>1485</v>
      </c>
      <c r="B1490" s="32" t="s">
        <v>2977</v>
      </c>
      <c r="C1490" s="32" t="s">
        <v>3222</v>
      </c>
      <c r="D1490" s="32" t="s">
        <v>3223</v>
      </c>
      <c r="E1490" s="32" t="s">
        <v>3224</v>
      </c>
      <c r="F1490" s="32" t="s">
        <v>3225</v>
      </c>
      <c r="G1490" s="33">
        <v>290</v>
      </c>
      <c r="H1490" s="34">
        <v>2.1800000000000002</v>
      </c>
      <c r="I1490" s="31">
        <v>199800</v>
      </c>
      <c r="J1490" s="35" t="s">
        <v>1259</v>
      </c>
      <c r="K1490" s="36">
        <v>2022</v>
      </c>
    </row>
    <row r="1491" spans="1:11" ht="15" customHeight="1" x14ac:dyDescent="0.3">
      <c r="A1491" s="37">
        <v>1486</v>
      </c>
      <c r="B1491" s="38" t="s">
        <v>2878</v>
      </c>
      <c r="C1491" s="38" t="s">
        <v>3226</v>
      </c>
      <c r="D1491" s="38" t="s">
        <v>3227</v>
      </c>
      <c r="E1491" s="38" t="s">
        <v>3228</v>
      </c>
      <c r="F1491" s="38" t="s">
        <v>3229</v>
      </c>
      <c r="G1491" s="39">
        <v>380</v>
      </c>
      <c r="H1491" s="40">
        <v>2.625</v>
      </c>
      <c r="I1491" s="37">
        <v>199800</v>
      </c>
      <c r="J1491" s="41" t="s">
        <v>1259</v>
      </c>
      <c r="K1491" s="42">
        <v>2022</v>
      </c>
    </row>
    <row r="1492" spans="1:11" ht="15" customHeight="1" x14ac:dyDescent="0.3">
      <c r="A1492" s="31">
        <v>1487</v>
      </c>
      <c r="B1492" s="32" t="s">
        <v>2878</v>
      </c>
      <c r="C1492" s="32" t="s">
        <v>3230</v>
      </c>
      <c r="D1492" s="32" t="s">
        <v>42</v>
      </c>
      <c r="E1492" s="32" t="s">
        <v>35</v>
      </c>
      <c r="F1492" s="32" t="s">
        <v>3231</v>
      </c>
      <c r="G1492" s="33">
        <v>9100.6200000000008</v>
      </c>
      <c r="H1492" s="34">
        <v>22.006</v>
      </c>
      <c r="I1492" s="31">
        <v>1359000</v>
      </c>
      <c r="J1492" s="35" t="s">
        <v>1259</v>
      </c>
      <c r="K1492" s="36">
        <v>2022</v>
      </c>
    </row>
    <row r="1493" spans="1:11" ht="15" customHeight="1" x14ac:dyDescent="0.3">
      <c r="A1493" s="37">
        <v>1488</v>
      </c>
      <c r="B1493" s="38" t="s">
        <v>3232</v>
      </c>
      <c r="C1493" s="38" t="s">
        <v>3233</v>
      </c>
      <c r="D1493" s="38" t="s">
        <v>2605</v>
      </c>
      <c r="E1493" s="38" t="s">
        <v>3234</v>
      </c>
      <c r="F1493" s="38" t="s">
        <v>312</v>
      </c>
      <c r="G1493" s="39">
        <v>510</v>
      </c>
      <c r="H1493" s="40">
        <v>3.0790000000000002</v>
      </c>
      <c r="I1493" s="37">
        <v>199800</v>
      </c>
      <c r="J1493" s="41" t="s">
        <v>1259</v>
      </c>
      <c r="K1493" s="42">
        <v>2022</v>
      </c>
    </row>
    <row r="1494" spans="1:11" ht="15" customHeight="1" x14ac:dyDescent="0.3">
      <c r="A1494" s="31">
        <v>1489</v>
      </c>
      <c r="B1494" s="32" t="s">
        <v>3232</v>
      </c>
      <c r="C1494" s="32" t="s">
        <v>3235</v>
      </c>
      <c r="D1494" s="32" t="s">
        <v>2913</v>
      </c>
      <c r="E1494" s="32" t="s">
        <v>35</v>
      </c>
      <c r="F1494" s="32" t="s">
        <v>849</v>
      </c>
      <c r="G1494" s="33">
        <v>80</v>
      </c>
      <c r="H1494" s="34">
        <v>0.26600000000000001</v>
      </c>
      <c r="I1494" s="31">
        <v>145800</v>
      </c>
      <c r="J1494" s="35" t="s">
        <v>1259</v>
      </c>
      <c r="K1494" s="36">
        <v>2022</v>
      </c>
    </row>
    <row r="1495" spans="1:11" ht="15" customHeight="1" x14ac:dyDescent="0.3">
      <c r="A1495" s="37">
        <v>1490</v>
      </c>
      <c r="B1495" s="38" t="s">
        <v>3232</v>
      </c>
      <c r="C1495" s="38" t="s">
        <v>3236</v>
      </c>
      <c r="D1495" s="38" t="s">
        <v>3237</v>
      </c>
      <c r="E1495" s="38" t="s">
        <v>3238</v>
      </c>
      <c r="F1495" s="38" t="s">
        <v>689</v>
      </c>
      <c r="G1495" s="39">
        <v>2481.75</v>
      </c>
      <c r="H1495" s="40">
        <v>5.5970000000000004</v>
      </c>
      <c r="I1495" s="37">
        <v>281000</v>
      </c>
      <c r="J1495" s="41" t="s">
        <v>1259</v>
      </c>
      <c r="K1495" s="42">
        <v>2022</v>
      </c>
    </row>
    <row r="1496" spans="1:11" ht="15" customHeight="1" x14ac:dyDescent="0.3">
      <c r="A1496" s="31">
        <v>1491</v>
      </c>
      <c r="B1496" s="32" t="s">
        <v>3232</v>
      </c>
      <c r="C1496" s="32" t="s">
        <v>3239</v>
      </c>
      <c r="D1496" s="32" t="s">
        <v>3240</v>
      </c>
      <c r="E1496" s="32" t="s">
        <v>3241</v>
      </c>
      <c r="F1496" s="32" t="s">
        <v>3242</v>
      </c>
      <c r="G1496" s="33">
        <v>4936.8999999999996</v>
      </c>
      <c r="H1496" s="34">
        <v>8.2080000000000002</v>
      </c>
      <c r="I1496" s="31">
        <v>331800</v>
      </c>
      <c r="J1496" s="35" t="s">
        <v>1259</v>
      </c>
      <c r="K1496" s="36">
        <v>2022</v>
      </c>
    </row>
    <row r="1497" spans="1:11" ht="15" customHeight="1" x14ac:dyDescent="0.3">
      <c r="A1497" s="37">
        <v>1492</v>
      </c>
      <c r="B1497" s="38" t="s">
        <v>3232</v>
      </c>
      <c r="C1497" s="38" t="s">
        <v>3243</v>
      </c>
      <c r="D1497" s="38" t="s">
        <v>3244</v>
      </c>
      <c r="E1497" s="38" t="s">
        <v>45</v>
      </c>
      <c r="F1497" s="38" t="s">
        <v>312</v>
      </c>
      <c r="G1497" s="39">
        <v>510</v>
      </c>
      <c r="H1497" s="40">
        <v>3.7448000000000001</v>
      </c>
      <c r="I1497" s="37">
        <v>225000</v>
      </c>
      <c r="J1497" s="41" t="s">
        <v>1259</v>
      </c>
      <c r="K1497" s="42">
        <v>2022</v>
      </c>
    </row>
    <row r="1498" spans="1:11" ht="15" customHeight="1" x14ac:dyDescent="0.3">
      <c r="A1498" s="31">
        <v>1493</v>
      </c>
      <c r="B1498" s="32" t="s">
        <v>2878</v>
      </c>
      <c r="C1498" s="32" t="s">
        <v>3245</v>
      </c>
      <c r="D1498" s="32" t="s">
        <v>3246</v>
      </c>
      <c r="E1498" s="32" t="s">
        <v>35</v>
      </c>
      <c r="F1498" s="32" t="s">
        <v>1031</v>
      </c>
      <c r="G1498" s="33">
        <v>3300</v>
      </c>
      <c r="H1498" s="34">
        <v>2.9340000000000002</v>
      </c>
      <c r="I1498" s="31">
        <v>199800</v>
      </c>
      <c r="J1498" s="35" t="s">
        <v>1259</v>
      </c>
      <c r="K1498" s="36">
        <v>2022</v>
      </c>
    </row>
    <row r="1499" spans="1:11" ht="15" customHeight="1" x14ac:dyDescent="0.3">
      <c r="A1499" s="37">
        <v>1494</v>
      </c>
      <c r="B1499" s="38" t="s">
        <v>2878</v>
      </c>
      <c r="C1499" s="38" t="s">
        <v>3247</v>
      </c>
      <c r="D1499" s="38" t="s">
        <v>3248</v>
      </c>
      <c r="E1499" s="38" t="s">
        <v>35</v>
      </c>
      <c r="F1499" s="38" t="s">
        <v>312</v>
      </c>
      <c r="G1499" s="39">
        <v>3280</v>
      </c>
      <c r="H1499" s="40">
        <v>3.1520000000000001</v>
      </c>
      <c r="I1499" s="37">
        <v>199800</v>
      </c>
      <c r="J1499" s="41" t="s">
        <v>1259</v>
      </c>
      <c r="K1499" s="42">
        <v>2022</v>
      </c>
    </row>
    <row r="1500" spans="1:11" ht="15" customHeight="1" x14ac:dyDescent="0.3">
      <c r="A1500" s="31">
        <v>1495</v>
      </c>
      <c r="B1500" s="32" t="s">
        <v>2878</v>
      </c>
      <c r="C1500" s="32" t="s">
        <v>3249</v>
      </c>
      <c r="D1500" s="32" t="s">
        <v>3250</v>
      </c>
      <c r="E1500" s="32" t="s">
        <v>2935</v>
      </c>
      <c r="F1500" s="32" t="s">
        <v>284</v>
      </c>
      <c r="G1500" s="33">
        <v>537.41999999999996</v>
      </c>
      <c r="H1500" s="34">
        <v>1.7470000000000001</v>
      </c>
      <c r="I1500" s="31">
        <v>171800</v>
      </c>
      <c r="J1500" s="35" t="s">
        <v>1259</v>
      </c>
      <c r="K1500" s="36">
        <v>2022</v>
      </c>
    </row>
    <row r="1501" spans="1:11" ht="15" customHeight="1" x14ac:dyDescent="0.3">
      <c r="A1501" s="37">
        <v>1496</v>
      </c>
      <c r="B1501" s="38" t="s">
        <v>2878</v>
      </c>
      <c r="C1501" s="38" t="s">
        <v>3251</v>
      </c>
      <c r="D1501" s="38" t="s">
        <v>3252</v>
      </c>
      <c r="E1501" s="38" t="s">
        <v>3253</v>
      </c>
      <c r="F1501" s="38" t="s">
        <v>2906</v>
      </c>
      <c r="G1501" s="39">
        <v>100</v>
      </c>
      <c r="H1501" s="40">
        <v>0.65800000000000003</v>
      </c>
      <c r="I1501" s="37">
        <v>145800</v>
      </c>
      <c r="J1501" s="41" t="s">
        <v>1259</v>
      </c>
      <c r="K1501" s="42">
        <v>2022</v>
      </c>
    </row>
    <row r="1502" spans="1:11" ht="15" customHeight="1" x14ac:dyDescent="0.3">
      <c r="A1502" s="31">
        <v>1497</v>
      </c>
      <c r="B1502" s="32" t="s">
        <v>2878</v>
      </c>
      <c r="C1502" s="32" t="s">
        <v>3254</v>
      </c>
      <c r="D1502" s="32" t="s">
        <v>3255</v>
      </c>
      <c r="E1502" s="32" t="s">
        <v>3256</v>
      </c>
      <c r="F1502" s="32" t="s">
        <v>517</v>
      </c>
      <c r="G1502" s="33">
        <v>170</v>
      </c>
      <c r="H1502" s="34">
        <v>2.8759999999999999</v>
      </c>
      <c r="I1502" s="31">
        <v>199800</v>
      </c>
      <c r="J1502" s="35" t="s">
        <v>1259</v>
      </c>
      <c r="K1502" s="36">
        <v>2022</v>
      </c>
    </row>
    <row r="1503" spans="1:11" ht="15" customHeight="1" x14ac:dyDescent="0.3">
      <c r="A1503" s="37">
        <v>1498</v>
      </c>
      <c r="B1503" s="38" t="s">
        <v>2878</v>
      </c>
      <c r="C1503" s="38" t="s">
        <v>3257</v>
      </c>
      <c r="D1503" s="38" t="s">
        <v>1495</v>
      </c>
      <c r="E1503" s="38" t="s">
        <v>3258</v>
      </c>
      <c r="F1503" s="38" t="s">
        <v>2131</v>
      </c>
      <c r="G1503" s="39">
        <v>2747</v>
      </c>
      <c r="H1503" s="40">
        <v>18.289000000000001</v>
      </c>
      <c r="I1503" s="37">
        <v>385800</v>
      </c>
      <c r="J1503" s="41" t="s">
        <v>1259</v>
      </c>
      <c r="K1503" s="42">
        <v>2022</v>
      </c>
    </row>
    <row r="1504" spans="1:11" ht="15" customHeight="1" x14ac:dyDescent="0.3">
      <c r="A1504" s="31">
        <v>1499</v>
      </c>
      <c r="B1504" s="32" t="s">
        <v>2878</v>
      </c>
      <c r="C1504" s="32" t="s">
        <v>3259</v>
      </c>
      <c r="D1504" s="32" t="s">
        <v>3260</v>
      </c>
      <c r="E1504" s="32" t="s">
        <v>45</v>
      </c>
      <c r="F1504" s="32" t="s">
        <v>316</v>
      </c>
      <c r="G1504" s="33">
        <v>255</v>
      </c>
      <c r="H1504" s="34">
        <v>2.5150000000000001</v>
      </c>
      <c r="I1504" s="31">
        <v>197000</v>
      </c>
      <c r="J1504" s="35" t="s">
        <v>1259</v>
      </c>
      <c r="K1504" s="36">
        <v>2022</v>
      </c>
    </row>
    <row r="1505" spans="1:11" ht="15" customHeight="1" x14ac:dyDescent="0.3">
      <c r="A1505" s="37">
        <v>1500</v>
      </c>
      <c r="B1505" s="38" t="s">
        <v>2878</v>
      </c>
      <c r="C1505" s="38" t="s">
        <v>3261</v>
      </c>
      <c r="D1505" s="38" t="s">
        <v>3262</v>
      </c>
      <c r="E1505" s="38" t="s">
        <v>3263</v>
      </c>
      <c r="F1505" s="38" t="s">
        <v>3264</v>
      </c>
      <c r="G1505" s="39">
        <v>350</v>
      </c>
      <c r="H1505" s="40">
        <v>0.30599999999999999</v>
      </c>
      <c r="I1505" s="37">
        <v>145800</v>
      </c>
      <c r="J1505" s="41" t="s">
        <v>1259</v>
      </c>
      <c r="K1505" s="42">
        <v>2022</v>
      </c>
    </row>
    <row r="1506" spans="1:11" ht="15" customHeight="1" x14ac:dyDescent="0.3">
      <c r="A1506" s="31">
        <v>1501</v>
      </c>
      <c r="B1506" s="32" t="s">
        <v>2878</v>
      </c>
      <c r="C1506" s="32" t="s">
        <v>3265</v>
      </c>
      <c r="D1506" s="32" t="s">
        <v>3266</v>
      </c>
      <c r="E1506" s="32" t="s">
        <v>3267</v>
      </c>
      <c r="F1506" s="32" t="s">
        <v>316</v>
      </c>
      <c r="G1506" s="33">
        <v>700</v>
      </c>
      <c r="H1506" s="34">
        <v>7.8040000000000003</v>
      </c>
      <c r="I1506" s="31">
        <v>331800</v>
      </c>
      <c r="J1506" s="35" t="s">
        <v>1259</v>
      </c>
      <c r="K1506" s="36">
        <v>2022</v>
      </c>
    </row>
    <row r="1507" spans="1:11" ht="15" customHeight="1" x14ac:dyDescent="0.3">
      <c r="A1507" s="37">
        <v>1502</v>
      </c>
      <c r="B1507" s="38" t="s">
        <v>2878</v>
      </c>
      <c r="C1507" s="38" t="s">
        <v>3268</v>
      </c>
      <c r="D1507" s="38" t="s">
        <v>3269</v>
      </c>
      <c r="E1507" s="38" t="s">
        <v>3270</v>
      </c>
      <c r="F1507" s="38" t="s">
        <v>1095</v>
      </c>
      <c r="G1507" s="39">
        <v>684</v>
      </c>
      <c r="H1507" s="40">
        <v>2.0329999999999999</v>
      </c>
      <c r="I1507" s="37">
        <v>169000</v>
      </c>
      <c r="J1507" s="41" t="s">
        <v>1259</v>
      </c>
      <c r="K1507" s="42">
        <v>2022</v>
      </c>
    </row>
    <row r="1508" spans="1:11" ht="15" customHeight="1" x14ac:dyDescent="0.3">
      <c r="A1508" s="31">
        <v>1503</v>
      </c>
      <c r="B1508" s="32" t="s">
        <v>2878</v>
      </c>
      <c r="C1508" s="32" t="s">
        <v>3271</v>
      </c>
      <c r="D1508" s="32" t="s">
        <v>3272</v>
      </c>
      <c r="E1508" s="32" t="s">
        <v>3273</v>
      </c>
      <c r="F1508" s="32" t="s">
        <v>316</v>
      </c>
      <c r="G1508" s="33">
        <v>846</v>
      </c>
      <c r="H1508" s="34">
        <v>2.129</v>
      </c>
      <c r="I1508" s="31">
        <v>171800</v>
      </c>
      <c r="J1508" s="35" t="s">
        <v>1259</v>
      </c>
      <c r="K1508" s="36">
        <v>2022</v>
      </c>
    </row>
    <row r="1509" spans="1:11" ht="15" customHeight="1" x14ac:dyDescent="0.3">
      <c r="A1509" s="37">
        <v>1504</v>
      </c>
      <c r="B1509" s="38" t="s">
        <v>2878</v>
      </c>
      <c r="C1509" s="38" t="s">
        <v>3274</v>
      </c>
      <c r="D1509" s="38" t="s">
        <v>3275</v>
      </c>
      <c r="E1509" s="38" t="s">
        <v>3276</v>
      </c>
      <c r="F1509" s="38" t="s">
        <v>2906</v>
      </c>
      <c r="G1509" s="39">
        <v>171</v>
      </c>
      <c r="H1509" s="40">
        <v>1.1499999999999999</v>
      </c>
      <c r="I1509" s="37">
        <v>145800</v>
      </c>
      <c r="J1509" s="41" t="s">
        <v>1259</v>
      </c>
      <c r="K1509" s="42">
        <v>2022</v>
      </c>
    </row>
    <row r="1510" spans="1:11" ht="15" customHeight="1" x14ac:dyDescent="0.3">
      <c r="A1510" s="31">
        <v>1505</v>
      </c>
      <c r="B1510" s="32" t="s">
        <v>2878</v>
      </c>
      <c r="C1510" s="32" t="s">
        <v>3277</v>
      </c>
      <c r="D1510" s="32" t="s">
        <v>50</v>
      </c>
      <c r="E1510" s="32" t="s">
        <v>3278</v>
      </c>
      <c r="F1510" s="32" t="s">
        <v>698</v>
      </c>
      <c r="G1510" s="33">
        <v>549.29999999999995</v>
      </c>
      <c r="H1510" s="34">
        <v>5.5780000000000003</v>
      </c>
      <c r="I1510" s="31">
        <v>281000</v>
      </c>
      <c r="J1510" s="35" t="s">
        <v>1259</v>
      </c>
      <c r="K1510" s="36">
        <v>2022</v>
      </c>
    </row>
    <row r="1511" spans="1:11" ht="15" customHeight="1" x14ac:dyDescent="0.3">
      <c r="A1511" s="37">
        <v>1506</v>
      </c>
      <c r="B1511" s="38" t="s">
        <v>2878</v>
      </c>
      <c r="C1511" s="38" t="s">
        <v>3279</v>
      </c>
      <c r="D1511" s="38" t="s">
        <v>50</v>
      </c>
      <c r="E1511" s="38" t="s">
        <v>3280</v>
      </c>
      <c r="F1511" s="38" t="s">
        <v>3281</v>
      </c>
      <c r="G1511" s="39">
        <v>465</v>
      </c>
      <c r="H1511" s="40">
        <v>1.55</v>
      </c>
      <c r="I1511" s="37">
        <v>171800</v>
      </c>
      <c r="J1511" s="41" t="s">
        <v>1259</v>
      </c>
      <c r="K1511" s="42">
        <v>2022</v>
      </c>
    </row>
    <row r="1512" spans="1:11" ht="15" customHeight="1" x14ac:dyDescent="0.3">
      <c r="A1512" s="31">
        <v>1507</v>
      </c>
      <c r="B1512" s="32" t="s">
        <v>2878</v>
      </c>
      <c r="C1512" s="32" t="s">
        <v>3282</v>
      </c>
      <c r="D1512" s="32" t="s">
        <v>50</v>
      </c>
      <c r="E1512" s="32" t="s">
        <v>3283</v>
      </c>
      <c r="F1512" s="32" t="s">
        <v>312</v>
      </c>
      <c r="G1512" s="33">
        <v>34</v>
      </c>
      <c r="H1512" s="34">
        <v>7.1999999999999995E-2</v>
      </c>
      <c r="I1512" s="31">
        <v>143000</v>
      </c>
      <c r="J1512" s="35" t="s">
        <v>1259</v>
      </c>
      <c r="K1512" s="36">
        <v>2022</v>
      </c>
    </row>
    <row r="1513" spans="1:11" ht="15" customHeight="1" x14ac:dyDescent="0.3">
      <c r="A1513" s="37">
        <v>1508</v>
      </c>
      <c r="B1513" s="38" t="s">
        <v>2878</v>
      </c>
      <c r="C1513" s="38" t="s">
        <v>3284</v>
      </c>
      <c r="D1513" s="38" t="s">
        <v>50</v>
      </c>
      <c r="E1513" s="38" t="s">
        <v>3285</v>
      </c>
      <c r="F1513" s="38" t="s">
        <v>402</v>
      </c>
      <c r="G1513" s="39">
        <v>4005</v>
      </c>
      <c r="H1513" s="40">
        <v>6.7569999999999997</v>
      </c>
      <c r="I1513" s="37">
        <v>309000</v>
      </c>
      <c r="J1513" s="41" t="s">
        <v>1259</v>
      </c>
      <c r="K1513" s="42">
        <v>2022</v>
      </c>
    </row>
    <row r="1514" spans="1:11" ht="15" customHeight="1" x14ac:dyDescent="0.3">
      <c r="A1514" s="31">
        <v>1509</v>
      </c>
      <c r="B1514" s="32" t="s">
        <v>3160</v>
      </c>
      <c r="C1514" s="32" t="s">
        <v>3286</v>
      </c>
      <c r="D1514" s="32" t="s">
        <v>3287</v>
      </c>
      <c r="E1514" s="32" t="s">
        <v>3288</v>
      </c>
      <c r="F1514" s="32" t="s">
        <v>658</v>
      </c>
      <c r="G1514" s="33">
        <v>403</v>
      </c>
      <c r="H1514" s="34">
        <v>2.9940000000000002</v>
      </c>
      <c r="I1514" s="31">
        <v>199800</v>
      </c>
      <c r="J1514" s="35" t="s">
        <v>1371</v>
      </c>
      <c r="K1514" s="36">
        <v>2022</v>
      </c>
    </row>
    <row r="1515" spans="1:11" ht="15" customHeight="1" x14ac:dyDescent="0.3">
      <c r="A1515" s="37">
        <v>1510</v>
      </c>
      <c r="B1515" s="38" t="s">
        <v>3160</v>
      </c>
      <c r="C1515" s="38" t="s">
        <v>3289</v>
      </c>
      <c r="D1515" s="38" t="s">
        <v>52</v>
      </c>
      <c r="E1515" s="38" t="s">
        <v>3290</v>
      </c>
      <c r="F1515" s="38" t="s">
        <v>2906</v>
      </c>
      <c r="G1515" s="39">
        <v>260</v>
      </c>
      <c r="H1515" s="40">
        <v>0.7</v>
      </c>
      <c r="I1515" s="37">
        <v>145800</v>
      </c>
      <c r="J1515" s="41" t="s">
        <v>1371</v>
      </c>
      <c r="K1515" s="42">
        <v>2022</v>
      </c>
    </row>
    <row r="1516" spans="1:11" ht="15" customHeight="1" x14ac:dyDescent="0.3">
      <c r="A1516" s="31">
        <v>1511</v>
      </c>
      <c r="B1516" s="32" t="s">
        <v>3160</v>
      </c>
      <c r="C1516" s="32" t="s">
        <v>3291</v>
      </c>
      <c r="D1516" s="32" t="s">
        <v>3292</v>
      </c>
      <c r="E1516" s="32" t="s">
        <v>3293</v>
      </c>
      <c r="F1516" s="32" t="s">
        <v>533</v>
      </c>
      <c r="G1516" s="33">
        <v>5580</v>
      </c>
      <c r="H1516" s="34">
        <v>7.1539999999999999</v>
      </c>
      <c r="I1516" s="31">
        <v>311800</v>
      </c>
      <c r="J1516" s="35" t="s">
        <v>1371</v>
      </c>
      <c r="K1516" s="36">
        <v>2022</v>
      </c>
    </row>
    <row r="1517" spans="1:11" ht="15" customHeight="1" x14ac:dyDescent="0.3">
      <c r="A1517" s="37">
        <v>1512</v>
      </c>
      <c r="B1517" s="38" t="s">
        <v>3160</v>
      </c>
      <c r="C1517" s="38" t="s">
        <v>3294</v>
      </c>
      <c r="D1517" s="38" t="s">
        <v>3295</v>
      </c>
      <c r="E1517" s="38" t="s">
        <v>2935</v>
      </c>
      <c r="F1517" s="38" t="s">
        <v>386</v>
      </c>
      <c r="G1517" s="39">
        <v>504</v>
      </c>
      <c r="H1517" s="40">
        <v>1.014</v>
      </c>
      <c r="I1517" s="37">
        <v>135800</v>
      </c>
      <c r="J1517" s="41" t="s">
        <v>1371</v>
      </c>
      <c r="K1517" s="42">
        <v>2022</v>
      </c>
    </row>
    <row r="1518" spans="1:11" ht="15" customHeight="1" x14ac:dyDescent="0.3">
      <c r="A1518" s="31">
        <v>1513</v>
      </c>
      <c r="B1518" s="32" t="s">
        <v>3160</v>
      </c>
      <c r="C1518" s="32" t="s">
        <v>3296</v>
      </c>
      <c r="D1518" s="32" t="s">
        <v>2813</v>
      </c>
      <c r="E1518" s="32" t="s">
        <v>37</v>
      </c>
      <c r="F1518" s="32" t="s">
        <v>312</v>
      </c>
      <c r="G1518" s="33">
        <v>180</v>
      </c>
      <c r="H1518" s="34">
        <v>0.56299999999999994</v>
      </c>
      <c r="I1518" s="31">
        <v>145800</v>
      </c>
      <c r="J1518" s="35" t="s">
        <v>1371</v>
      </c>
      <c r="K1518" s="36">
        <v>2022</v>
      </c>
    </row>
    <row r="1519" spans="1:11" ht="15" customHeight="1" x14ac:dyDescent="0.3">
      <c r="A1519" s="37">
        <v>1514</v>
      </c>
      <c r="B1519" s="38" t="s">
        <v>3160</v>
      </c>
      <c r="C1519" s="38" t="s">
        <v>3297</v>
      </c>
      <c r="D1519" s="38" t="s">
        <v>2415</v>
      </c>
      <c r="E1519" s="38" t="s">
        <v>3298</v>
      </c>
      <c r="F1519" s="38" t="s">
        <v>2906</v>
      </c>
      <c r="G1519" s="39">
        <v>350</v>
      </c>
      <c r="H1519" s="40">
        <v>0.86399999999999999</v>
      </c>
      <c r="I1519" s="37">
        <v>143000</v>
      </c>
      <c r="J1519" s="41" t="s">
        <v>1371</v>
      </c>
      <c r="K1519" s="42">
        <v>2022</v>
      </c>
    </row>
    <row r="1520" spans="1:11" ht="15" customHeight="1" x14ac:dyDescent="0.3">
      <c r="A1520" s="31">
        <v>1515</v>
      </c>
      <c r="B1520" s="32" t="s">
        <v>3160</v>
      </c>
      <c r="C1520" s="32" t="s">
        <v>3299</v>
      </c>
      <c r="D1520" s="32" t="s">
        <v>50</v>
      </c>
      <c r="E1520" s="32" t="s">
        <v>3084</v>
      </c>
      <c r="F1520" s="32" t="s">
        <v>2906</v>
      </c>
      <c r="G1520" s="33">
        <v>190</v>
      </c>
      <c r="H1520" s="34">
        <v>0.71</v>
      </c>
      <c r="I1520" s="31">
        <v>145800</v>
      </c>
      <c r="J1520" s="35" t="s">
        <v>1371</v>
      </c>
      <c r="K1520" s="36">
        <v>2022</v>
      </c>
    </row>
    <row r="1521" spans="1:11" ht="15" customHeight="1" x14ac:dyDescent="0.3">
      <c r="A1521" s="37">
        <v>1516</v>
      </c>
      <c r="B1521" s="38" t="s">
        <v>3160</v>
      </c>
      <c r="C1521" s="38" t="s">
        <v>3300</v>
      </c>
      <c r="D1521" s="38" t="s">
        <v>2813</v>
      </c>
      <c r="E1521" s="38" t="s">
        <v>37</v>
      </c>
      <c r="F1521" s="38" t="s">
        <v>312</v>
      </c>
      <c r="G1521" s="39">
        <v>50</v>
      </c>
      <c r="H1521" s="40">
        <v>0.25</v>
      </c>
      <c r="I1521" s="37">
        <v>145800</v>
      </c>
      <c r="J1521" s="41" t="s">
        <v>1371</v>
      </c>
      <c r="K1521" s="42">
        <v>2022</v>
      </c>
    </row>
    <row r="1522" spans="1:11" ht="15" customHeight="1" x14ac:dyDescent="0.3">
      <c r="A1522" s="31">
        <v>1517</v>
      </c>
      <c r="B1522" s="32" t="s">
        <v>3160</v>
      </c>
      <c r="C1522" s="32" t="s">
        <v>3301</v>
      </c>
      <c r="D1522" s="32" t="s">
        <v>3302</v>
      </c>
      <c r="E1522" s="32" t="s">
        <v>3303</v>
      </c>
      <c r="F1522" s="32" t="s">
        <v>2906</v>
      </c>
      <c r="G1522" s="33">
        <v>337</v>
      </c>
      <c r="H1522" s="34">
        <v>1.76</v>
      </c>
      <c r="I1522" s="31">
        <v>171800</v>
      </c>
      <c r="J1522" s="35" t="s">
        <v>1371</v>
      </c>
      <c r="K1522" s="36">
        <v>2022</v>
      </c>
    </row>
    <row r="1523" spans="1:11" ht="15" customHeight="1" x14ac:dyDescent="0.3">
      <c r="A1523" s="37">
        <v>1518</v>
      </c>
      <c r="B1523" s="38" t="s">
        <v>2944</v>
      </c>
      <c r="C1523" s="38" t="s">
        <v>3304</v>
      </c>
      <c r="D1523" s="38" t="s">
        <v>2608</v>
      </c>
      <c r="E1523" s="38" t="s">
        <v>55</v>
      </c>
      <c r="F1523" s="38" t="s">
        <v>435</v>
      </c>
      <c r="G1523" s="39">
        <v>3002.6</v>
      </c>
      <c r="H1523" s="40">
        <v>5.28</v>
      </c>
      <c r="I1523" s="37">
        <v>253000</v>
      </c>
      <c r="J1523" s="41" t="s">
        <v>1371</v>
      </c>
      <c r="K1523" s="42">
        <v>2022</v>
      </c>
    </row>
    <row r="1524" spans="1:11" ht="15" customHeight="1" x14ac:dyDescent="0.3">
      <c r="A1524" s="31">
        <v>1519</v>
      </c>
      <c r="B1524" s="32" t="s">
        <v>2944</v>
      </c>
      <c r="C1524" s="32" t="s">
        <v>3305</v>
      </c>
      <c r="D1524" s="32" t="s">
        <v>3306</v>
      </c>
      <c r="E1524" s="32" t="s">
        <v>3307</v>
      </c>
      <c r="F1524" s="32" t="s">
        <v>3308</v>
      </c>
      <c r="G1524" s="33">
        <v>2300</v>
      </c>
      <c r="H1524" s="34">
        <v>3.2</v>
      </c>
      <c r="I1524" s="31">
        <v>197000</v>
      </c>
      <c r="J1524" s="35" t="s">
        <v>1371</v>
      </c>
      <c r="K1524" s="36">
        <v>2022</v>
      </c>
    </row>
    <row r="1525" spans="1:11" ht="15" customHeight="1" x14ac:dyDescent="0.3">
      <c r="A1525" s="37">
        <v>1520</v>
      </c>
      <c r="B1525" s="38" t="s">
        <v>2944</v>
      </c>
      <c r="C1525" s="38" t="s">
        <v>3309</v>
      </c>
      <c r="D1525" s="38" t="s">
        <v>2608</v>
      </c>
      <c r="E1525" s="38" t="s">
        <v>55</v>
      </c>
      <c r="F1525" s="38" t="s">
        <v>435</v>
      </c>
      <c r="G1525" s="39">
        <v>2943</v>
      </c>
      <c r="H1525" s="40">
        <v>3.7829999999999999</v>
      </c>
      <c r="I1525" s="37">
        <v>225000</v>
      </c>
      <c r="J1525" s="41" t="s">
        <v>1371</v>
      </c>
      <c r="K1525" s="42">
        <v>2022</v>
      </c>
    </row>
    <row r="1526" spans="1:11" ht="15" customHeight="1" x14ac:dyDescent="0.3">
      <c r="A1526" s="31">
        <v>1521</v>
      </c>
      <c r="B1526" s="32" t="s">
        <v>2944</v>
      </c>
      <c r="C1526" s="32" t="s">
        <v>3310</v>
      </c>
      <c r="D1526" s="32" t="s">
        <v>3311</v>
      </c>
      <c r="E1526" s="32" t="s">
        <v>45</v>
      </c>
      <c r="F1526" s="32" t="s">
        <v>312</v>
      </c>
      <c r="G1526" s="33">
        <v>1576</v>
      </c>
      <c r="H1526" s="34">
        <v>0.91800000000000004</v>
      </c>
      <c r="I1526" s="31">
        <v>169000</v>
      </c>
      <c r="J1526" s="35" t="s">
        <v>1371</v>
      </c>
      <c r="K1526" s="36">
        <v>2022</v>
      </c>
    </row>
    <row r="1527" spans="1:11" ht="15" customHeight="1" x14ac:dyDescent="0.3">
      <c r="A1527" s="37">
        <v>1522</v>
      </c>
      <c r="B1527" s="38" t="s">
        <v>2944</v>
      </c>
      <c r="C1527" s="38" t="s">
        <v>3312</v>
      </c>
      <c r="D1527" s="38" t="s">
        <v>3313</v>
      </c>
      <c r="E1527" s="38" t="s">
        <v>2935</v>
      </c>
      <c r="F1527" s="38" t="s">
        <v>373</v>
      </c>
      <c r="G1527" s="39">
        <v>1046</v>
      </c>
      <c r="H1527" s="40">
        <v>3.234</v>
      </c>
      <c r="I1527" s="37">
        <v>199800</v>
      </c>
      <c r="J1527" s="41" t="s">
        <v>1371</v>
      </c>
      <c r="K1527" s="42">
        <v>2022</v>
      </c>
    </row>
    <row r="1528" spans="1:11" ht="15" customHeight="1" x14ac:dyDescent="0.3">
      <c r="A1528" s="31">
        <v>1523</v>
      </c>
      <c r="B1528" s="32" t="s">
        <v>2944</v>
      </c>
      <c r="C1528" s="32" t="s">
        <v>3314</v>
      </c>
      <c r="D1528" s="32" t="s">
        <v>2608</v>
      </c>
      <c r="E1528" s="32" t="s">
        <v>55</v>
      </c>
      <c r="F1528" s="32" t="s">
        <v>435</v>
      </c>
      <c r="G1528" s="33">
        <v>2934.2</v>
      </c>
      <c r="H1528" s="34">
        <v>4.1790000000000003</v>
      </c>
      <c r="I1528" s="31">
        <v>225000</v>
      </c>
      <c r="J1528" s="35" t="s">
        <v>1371</v>
      </c>
      <c r="K1528" s="36">
        <v>2022</v>
      </c>
    </row>
    <row r="1529" spans="1:11" ht="15" customHeight="1" x14ac:dyDescent="0.3">
      <c r="A1529" s="37">
        <v>1524</v>
      </c>
      <c r="B1529" s="38" t="s">
        <v>2944</v>
      </c>
      <c r="C1529" s="38" t="s">
        <v>3315</v>
      </c>
      <c r="D1529" s="38" t="s">
        <v>3316</v>
      </c>
      <c r="E1529" s="38" t="s">
        <v>35</v>
      </c>
      <c r="F1529" s="38" t="s">
        <v>312</v>
      </c>
      <c r="G1529" s="39">
        <v>660</v>
      </c>
      <c r="H1529" s="40">
        <v>1.0489999999999999</v>
      </c>
      <c r="I1529" s="37">
        <v>145800</v>
      </c>
      <c r="J1529" s="41" t="s">
        <v>1371</v>
      </c>
      <c r="K1529" s="42">
        <v>2022</v>
      </c>
    </row>
    <row r="1530" spans="1:11" ht="15" customHeight="1" x14ac:dyDescent="0.3">
      <c r="A1530" s="31">
        <v>1525</v>
      </c>
      <c r="B1530" s="32" t="s">
        <v>2944</v>
      </c>
      <c r="C1530" s="32" t="s">
        <v>3317</v>
      </c>
      <c r="D1530" s="32" t="s">
        <v>3318</v>
      </c>
      <c r="E1530" s="32" t="s">
        <v>35</v>
      </c>
      <c r="F1530" s="32" t="s">
        <v>1031</v>
      </c>
      <c r="G1530" s="33">
        <v>637</v>
      </c>
      <c r="H1530" s="34">
        <v>2.194</v>
      </c>
      <c r="I1530" s="31">
        <v>171800</v>
      </c>
      <c r="J1530" s="35" t="s">
        <v>1371</v>
      </c>
      <c r="K1530" s="36">
        <v>2022</v>
      </c>
    </row>
    <row r="1531" spans="1:11" ht="15" customHeight="1" x14ac:dyDescent="0.3">
      <c r="A1531" s="37">
        <v>1526</v>
      </c>
      <c r="B1531" s="38" t="s">
        <v>2944</v>
      </c>
      <c r="C1531" s="38" t="s">
        <v>3319</v>
      </c>
      <c r="D1531" s="38" t="s">
        <v>2608</v>
      </c>
      <c r="E1531" s="38" t="s">
        <v>55</v>
      </c>
      <c r="F1531" s="38" t="s">
        <v>287</v>
      </c>
      <c r="G1531" s="39">
        <v>2686.8</v>
      </c>
      <c r="H1531" s="40">
        <v>4.359</v>
      </c>
      <c r="I1531" s="37">
        <v>225000</v>
      </c>
      <c r="J1531" s="41" t="s">
        <v>1371</v>
      </c>
      <c r="K1531" s="42">
        <v>2022</v>
      </c>
    </row>
    <row r="1532" spans="1:11" ht="15" customHeight="1" x14ac:dyDescent="0.3">
      <c r="A1532" s="31">
        <v>1527</v>
      </c>
      <c r="B1532" s="32" t="s">
        <v>2944</v>
      </c>
      <c r="C1532" s="32" t="s">
        <v>3320</v>
      </c>
      <c r="D1532" s="32" t="s">
        <v>3056</v>
      </c>
      <c r="E1532" s="32" t="s">
        <v>3321</v>
      </c>
      <c r="F1532" s="32" t="s">
        <v>287</v>
      </c>
      <c r="G1532" s="33">
        <v>92</v>
      </c>
      <c r="H1532" s="34">
        <v>0.85499999999999998</v>
      </c>
      <c r="I1532" s="31">
        <v>143000</v>
      </c>
      <c r="J1532" s="35" t="s">
        <v>1371</v>
      </c>
      <c r="K1532" s="36">
        <v>2022</v>
      </c>
    </row>
    <row r="1533" spans="1:11" ht="15" customHeight="1" x14ac:dyDescent="0.3">
      <c r="A1533" s="37">
        <v>1528</v>
      </c>
      <c r="B1533" s="38" t="s">
        <v>2944</v>
      </c>
      <c r="C1533" s="38" t="s">
        <v>3322</v>
      </c>
      <c r="D1533" s="38" t="s">
        <v>3323</v>
      </c>
      <c r="E1533" s="38" t="s">
        <v>3324</v>
      </c>
      <c r="F1533" s="38" t="s">
        <v>517</v>
      </c>
      <c r="G1533" s="39">
        <v>1137</v>
      </c>
      <c r="H1533" s="40">
        <v>3.3849999999999998</v>
      </c>
      <c r="I1533" s="37">
        <v>197000</v>
      </c>
      <c r="J1533" s="41" t="s">
        <v>1371</v>
      </c>
      <c r="K1533" s="42">
        <v>2022</v>
      </c>
    </row>
    <row r="1534" spans="1:11" ht="15" customHeight="1" x14ac:dyDescent="0.3">
      <c r="A1534" s="31">
        <v>1529</v>
      </c>
      <c r="B1534" s="32" t="s">
        <v>2944</v>
      </c>
      <c r="C1534" s="32" t="s">
        <v>3325</v>
      </c>
      <c r="D1534" s="32" t="s">
        <v>3177</v>
      </c>
      <c r="E1534" s="32" t="s">
        <v>3293</v>
      </c>
      <c r="F1534" s="32" t="s">
        <v>312</v>
      </c>
      <c r="G1534" s="33">
        <v>630</v>
      </c>
      <c r="H1534" s="34">
        <v>1.3009999999999999</v>
      </c>
      <c r="I1534" s="31">
        <v>145800</v>
      </c>
      <c r="J1534" s="35" t="s">
        <v>1371</v>
      </c>
      <c r="K1534" s="36">
        <v>2022</v>
      </c>
    </row>
    <row r="1535" spans="1:11" ht="15" customHeight="1" x14ac:dyDescent="0.3">
      <c r="A1535" s="37">
        <v>1530</v>
      </c>
      <c r="B1535" s="38" t="s">
        <v>2944</v>
      </c>
      <c r="C1535" s="38" t="s">
        <v>3326</v>
      </c>
      <c r="D1535" s="38" t="s">
        <v>3327</v>
      </c>
      <c r="E1535" s="38" t="s">
        <v>3293</v>
      </c>
      <c r="F1535" s="38" t="s">
        <v>287</v>
      </c>
      <c r="G1535" s="39">
        <v>240</v>
      </c>
      <c r="H1535" s="40">
        <v>3.7440000000000002</v>
      </c>
      <c r="I1535" s="37">
        <v>227800</v>
      </c>
      <c r="J1535" s="41" t="s">
        <v>1371</v>
      </c>
      <c r="K1535" s="42">
        <v>2022</v>
      </c>
    </row>
    <row r="1536" spans="1:11" ht="15" customHeight="1" x14ac:dyDescent="0.3">
      <c r="A1536" s="31">
        <v>1531</v>
      </c>
      <c r="B1536" s="32" t="s">
        <v>2944</v>
      </c>
      <c r="C1536" s="32" t="s">
        <v>3328</v>
      </c>
      <c r="D1536" s="32" t="s">
        <v>3329</v>
      </c>
      <c r="E1536" s="32" t="s">
        <v>3330</v>
      </c>
      <c r="F1536" s="32" t="s">
        <v>486</v>
      </c>
      <c r="G1536" s="33">
        <v>2972</v>
      </c>
      <c r="H1536" s="34">
        <v>2.0499999999999998</v>
      </c>
      <c r="I1536" s="31">
        <v>171800</v>
      </c>
      <c r="J1536" s="35" t="s">
        <v>1371</v>
      </c>
      <c r="K1536" s="36">
        <v>2022</v>
      </c>
    </row>
    <row r="1537" spans="1:11" ht="15" customHeight="1" x14ac:dyDescent="0.3">
      <c r="A1537" s="37">
        <v>1532</v>
      </c>
      <c r="B1537" s="38" t="s">
        <v>2944</v>
      </c>
      <c r="C1537" s="38" t="s">
        <v>3331</v>
      </c>
      <c r="D1537" s="38" t="s">
        <v>3332</v>
      </c>
      <c r="E1537" s="38" t="s">
        <v>1975</v>
      </c>
      <c r="F1537" s="38" t="s">
        <v>2906</v>
      </c>
      <c r="G1537" s="39">
        <v>680</v>
      </c>
      <c r="H1537" s="40">
        <v>0.432</v>
      </c>
      <c r="I1537" s="37">
        <v>143000</v>
      </c>
      <c r="J1537" s="41" t="s">
        <v>1371</v>
      </c>
      <c r="K1537" s="42">
        <v>2022</v>
      </c>
    </row>
    <row r="1538" spans="1:11" ht="15" customHeight="1" x14ac:dyDescent="0.3">
      <c r="A1538" s="31">
        <v>1533</v>
      </c>
      <c r="B1538" s="32" t="s">
        <v>2944</v>
      </c>
      <c r="C1538" s="32" t="s">
        <v>3333</v>
      </c>
      <c r="D1538" s="32" t="s">
        <v>3334</v>
      </c>
      <c r="E1538" s="32" t="s">
        <v>41</v>
      </c>
      <c r="F1538" s="32" t="s">
        <v>2906</v>
      </c>
      <c r="G1538" s="33">
        <v>397</v>
      </c>
      <c r="H1538" s="34">
        <v>0.97899999999999998</v>
      </c>
      <c r="I1538" s="31">
        <v>145800</v>
      </c>
      <c r="J1538" s="35" t="s">
        <v>1371</v>
      </c>
      <c r="K1538" s="36">
        <v>2022</v>
      </c>
    </row>
    <row r="1539" spans="1:11" ht="15" customHeight="1" x14ac:dyDescent="0.3">
      <c r="A1539" s="37">
        <v>1534</v>
      </c>
      <c r="B1539" s="38" t="s">
        <v>2944</v>
      </c>
      <c r="C1539" s="38" t="s">
        <v>3335</v>
      </c>
      <c r="D1539" s="38" t="s">
        <v>3336</v>
      </c>
      <c r="E1539" s="38" t="s">
        <v>3337</v>
      </c>
      <c r="F1539" s="38" t="s">
        <v>386</v>
      </c>
      <c r="G1539" s="39">
        <v>500</v>
      </c>
      <c r="H1539" s="40">
        <v>5.0069999999999997</v>
      </c>
      <c r="I1539" s="37">
        <v>255800</v>
      </c>
      <c r="J1539" s="41" t="s">
        <v>1371</v>
      </c>
      <c r="K1539" s="42">
        <v>2022</v>
      </c>
    </row>
    <row r="1540" spans="1:11" ht="15" customHeight="1" x14ac:dyDescent="0.3">
      <c r="A1540" s="31">
        <v>1535</v>
      </c>
      <c r="B1540" s="32" t="s">
        <v>2944</v>
      </c>
      <c r="C1540" s="32" t="s">
        <v>3338</v>
      </c>
      <c r="D1540" s="32" t="s">
        <v>3339</v>
      </c>
      <c r="E1540" s="32" t="s">
        <v>3340</v>
      </c>
      <c r="F1540" s="32" t="s">
        <v>2446</v>
      </c>
      <c r="G1540" s="33">
        <v>504</v>
      </c>
      <c r="H1540" s="34">
        <v>1.74</v>
      </c>
      <c r="I1540" s="31">
        <v>169000</v>
      </c>
      <c r="J1540" s="35" t="s">
        <v>1371</v>
      </c>
      <c r="K1540" s="36">
        <v>2022</v>
      </c>
    </row>
    <row r="1541" spans="1:11" ht="15" customHeight="1" x14ac:dyDescent="0.3">
      <c r="A1541" s="37">
        <v>1536</v>
      </c>
      <c r="B1541" s="38" t="s">
        <v>3341</v>
      </c>
      <c r="C1541" s="38" t="s">
        <v>3342</v>
      </c>
      <c r="D1541" s="38" t="s">
        <v>3343</v>
      </c>
      <c r="E1541" s="38" t="s">
        <v>35</v>
      </c>
      <c r="F1541" s="38" t="s">
        <v>316</v>
      </c>
      <c r="G1541" s="39">
        <v>530</v>
      </c>
      <c r="H1541" s="40">
        <v>1.2709999999999999</v>
      </c>
      <c r="I1541" s="37">
        <v>145800</v>
      </c>
      <c r="J1541" s="41" t="s">
        <v>1371</v>
      </c>
      <c r="K1541" s="42">
        <v>2022</v>
      </c>
    </row>
    <row r="1542" spans="1:11" ht="15" customHeight="1" x14ac:dyDescent="0.3">
      <c r="A1542" s="31">
        <v>1537</v>
      </c>
      <c r="B1542" s="32" t="s">
        <v>3341</v>
      </c>
      <c r="C1542" s="32" t="s">
        <v>3344</v>
      </c>
      <c r="D1542" s="32" t="s">
        <v>52</v>
      </c>
      <c r="E1542" s="32" t="s">
        <v>35</v>
      </c>
      <c r="F1542" s="32" t="s">
        <v>316</v>
      </c>
      <c r="G1542" s="33">
        <v>1500</v>
      </c>
      <c r="H1542" s="34">
        <v>1.9039999999999999</v>
      </c>
      <c r="I1542" s="31">
        <v>145800</v>
      </c>
      <c r="J1542" s="35" t="s">
        <v>1371</v>
      </c>
      <c r="K1542" s="36">
        <v>2022</v>
      </c>
    </row>
    <row r="1543" spans="1:11" ht="15" customHeight="1" x14ac:dyDescent="0.3">
      <c r="A1543" s="37">
        <v>1538</v>
      </c>
      <c r="B1543" s="38" t="s">
        <v>3341</v>
      </c>
      <c r="C1543" s="38" t="s">
        <v>3345</v>
      </c>
      <c r="D1543" s="38" t="s">
        <v>3346</v>
      </c>
      <c r="E1543" s="38" t="s">
        <v>3347</v>
      </c>
      <c r="F1543" s="38" t="s">
        <v>435</v>
      </c>
      <c r="G1543" s="39">
        <v>1400</v>
      </c>
      <c r="H1543" s="40">
        <v>4</v>
      </c>
      <c r="I1543" s="37">
        <v>227800</v>
      </c>
      <c r="J1543" s="41" t="s">
        <v>1371</v>
      </c>
      <c r="K1543" s="42">
        <v>2022</v>
      </c>
    </row>
    <row r="1544" spans="1:11" ht="15" customHeight="1" x14ac:dyDescent="0.3">
      <c r="A1544" s="31">
        <v>1539</v>
      </c>
      <c r="B1544" s="32" t="s">
        <v>3341</v>
      </c>
      <c r="C1544" s="32" t="s">
        <v>3348</v>
      </c>
      <c r="D1544" s="32" t="s">
        <v>3349</v>
      </c>
      <c r="E1544" s="32" t="s">
        <v>3350</v>
      </c>
      <c r="F1544" s="32" t="s">
        <v>316</v>
      </c>
      <c r="G1544" s="33">
        <v>79</v>
      </c>
      <c r="H1544" s="34">
        <v>1.732</v>
      </c>
      <c r="I1544" s="31">
        <v>171800</v>
      </c>
      <c r="J1544" s="35" t="s">
        <v>1371</v>
      </c>
      <c r="K1544" s="36">
        <v>2022</v>
      </c>
    </row>
    <row r="1545" spans="1:11" ht="15" customHeight="1" x14ac:dyDescent="0.3">
      <c r="A1545" s="37">
        <v>1540</v>
      </c>
      <c r="B1545" s="38" t="s">
        <v>3341</v>
      </c>
      <c r="C1545" s="38" t="s">
        <v>3351</v>
      </c>
      <c r="D1545" s="38" t="s">
        <v>3352</v>
      </c>
      <c r="E1545" s="38" t="s">
        <v>45</v>
      </c>
      <c r="F1545" s="38" t="s">
        <v>2906</v>
      </c>
      <c r="G1545" s="39">
        <v>500</v>
      </c>
      <c r="H1545" s="40">
        <v>0.91400000000000003</v>
      </c>
      <c r="I1545" s="37">
        <v>143000</v>
      </c>
      <c r="J1545" s="41" t="s">
        <v>1371</v>
      </c>
      <c r="K1545" s="42">
        <v>2022</v>
      </c>
    </row>
    <row r="1546" spans="1:11" ht="15" customHeight="1" x14ac:dyDescent="0.3">
      <c r="A1546" s="31">
        <v>1541</v>
      </c>
      <c r="B1546" s="32" t="s">
        <v>3341</v>
      </c>
      <c r="C1546" s="32" t="s">
        <v>3353</v>
      </c>
      <c r="D1546" s="32" t="s">
        <v>3354</v>
      </c>
      <c r="E1546" s="32" t="s">
        <v>477</v>
      </c>
      <c r="F1546" s="32" t="s">
        <v>312</v>
      </c>
      <c r="G1546" s="33">
        <v>200</v>
      </c>
      <c r="H1546" s="34">
        <v>0.48299999999999998</v>
      </c>
      <c r="I1546" s="31">
        <v>145800</v>
      </c>
      <c r="J1546" s="35" t="s">
        <v>1371</v>
      </c>
      <c r="K1546" s="36">
        <v>2022</v>
      </c>
    </row>
    <row r="1547" spans="1:11" ht="15" customHeight="1" x14ac:dyDescent="0.3">
      <c r="A1547" s="37">
        <v>1542</v>
      </c>
      <c r="B1547" s="38" t="s">
        <v>3341</v>
      </c>
      <c r="C1547" s="38" t="s">
        <v>3355</v>
      </c>
      <c r="D1547" s="38" t="s">
        <v>64</v>
      </c>
      <c r="E1547" s="38" t="s">
        <v>2935</v>
      </c>
      <c r="F1547" s="38" t="s">
        <v>490</v>
      </c>
      <c r="G1547" s="39">
        <v>285.5</v>
      </c>
      <c r="H1547" s="40">
        <v>1.623</v>
      </c>
      <c r="I1547" s="37">
        <v>171800</v>
      </c>
      <c r="J1547" s="41" t="s">
        <v>1371</v>
      </c>
      <c r="K1547" s="42">
        <v>2022</v>
      </c>
    </row>
    <row r="1548" spans="1:11" ht="15" customHeight="1" x14ac:dyDescent="0.3">
      <c r="A1548" s="31">
        <v>1543</v>
      </c>
      <c r="B1548" s="32" t="s">
        <v>3341</v>
      </c>
      <c r="C1548" s="32" t="s">
        <v>3356</v>
      </c>
      <c r="D1548" s="32" t="s">
        <v>3357</v>
      </c>
      <c r="E1548" s="32" t="s">
        <v>35</v>
      </c>
      <c r="F1548" s="32" t="s">
        <v>435</v>
      </c>
      <c r="G1548" s="33">
        <v>9480</v>
      </c>
      <c r="H1548" s="34">
        <v>9.2249999999999996</v>
      </c>
      <c r="I1548" s="31">
        <v>358800</v>
      </c>
      <c r="J1548" s="35" t="s">
        <v>1371</v>
      </c>
      <c r="K1548" s="36">
        <v>2022</v>
      </c>
    </row>
    <row r="1549" spans="1:11" ht="15" customHeight="1" x14ac:dyDescent="0.3">
      <c r="A1549" s="37">
        <v>1544</v>
      </c>
      <c r="B1549" s="38" t="s">
        <v>2944</v>
      </c>
      <c r="C1549" s="38" t="s">
        <v>3358</v>
      </c>
      <c r="D1549" s="38" t="s">
        <v>3359</v>
      </c>
      <c r="E1549" s="38" t="s">
        <v>2650</v>
      </c>
      <c r="F1549" s="38" t="s">
        <v>689</v>
      </c>
      <c r="G1549" s="39">
        <v>1565</v>
      </c>
      <c r="H1549" s="40">
        <v>8.32</v>
      </c>
      <c r="I1549" s="37">
        <v>331800</v>
      </c>
      <c r="J1549" s="41" t="s">
        <v>1371</v>
      </c>
      <c r="K1549" s="42">
        <v>2022</v>
      </c>
    </row>
    <row r="1550" spans="1:11" ht="15" customHeight="1" x14ac:dyDescent="0.3">
      <c r="A1550" s="31">
        <v>1545</v>
      </c>
      <c r="B1550" s="32" t="s">
        <v>2944</v>
      </c>
      <c r="C1550" s="32" t="s">
        <v>3360</v>
      </c>
      <c r="D1550" s="32" t="s">
        <v>3361</v>
      </c>
      <c r="E1550" s="32" t="s">
        <v>2556</v>
      </c>
      <c r="F1550" s="32" t="s">
        <v>3362</v>
      </c>
      <c r="G1550" s="33">
        <v>70</v>
      </c>
      <c r="H1550" s="34">
        <v>0.32</v>
      </c>
      <c r="I1550" s="31">
        <v>145800</v>
      </c>
      <c r="J1550" s="35" t="s">
        <v>1371</v>
      </c>
      <c r="K1550" s="36">
        <v>2022</v>
      </c>
    </row>
    <row r="1551" spans="1:11" ht="15" customHeight="1" x14ac:dyDescent="0.3">
      <c r="A1551" s="37">
        <v>1546</v>
      </c>
      <c r="B1551" s="38" t="s">
        <v>2944</v>
      </c>
      <c r="C1551" s="38" t="s">
        <v>3363</v>
      </c>
      <c r="D1551" s="38" t="s">
        <v>62</v>
      </c>
      <c r="E1551" s="38" t="s">
        <v>59</v>
      </c>
      <c r="F1551" s="38" t="s">
        <v>2906</v>
      </c>
      <c r="G1551" s="39">
        <v>209</v>
      </c>
      <c r="H1551" s="40">
        <v>0.79600000000000004</v>
      </c>
      <c r="I1551" s="37">
        <v>145800</v>
      </c>
      <c r="J1551" s="41" t="s">
        <v>1371</v>
      </c>
      <c r="K1551" s="42">
        <v>2022</v>
      </c>
    </row>
    <row r="1552" spans="1:11" ht="15" customHeight="1" x14ac:dyDescent="0.3">
      <c r="A1552" s="31">
        <v>1547</v>
      </c>
      <c r="B1552" s="32" t="s">
        <v>2944</v>
      </c>
      <c r="C1552" s="32" t="s">
        <v>3363</v>
      </c>
      <c r="D1552" s="32" t="s">
        <v>62</v>
      </c>
      <c r="E1552" s="32" t="s">
        <v>59</v>
      </c>
      <c r="F1552" s="32" t="s">
        <v>2906</v>
      </c>
      <c r="G1552" s="33">
        <v>178</v>
      </c>
      <c r="H1552" s="34">
        <v>0.91200000000000003</v>
      </c>
      <c r="I1552" s="31">
        <v>171800</v>
      </c>
      <c r="J1552" s="35" t="s">
        <v>1371</v>
      </c>
      <c r="K1552" s="36">
        <v>2022</v>
      </c>
    </row>
    <row r="1553" spans="1:11" ht="15" customHeight="1" x14ac:dyDescent="0.3">
      <c r="A1553" s="37">
        <v>1548</v>
      </c>
      <c r="B1553" s="38" t="s">
        <v>2944</v>
      </c>
      <c r="C1553" s="38" t="s">
        <v>3364</v>
      </c>
      <c r="D1553" s="38" t="s">
        <v>3365</v>
      </c>
      <c r="E1553" s="38" t="s">
        <v>1746</v>
      </c>
      <c r="F1553" s="38" t="s">
        <v>3366</v>
      </c>
      <c r="G1553" s="39">
        <v>1851</v>
      </c>
      <c r="H1553" s="40">
        <v>1.621</v>
      </c>
      <c r="I1553" s="37">
        <v>169000</v>
      </c>
      <c r="J1553" s="41" t="s">
        <v>1371</v>
      </c>
      <c r="K1553" s="42">
        <v>2022</v>
      </c>
    </row>
    <row r="1554" spans="1:11" ht="15" customHeight="1" x14ac:dyDescent="0.3">
      <c r="A1554" s="31">
        <v>1549</v>
      </c>
      <c r="B1554" s="32" t="s">
        <v>3367</v>
      </c>
      <c r="C1554" s="32" t="s">
        <v>3368</v>
      </c>
      <c r="D1554" s="32" t="s">
        <v>2608</v>
      </c>
      <c r="E1554" s="32" t="s">
        <v>63</v>
      </c>
      <c r="F1554" s="32" t="s">
        <v>316</v>
      </c>
      <c r="G1554" s="33">
        <v>1056</v>
      </c>
      <c r="H1554" s="34">
        <v>2.0739999999999998</v>
      </c>
      <c r="I1554" s="31">
        <v>171800</v>
      </c>
      <c r="J1554" s="35" t="s">
        <v>1404</v>
      </c>
      <c r="K1554" s="36">
        <v>2022</v>
      </c>
    </row>
    <row r="1555" spans="1:11" ht="15" customHeight="1" x14ac:dyDescent="0.3">
      <c r="A1555" s="37">
        <v>1550</v>
      </c>
      <c r="B1555" s="38" t="s">
        <v>3367</v>
      </c>
      <c r="C1555" s="38" t="s">
        <v>3369</v>
      </c>
      <c r="D1555" s="38" t="s">
        <v>3370</v>
      </c>
      <c r="E1555" s="38" t="s">
        <v>3371</v>
      </c>
      <c r="F1555" s="38" t="s">
        <v>3372</v>
      </c>
      <c r="G1555" s="39">
        <v>559.20000000000005</v>
      </c>
      <c r="H1555" s="40">
        <v>2.3570000000000002</v>
      </c>
      <c r="I1555" s="37">
        <v>169000</v>
      </c>
      <c r="J1555" s="41" t="s">
        <v>1404</v>
      </c>
      <c r="K1555" s="42">
        <v>2022</v>
      </c>
    </row>
    <row r="1556" spans="1:11" ht="15" customHeight="1" x14ac:dyDescent="0.3">
      <c r="A1556" s="31">
        <v>1551</v>
      </c>
      <c r="B1556" s="32" t="s">
        <v>3367</v>
      </c>
      <c r="C1556" s="32" t="s">
        <v>3373</v>
      </c>
      <c r="D1556" s="32" t="s">
        <v>2050</v>
      </c>
      <c r="E1556" s="32" t="s">
        <v>3374</v>
      </c>
      <c r="F1556" s="32" t="s">
        <v>287</v>
      </c>
      <c r="G1556" s="33">
        <v>1141.06</v>
      </c>
      <c r="H1556" s="34">
        <v>4.2130000000000001</v>
      </c>
      <c r="I1556" s="31">
        <v>227800</v>
      </c>
      <c r="J1556" s="35" t="s">
        <v>1404</v>
      </c>
      <c r="K1556" s="36">
        <v>2022</v>
      </c>
    </row>
    <row r="1557" spans="1:11" ht="15" customHeight="1" x14ac:dyDescent="0.3">
      <c r="A1557" s="37">
        <v>1552</v>
      </c>
      <c r="B1557" s="38" t="s">
        <v>3367</v>
      </c>
      <c r="C1557" s="38" t="s">
        <v>3375</v>
      </c>
      <c r="D1557" s="38" t="s">
        <v>3376</v>
      </c>
      <c r="E1557" s="38" t="s">
        <v>3377</v>
      </c>
      <c r="F1557" s="38" t="s">
        <v>316</v>
      </c>
      <c r="G1557" s="39">
        <v>227.76</v>
      </c>
      <c r="H1557" s="40">
        <v>2.0539999999999998</v>
      </c>
      <c r="I1557" s="37">
        <v>169000</v>
      </c>
      <c r="J1557" s="41" t="s">
        <v>1404</v>
      </c>
      <c r="K1557" s="42">
        <v>2022</v>
      </c>
    </row>
    <row r="1558" spans="1:11" ht="15" customHeight="1" x14ac:dyDescent="0.3">
      <c r="A1558" s="31">
        <v>1553</v>
      </c>
      <c r="B1558" s="32" t="s">
        <v>3367</v>
      </c>
      <c r="C1558" s="32" t="s">
        <v>3378</v>
      </c>
      <c r="D1558" s="32" t="s">
        <v>3379</v>
      </c>
      <c r="E1558" s="32" t="s">
        <v>3380</v>
      </c>
      <c r="F1558" s="32" t="s">
        <v>287</v>
      </c>
      <c r="G1558" s="33">
        <v>1150</v>
      </c>
      <c r="H1558" s="34">
        <v>2.8319999999999999</v>
      </c>
      <c r="I1558" s="31">
        <v>199800</v>
      </c>
      <c r="J1558" s="35" t="s">
        <v>1404</v>
      </c>
      <c r="K1558" s="36">
        <v>2022</v>
      </c>
    </row>
    <row r="1559" spans="1:11" ht="15" customHeight="1" x14ac:dyDescent="0.3">
      <c r="A1559" s="37">
        <v>1554</v>
      </c>
      <c r="B1559" s="38" t="s">
        <v>3367</v>
      </c>
      <c r="C1559" s="38" t="s">
        <v>3381</v>
      </c>
      <c r="D1559" s="38" t="s">
        <v>2214</v>
      </c>
      <c r="E1559" s="38" t="s">
        <v>3382</v>
      </c>
      <c r="F1559" s="38" t="s">
        <v>435</v>
      </c>
      <c r="G1559" s="39">
        <v>2300</v>
      </c>
      <c r="H1559" s="40">
        <v>20.963999999999999</v>
      </c>
      <c r="I1559" s="37">
        <v>682800</v>
      </c>
      <c r="J1559" s="41" t="s">
        <v>1404</v>
      </c>
      <c r="K1559" s="42">
        <v>2022</v>
      </c>
    </row>
    <row r="1560" spans="1:11" ht="15" customHeight="1" x14ac:dyDescent="0.3">
      <c r="A1560" s="31">
        <v>1555</v>
      </c>
      <c r="B1560" s="32" t="s">
        <v>3367</v>
      </c>
      <c r="C1560" s="32" t="s">
        <v>3383</v>
      </c>
      <c r="D1560" s="32" t="s">
        <v>3384</v>
      </c>
      <c r="E1560" s="32" t="s">
        <v>3385</v>
      </c>
      <c r="F1560" s="32" t="s">
        <v>2490</v>
      </c>
      <c r="G1560" s="33">
        <v>1830.43</v>
      </c>
      <c r="H1560" s="34">
        <v>9.2840000000000007</v>
      </c>
      <c r="I1560" s="31">
        <v>171800</v>
      </c>
      <c r="J1560" s="35" t="s">
        <v>1404</v>
      </c>
      <c r="K1560" s="36">
        <v>2022</v>
      </c>
    </row>
    <row r="1561" spans="1:11" ht="15" customHeight="1" x14ac:dyDescent="0.3">
      <c r="A1561" s="37">
        <v>1556</v>
      </c>
      <c r="B1561" s="38" t="s">
        <v>3367</v>
      </c>
      <c r="C1561" s="38" t="s">
        <v>3386</v>
      </c>
      <c r="D1561" s="38" t="s">
        <v>56</v>
      </c>
      <c r="E1561" s="38" t="s">
        <v>41</v>
      </c>
      <c r="F1561" s="38" t="s">
        <v>1095</v>
      </c>
      <c r="G1561" s="39">
        <v>1388</v>
      </c>
      <c r="H1561" s="40">
        <v>5.444</v>
      </c>
      <c r="I1561" s="37">
        <v>255800</v>
      </c>
      <c r="J1561" s="41" t="s">
        <v>1404</v>
      </c>
      <c r="K1561" s="42">
        <v>2022</v>
      </c>
    </row>
    <row r="1562" spans="1:11" ht="15" customHeight="1" x14ac:dyDescent="0.3">
      <c r="A1562" s="31">
        <v>1557</v>
      </c>
      <c r="B1562" s="32" t="s">
        <v>3367</v>
      </c>
      <c r="C1562" s="32" t="s">
        <v>3387</v>
      </c>
      <c r="D1562" s="32" t="s">
        <v>3388</v>
      </c>
      <c r="E1562" s="32" t="s">
        <v>3389</v>
      </c>
      <c r="F1562" s="32" t="s">
        <v>435</v>
      </c>
      <c r="G1562" s="33">
        <v>648</v>
      </c>
      <c r="H1562" s="34">
        <v>5.8</v>
      </c>
      <c r="I1562" s="31">
        <v>283800</v>
      </c>
      <c r="J1562" s="35" t="s">
        <v>1404</v>
      </c>
      <c r="K1562" s="36">
        <v>2022</v>
      </c>
    </row>
    <row r="1563" spans="1:11" ht="15" customHeight="1" x14ac:dyDescent="0.3">
      <c r="A1563" s="37">
        <v>1558</v>
      </c>
      <c r="B1563" s="38" t="s">
        <v>3367</v>
      </c>
      <c r="C1563" s="38" t="s">
        <v>3390</v>
      </c>
      <c r="D1563" s="38" t="s">
        <v>36</v>
      </c>
      <c r="E1563" s="38" t="s">
        <v>37</v>
      </c>
      <c r="F1563" s="38" t="s">
        <v>312</v>
      </c>
      <c r="G1563" s="39">
        <v>35</v>
      </c>
      <c r="H1563" s="40">
        <v>0.192</v>
      </c>
      <c r="I1563" s="37">
        <v>145800</v>
      </c>
      <c r="J1563" s="41" t="s">
        <v>1404</v>
      </c>
      <c r="K1563" s="42">
        <v>2022</v>
      </c>
    </row>
    <row r="1564" spans="1:11" ht="15" customHeight="1" x14ac:dyDescent="0.3">
      <c r="A1564" s="31">
        <v>1559</v>
      </c>
      <c r="B1564" s="32" t="s">
        <v>3367</v>
      </c>
      <c r="C1564" s="32" t="s">
        <v>3391</v>
      </c>
      <c r="D1564" s="32" t="s">
        <v>3392</v>
      </c>
      <c r="E1564" s="32" t="s">
        <v>3393</v>
      </c>
      <c r="F1564" s="32" t="s">
        <v>3394</v>
      </c>
      <c r="G1564" s="33">
        <v>727</v>
      </c>
      <c r="H1564" s="34">
        <v>1.7</v>
      </c>
      <c r="I1564" s="31">
        <v>169000</v>
      </c>
      <c r="J1564" s="35" t="s">
        <v>1404</v>
      </c>
      <c r="K1564" s="36">
        <v>2022</v>
      </c>
    </row>
    <row r="1565" spans="1:11" ht="15" customHeight="1" x14ac:dyDescent="0.3">
      <c r="A1565" s="37">
        <v>1560</v>
      </c>
      <c r="B1565" s="38" t="s">
        <v>3367</v>
      </c>
      <c r="C1565" s="38" t="s">
        <v>3395</v>
      </c>
      <c r="D1565" s="38" t="s">
        <v>3396</v>
      </c>
      <c r="E1565" s="38" t="s">
        <v>3397</v>
      </c>
      <c r="F1565" s="38" t="s">
        <v>517</v>
      </c>
      <c r="G1565" s="39">
        <v>429.5</v>
      </c>
      <c r="H1565" s="40">
        <v>3.1</v>
      </c>
      <c r="I1565" s="37">
        <v>199800</v>
      </c>
      <c r="J1565" s="41" t="s">
        <v>1404</v>
      </c>
      <c r="K1565" s="42">
        <v>2022</v>
      </c>
    </row>
    <row r="1566" spans="1:11" ht="15" customHeight="1" x14ac:dyDescent="0.3">
      <c r="A1566" s="31">
        <v>1561</v>
      </c>
      <c r="B1566" s="32" t="s">
        <v>3367</v>
      </c>
      <c r="C1566" s="32" t="s">
        <v>3398</v>
      </c>
      <c r="D1566" s="32" t="s">
        <v>3399</v>
      </c>
      <c r="E1566" s="32" t="s">
        <v>1771</v>
      </c>
      <c r="F1566" s="32" t="s">
        <v>658</v>
      </c>
      <c r="G1566" s="33">
        <v>900</v>
      </c>
      <c r="H1566" s="34">
        <v>2</v>
      </c>
      <c r="I1566" s="31">
        <v>171800</v>
      </c>
      <c r="J1566" s="35" t="s">
        <v>1404</v>
      </c>
      <c r="K1566" s="36">
        <v>2022</v>
      </c>
    </row>
    <row r="1567" spans="1:11" ht="15" customHeight="1" x14ac:dyDescent="0.3">
      <c r="A1567" s="37">
        <v>1562</v>
      </c>
      <c r="B1567" s="38" t="s">
        <v>2944</v>
      </c>
      <c r="C1567" s="38" t="s">
        <v>3400</v>
      </c>
      <c r="D1567" s="38" t="s">
        <v>841</v>
      </c>
      <c r="E1567" s="38" t="s">
        <v>37</v>
      </c>
      <c r="F1567" s="38" t="s">
        <v>3401</v>
      </c>
      <c r="G1567" s="39">
        <v>2924</v>
      </c>
      <c r="H1567" s="40">
        <v>6.7050000000000001</v>
      </c>
      <c r="I1567" s="37">
        <v>311800</v>
      </c>
      <c r="J1567" s="41" t="s">
        <v>1404</v>
      </c>
      <c r="K1567" s="42">
        <v>2022</v>
      </c>
    </row>
    <row r="1568" spans="1:11" ht="15" customHeight="1" x14ac:dyDescent="0.3">
      <c r="A1568" s="31">
        <v>1563</v>
      </c>
      <c r="B1568" s="32" t="s">
        <v>2944</v>
      </c>
      <c r="C1568" s="32" t="s">
        <v>3402</v>
      </c>
      <c r="D1568" s="32" t="s">
        <v>3403</v>
      </c>
      <c r="E1568" s="32" t="s">
        <v>35</v>
      </c>
      <c r="F1568" s="32" t="s">
        <v>316</v>
      </c>
      <c r="G1568" s="33">
        <v>1950</v>
      </c>
      <c r="H1568" s="34">
        <v>2.7719999999999998</v>
      </c>
      <c r="I1568" s="31">
        <v>199800</v>
      </c>
      <c r="J1568" s="35" t="s">
        <v>1404</v>
      </c>
      <c r="K1568" s="36">
        <v>2022</v>
      </c>
    </row>
    <row r="1569" spans="1:11" ht="15" customHeight="1" x14ac:dyDescent="0.3">
      <c r="A1569" s="37">
        <v>1564</v>
      </c>
      <c r="B1569" s="38" t="s">
        <v>2944</v>
      </c>
      <c r="C1569" s="38" t="s">
        <v>3404</v>
      </c>
      <c r="D1569" s="38" t="s">
        <v>3405</v>
      </c>
      <c r="E1569" s="38" t="s">
        <v>3406</v>
      </c>
      <c r="F1569" s="38" t="s">
        <v>435</v>
      </c>
      <c r="G1569" s="39">
        <v>4048</v>
      </c>
      <c r="H1569" s="40">
        <v>4.4800000000000004</v>
      </c>
      <c r="I1569" s="37">
        <v>227800</v>
      </c>
      <c r="J1569" s="41" t="s">
        <v>1404</v>
      </c>
      <c r="K1569" s="42">
        <v>2022</v>
      </c>
    </row>
    <row r="1570" spans="1:11" ht="15" customHeight="1" x14ac:dyDescent="0.3">
      <c r="A1570" s="31">
        <v>1565</v>
      </c>
      <c r="B1570" s="32" t="s">
        <v>2944</v>
      </c>
      <c r="C1570" s="32" t="s">
        <v>3407</v>
      </c>
      <c r="D1570" s="32" t="s">
        <v>2800</v>
      </c>
      <c r="E1570" s="32" t="s">
        <v>3408</v>
      </c>
      <c r="F1570" s="32" t="s">
        <v>533</v>
      </c>
      <c r="G1570" s="33">
        <v>1020</v>
      </c>
      <c r="H1570" s="34">
        <v>7.8049999999999997</v>
      </c>
      <c r="I1570" s="31">
        <v>331800</v>
      </c>
      <c r="J1570" s="35" t="s">
        <v>1404</v>
      </c>
      <c r="K1570" s="36">
        <v>2022</v>
      </c>
    </row>
    <row r="1571" spans="1:11" ht="15" customHeight="1" x14ac:dyDescent="0.3">
      <c r="A1571" s="37">
        <v>1566</v>
      </c>
      <c r="B1571" s="38" t="s">
        <v>2944</v>
      </c>
      <c r="C1571" s="38" t="s">
        <v>3409</v>
      </c>
      <c r="D1571" s="38" t="s">
        <v>3410</v>
      </c>
      <c r="E1571" s="38" t="s">
        <v>35</v>
      </c>
      <c r="F1571" s="38" t="s">
        <v>373</v>
      </c>
      <c r="G1571" s="39">
        <v>1280</v>
      </c>
      <c r="H1571" s="40">
        <v>3.0649999999999999</v>
      </c>
      <c r="I1571" s="37">
        <v>199800</v>
      </c>
      <c r="J1571" s="41" t="s">
        <v>1404</v>
      </c>
      <c r="K1571" s="42">
        <v>2022</v>
      </c>
    </row>
    <row r="1572" spans="1:11" ht="15" customHeight="1" x14ac:dyDescent="0.3">
      <c r="A1572" s="31">
        <v>1567</v>
      </c>
      <c r="B1572" s="32" t="s">
        <v>2944</v>
      </c>
      <c r="C1572" s="32" t="s">
        <v>3411</v>
      </c>
      <c r="D1572" s="32" t="s">
        <v>3412</v>
      </c>
      <c r="E1572" s="32" t="s">
        <v>3413</v>
      </c>
      <c r="F1572" s="32" t="s">
        <v>2906</v>
      </c>
      <c r="G1572" s="33">
        <v>600</v>
      </c>
      <c r="H1572" s="34">
        <v>0.81599999999999995</v>
      </c>
      <c r="I1572" s="31">
        <v>143000</v>
      </c>
      <c r="J1572" s="35" t="s">
        <v>1404</v>
      </c>
      <c r="K1572" s="36">
        <v>2022</v>
      </c>
    </row>
    <row r="1573" spans="1:11" ht="15" customHeight="1" x14ac:dyDescent="0.3">
      <c r="A1573" s="37">
        <v>1568</v>
      </c>
      <c r="B1573" s="38" t="s">
        <v>2944</v>
      </c>
      <c r="C1573" s="38" t="s">
        <v>3414</v>
      </c>
      <c r="D1573" s="38" t="s">
        <v>2828</v>
      </c>
      <c r="E1573" s="38" t="s">
        <v>3415</v>
      </c>
      <c r="F1573" s="38" t="s">
        <v>287</v>
      </c>
      <c r="G1573" s="39">
        <v>1186</v>
      </c>
      <c r="H1573" s="40">
        <v>3.125</v>
      </c>
      <c r="I1573" s="37">
        <v>197000</v>
      </c>
      <c r="J1573" s="41" t="s">
        <v>1404</v>
      </c>
      <c r="K1573" s="42">
        <v>2022</v>
      </c>
    </row>
    <row r="1574" spans="1:11" ht="15" customHeight="1" x14ac:dyDescent="0.3">
      <c r="A1574" s="31">
        <v>1569</v>
      </c>
      <c r="B1574" s="32" t="s">
        <v>2944</v>
      </c>
      <c r="C1574" s="32" t="s">
        <v>3416</v>
      </c>
      <c r="D1574" s="32" t="s">
        <v>3417</v>
      </c>
      <c r="E1574" s="32" t="s">
        <v>3418</v>
      </c>
      <c r="F1574" s="32" t="s">
        <v>402</v>
      </c>
      <c r="G1574" s="33">
        <v>2033</v>
      </c>
      <c r="H1574" s="34">
        <v>8.6999999999999993</v>
      </c>
      <c r="I1574" s="31">
        <v>358800</v>
      </c>
      <c r="J1574" s="35" t="s">
        <v>1404</v>
      </c>
      <c r="K1574" s="36">
        <v>2022</v>
      </c>
    </row>
    <row r="1575" spans="1:11" ht="15" customHeight="1" x14ac:dyDescent="0.3">
      <c r="A1575" s="37">
        <v>1570</v>
      </c>
      <c r="B1575" s="38" t="s">
        <v>2944</v>
      </c>
      <c r="C1575" s="38" t="s">
        <v>3419</v>
      </c>
      <c r="D1575" s="38" t="s">
        <v>691</v>
      </c>
      <c r="E1575" s="38" t="s">
        <v>3420</v>
      </c>
      <c r="F1575" s="38" t="s">
        <v>316</v>
      </c>
      <c r="G1575" s="39">
        <v>255</v>
      </c>
      <c r="H1575" s="40">
        <v>1.421</v>
      </c>
      <c r="I1575" s="37">
        <v>145800</v>
      </c>
      <c r="J1575" s="41" t="s">
        <v>1404</v>
      </c>
      <c r="K1575" s="42">
        <v>2022</v>
      </c>
    </row>
    <row r="1576" spans="1:11" ht="15" customHeight="1" x14ac:dyDescent="0.3">
      <c r="A1576" s="31">
        <v>1571</v>
      </c>
      <c r="B1576" s="32" t="s">
        <v>2944</v>
      </c>
      <c r="C1576" s="32" t="s">
        <v>3421</v>
      </c>
      <c r="D1576" s="32" t="s">
        <v>3422</v>
      </c>
      <c r="E1576" s="32" t="s">
        <v>3423</v>
      </c>
      <c r="F1576" s="32" t="s">
        <v>2906</v>
      </c>
      <c r="G1576" s="33">
        <v>286</v>
      </c>
      <c r="H1576" s="34">
        <v>2.52</v>
      </c>
      <c r="I1576" s="31">
        <v>199800</v>
      </c>
      <c r="J1576" s="35" t="s">
        <v>1404</v>
      </c>
      <c r="K1576" s="36">
        <v>2022</v>
      </c>
    </row>
    <row r="1577" spans="1:11" ht="15" customHeight="1" x14ac:dyDescent="0.3">
      <c r="A1577" s="37">
        <v>1572</v>
      </c>
      <c r="B1577" s="38" t="s">
        <v>2944</v>
      </c>
      <c r="C1577" s="38" t="s">
        <v>3424</v>
      </c>
      <c r="D1577" s="38" t="s">
        <v>3425</v>
      </c>
      <c r="E1577" s="38" t="s">
        <v>37</v>
      </c>
      <c r="F1577" s="38" t="s">
        <v>3426</v>
      </c>
      <c r="G1577" s="39">
        <v>2503</v>
      </c>
      <c r="H1577" s="40">
        <v>7.0119999999999996</v>
      </c>
      <c r="I1577" s="37">
        <v>311800</v>
      </c>
      <c r="J1577" s="41" t="s">
        <v>1404</v>
      </c>
      <c r="K1577" s="42">
        <v>2022</v>
      </c>
    </row>
    <row r="1578" spans="1:11" ht="15" customHeight="1" x14ac:dyDescent="0.3">
      <c r="A1578" s="31">
        <v>1573</v>
      </c>
      <c r="B1578" s="32" t="s">
        <v>2977</v>
      </c>
      <c r="C1578" s="32" t="s">
        <v>3427</v>
      </c>
      <c r="D1578" s="32" t="s">
        <v>3219</v>
      </c>
      <c r="E1578" s="32" t="s">
        <v>3428</v>
      </c>
      <c r="F1578" s="32" t="s">
        <v>312</v>
      </c>
      <c r="G1578" s="33">
        <v>680</v>
      </c>
      <c r="H1578" s="34">
        <v>1.452</v>
      </c>
      <c r="I1578" s="31">
        <v>145800</v>
      </c>
      <c r="J1578" s="35" t="s">
        <v>1404</v>
      </c>
      <c r="K1578" s="36">
        <v>2022</v>
      </c>
    </row>
    <row r="1579" spans="1:11" ht="15" customHeight="1" x14ac:dyDescent="0.3">
      <c r="A1579" s="37">
        <v>1574</v>
      </c>
      <c r="B1579" s="38" t="s">
        <v>2977</v>
      </c>
      <c r="C1579" s="38" t="s">
        <v>3429</v>
      </c>
      <c r="D1579" s="38" t="s">
        <v>3430</v>
      </c>
      <c r="E1579" s="38" t="s">
        <v>3431</v>
      </c>
      <c r="F1579" s="38" t="s">
        <v>373</v>
      </c>
      <c r="G1579" s="39">
        <v>648</v>
      </c>
      <c r="H1579" s="40">
        <v>2.73</v>
      </c>
      <c r="I1579" s="37">
        <v>199800</v>
      </c>
      <c r="J1579" s="41" t="s">
        <v>1404</v>
      </c>
      <c r="K1579" s="42">
        <v>2022</v>
      </c>
    </row>
    <row r="1580" spans="1:11" ht="15" customHeight="1" x14ac:dyDescent="0.3">
      <c r="A1580" s="31">
        <v>1575</v>
      </c>
      <c r="B1580" s="32" t="s">
        <v>2977</v>
      </c>
      <c r="C1580" s="32" t="s">
        <v>3432</v>
      </c>
      <c r="D1580" s="32" t="s">
        <v>3430</v>
      </c>
      <c r="E1580" s="32" t="s">
        <v>3431</v>
      </c>
      <c r="F1580" s="32" t="s">
        <v>335</v>
      </c>
      <c r="G1580" s="33">
        <v>735</v>
      </c>
      <c r="H1580" s="34">
        <v>7.3719999999999999</v>
      </c>
      <c r="I1580" s="31">
        <v>311800</v>
      </c>
      <c r="J1580" s="35" t="s">
        <v>1404</v>
      </c>
      <c r="K1580" s="36">
        <v>2022</v>
      </c>
    </row>
    <row r="1581" spans="1:11" ht="15" customHeight="1" x14ac:dyDescent="0.3">
      <c r="A1581" s="37">
        <v>1576</v>
      </c>
      <c r="B1581" s="38" t="s">
        <v>2977</v>
      </c>
      <c r="C1581" s="38" t="s">
        <v>3433</v>
      </c>
      <c r="D1581" s="38" t="s">
        <v>85</v>
      </c>
      <c r="E1581" s="38" t="s">
        <v>818</v>
      </c>
      <c r="F1581" s="38" t="s">
        <v>316</v>
      </c>
      <c r="G1581" s="39">
        <v>950</v>
      </c>
      <c r="H1581" s="40">
        <v>3.9420000000000002</v>
      </c>
      <c r="I1581" s="37">
        <v>227800</v>
      </c>
      <c r="J1581" s="41" t="s">
        <v>1404</v>
      </c>
      <c r="K1581" s="42">
        <v>2022</v>
      </c>
    </row>
    <row r="1582" spans="1:11" ht="15" customHeight="1" x14ac:dyDescent="0.3">
      <c r="A1582" s="31">
        <v>1577</v>
      </c>
      <c r="B1582" s="32" t="s">
        <v>2977</v>
      </c>
      <c r="C1582" s="32" t="s">
        <v>3434</v>
      </c>
      <c r="D1582" s="32" t="s">
        <v>3405</v>
      </c>
      <c r="E1582" s="32" t="s">
        <v>41</v>
      </c>
      <c r="F1582" s="32" t="s">
        <v>435</v>
      </c>
      <c r="G1582" s="33">
        <v>4048</v>
      </c>
      <c r="H1582" s="34">
        <v>3.6480000000000001</v>
      </c>
      <c r="I1582" s="31">
        <v>227800</v>
      </c>
      <c r="J1582" s="35" t="s">
        <v>1404</v>
      </c>
      <c r="K1582" s="36">
        <v>2022</v>
      </c>
    </row>
    <row r="1583" spans="1:11" ht="15" customHeight="1" x14ac:dyDescent="0.3">
      <c r="A1583" s="37">
        <v>1578</v>
      </c>
      <c r="B1583" s="38" t="s">
        <v>2977</v>
      </c>
      <c r="C1583" s="38" t="s">
        <v>3435</v>
      </c>
      <c r="D1583" s="38" t="s">
        <v>3436</v>
      </c>
      <c r="E1583" s="38" t="s">
        <v>3437</v>
      </c>
      <c r="F1583" s="38" t="s">
        <v>395</v>
      </c>
      <c r="G1583" s="39">
        <v>3600</v>
      </c>
      <c r="H1583" s="40">
        <v>12.53</v>
      </c>
      <c r="I1583" s="37">
        <v>385800</v>
      </c>
      <c r="J1583" s="41" t="s">
        <v>1404</v>
      </c>
      <c r="K1583" s="42">
        <v>2022</v>
      </c>
    </row>
    <row r="1584" spans="1:11" ht="15" customHeight="1" x14ac:dyDescent="0.3">
      <c r="A1584" s="31">
        <v>1579</v>
      </c>
      <c r="B1584" s="32" t="s">
        <v>2977</v>
      </c>
      <c r="C1584" s="32" t="s">
        <v>3438</v>
      </c>
      <c r="D1584" s="32" t="s">
        <v>3439</v>
      </c>
      <c r="E1584" s="32" t="s">
        <v>3440</v>
      </c>
      <c r="F1584" s="32" t="s">
        <v>658</v>
      </c>
      <c r="G1584" s="33">
        <v>847.5</v>
      </c>
      <c r="H1584" s="34">
        <v>6.1849999999999996</v>
      </c>
      <c r="I1584" s="31">
        <v>283800</v>
      </c>
      <c r="J1584" s="35" t="s">
        <v>1404</v>
      </c>
      <c r="K1584" s="36">
        <v>2022</v>
      </c>
    </row>
    <row r="1585" spans="1:11" ht="15" customHeight="1" x14ac:dyDescent="0.3">
      <c r="A1585" s="37">
        <v>1580</v>
      </c>
      <c r="B1585" s="38" t="s">
        <v>2977</v>
      </c>
      <c r="C1585" s="38" t="s">
        <v>3441</v>
      </c>
      <c r="D1585" s="38" t="s">
        <v>3442</v>
      </c>
      <c r="E1585" s="38" t="s">
        <v>45</v>
      </c>
      <c r="F1585" s="38" t="s">
        <v>386</v>
      </c>
      <c r="G1585" s="39">
        <v>572.41</v>
      </c>
      <c r="H1585" s="40">
        <v>1.8959999999999999</v>
      </c>
      <c r="I1585" s="37">
        <v>169000</v>
      </c>
      <c r="J1585" s="41" t="s">
        <v>1404</v>
      </c>
      <c r="K1585" s="42">
        <v>2022</v>
      </c>
    </row>
    <row r="1586" spans="1:11" ht="15" customHeight="1" x14ac:dyDescent="0.3">
      <c r="A1586" s="31">
        <v>1581</v>
      </c>
      <c r="B1586" s="32" t="s">
        <v>2977</v>
      </c>
      <c r="C1586" s="32" t="s">
        <v>3443</v>
      </c>
      <c r="D1586" s="32" t="s">
        <v>3444</v>
      </c>
      <c r="E1586" s="32" t="s">
        <v>41</v>
      </c>
      <c r="F1586" s="32" t="s">
        <v>2906</v>
      </c>
      <c r="G1586" s="33">
        <v>475</v>
      </c>
      <c r="H1586" s="34">
        <v>0.94099999999999995</v>
      </c>
      <c r="I1586" s="31">
        <v>145800</v>
      </c>
      <c r="J1586" s="35" t="s">
        <v>1404</v>
      </c>
      <c r="K1586" s="36">
        <v>2022</v>
      </c>
    </row>
    <row r="1587" spans="1:11" ht="15" customHeight="1" x14ac:dyDescent="0.3">
      <c r="A1587" s="37">
        <v>1582</v>
      </c>
      <c r="B1587" s="38" t="s">
        <v>2977</v>
      </c>
      <c r="C1587" s="38" t="s">
        <v>3445</v>
      </c>
      <c r="D1587" s="38" t="s">
        <v>3446</v>
      </c>
      <c r="E1587" s="38" t="s">
        <v>3447</v>
      </c>
      <c r="F1587" s="38" t="s">
        <v>2906</v>
      </c>
      <c r="G1587" s="39">
        <v>230</v>
      </c>
      <c r="H1587" s="40">
        <v>0.752</v>
      </c>
      <c r="I1587" s="37">
        <v>143000</v>
      </c>
      <c r="J1587" s="41" t="s">
        <v>1404</v>
      </c>
      <c r="K1587" s="42">
        <v>2022</v>
      </c>
    </row>
    <row r="1588" spans="1:11" ht="15" customHeight="1" x14ac:dyDescent="0.3">
      <c r="A1588" s="31">
        <v>1583</v>
      </c>
      <c r="B1588" s="32" t="s">
        <v>2977</v>
      </c>
      <c r="C1588" s="32" t="s">
        <v>3448</v>
      </c>
      <c r="D1588" s="32" t="s">
        <v>56</v>
      </c>
      <c r="E1588" s="32" t="s">
        <v>41</v>
      </c>
      <c r="F1588" s="32" t="s">
        <v>373</v>
      </c>
      <c r="G1588" s="33">
        <v>670</v>
      </c>
      <c r="H1588" s="34">
        <v>5.9320000000000004</v>
      </c>
      <c r="I1588" s="31">
        <v>283800</v>
      </c>
      <c r="J1588" s="35" t="s">
        <v>1404</v>
      </c>
      <c r="K1588" s="36">
        <v>2022</v>
      </c>
    </row>
    <row r="1589" spans="1:11" ht="15" customHeight="1" x14ac:dyDescent="0.3">
      <c r="A1589" s="37">
        <v>1584</v>
      </c>
      <c r="B1589" s="38" t="s">
        <v>2944</v>
      </c>
      <c r="C1589" s="38" t="s">
        <v>3449</v>
      </c>
      <c r="D1589" s="38" t="s">
        <v>3123</v>
      </c>
      <c r="E1589" s="38" t="s">
        <v>3124</v>
      </c>
      <c r="F1589" s="38" t="s">
        <v>316</v>
      </c>
      <c r="G1589" s="39">
        <v>683.21</v>
      </c>
      <c r="H1589" s="40">
        <v>3.1389999999999998</v>
      </c>
      <c r="I1589" s="37">
        <v>227800</v>
      </c>
      <c r="J1589" s="41" t="s">
        <v>1404</v>
      </c>
      <c r="K1589" s="42">
        <v>2022</v>
      </c>
    </row>
    <row r="1590" spans="1:11" ht="15" customHeight="1" x14ac:dyDescent="0.3">
      <c r="A1590" s="31">
        <v>1585</v>
      </c>
      <c r="B1590" s="32" t="s">
        <v>2944</v>
      </c>
      <c r="C1590" s="32" t="s">
        <v>3450</v>
      </c>
      <c r="D1590" s="32" t="s">
        <v>2690</v>
      </c>
      <c r="E1590" s="32" t="s">
        <v>857</v>
      </c>
      <c r="F1590" s="32" t="s">
        <v>435</v>
      </c>
      <c r="G1590" s="33">
        <v>638</v>
      </c>
      <c r="H1590" s="34">
        <v>3.11</v>
      </c>
      <c r="I1590" s="31">
        <v>199800</v>
      </c>
      <c r="J1590" s="35" t="s">
        <v>1404</v>
      </c>
      <c r="K1590" s="36">
        <v>2022</v>
      </c>
    </row>
    <row r="1591" spans="1:11" ht="15" customHeight="1" x14ac:dyDescent="0.3">
      <c r="A1591" s="37">
        <v>1586</v>
      </c>
      <c r="B1591" s="38" t="s">
        <v>2944</v>
      </c>
      <c r="C1591" s="38" t="s">
        <v>3451</v>
      </c>
      <c r="D1591" s="38" t="s">
        <v>2913</v>
      </c>
      <c r="E1591" s="38" t="s">
        <v>35</v>
      </c>
      <c r="F1591" s="38" t="s">
        <v>287</v>
      </c>
      <c r="G1591" s="39">
        <v>5920</v>
      </c>
      <c r="H1591" s="40">
        <v>2.7</v>
      </c>
      <c r="I1591" s="37">
        <v>283800</v>
      </c>
      <c r="J1591" s="41" t="s">
        <v>1404</v>
      </c>
      <c r="K1591" s="42">
        <v>2022</v>
      </c>
    </row>
    <row r="1592" spans="1:11" ht="15" customHeight="1" x14ac:dyDescent="0.3">
      <c r="A1592" s="31">
        <v>1587</v>
      </c>
      <c r="B1592" s="32" t="s">
        <v>2944</v>
      </c>
      <c r="C1592" s="32" t="s">
        <v>3451</v>
      </c>
      <c r="D1592" s="32" t="s">
        <v>2913</v>
      </c>
      <c r="E1592" s="32" t="s">
        <v>3452</v>
      </c>
      <c r="F1592" s="32" t="s">
        <v>316</v>
      </c>
      <c r="G1592" s="33">
        <v>958</v>
      </c>
      <c r="H1592" s="34">
        <v>1.9079999999999999</v>
      </c>
      <c r="I1592" s="31">
        <v>199800</v>
      </c>
      <c r="J1592" s="35" t="s">
        <v>1404</v>
      </c>
      <c r="K1592" s="36">
        <v>2022</v>
      </c>
    </row>
    <row r="1593" spans="1:11" ht="15" customHeight="1" x14ac:dyDescent="0.3">
      <c r="A1593" s="37">
        <v>1588</v>
      </c>
      <c r="B1593" s="38" t="s">
        <v>2944</v>
      </c>
      <c r="C1593" s="38" t="s">
        <v>3451</v>
      </c>
      <c r="D1593" s="38" t="s">
        <v>2913</v>
      </c>
      <c r="E1593" s="38" t="s">
        <v>3453</v>
      </c>
      <c r="F1593" s="38" t="s">
        <v>316</v>
      </c>
      <c r="G1593" s="39">
        <v>730</v>
      </c>
      <c r="H1593" s="40">
        <v>2.2309999999999999</v>
      </c>
      <c r="I1593" s="37">
        <v>199800</v>
      </c>
      <c r="J1593" s="41" t="s">
        <v>1404</v>
      </c>
      <c r="K1593" s="42">
        <v>2022</v>
      </c>
    </row>
    <row r="1594" spans="1:11" ht="15" customHeight="1" x14ac:dyDescent="0.3">
      <c r="A1594" s="31">
        <v>1589</v>
      </c>
      <c r="B1594" s="32" t="s">
        <v>2944</v>
      </c>
      <c r="C1594" s="32" t="s">
        <v>3451</v>
      </c>
      <c r="D1594" s="32" t="s">
        <v>2913</v>
      </c>
      <c r="E1594" s="32" t="s">
        <v>3454</v>
      </c>
      <c r="F1594" s="32" t="s">
        <v>3455</v>
      </c>
      <c r="G1594" s="33">
        <v>2993.6</v>
      </c>
      <c r="H1594" s="34">
        <v>3.0990000000000002</v>
      </c>
      <c r="I1594" s="31">
        <v>227800</v>
      </c>
      <c r="J1594" s="35" t="s">
        <v>1404</v>
      </c>
      <c r="K1594" s="36">
        <v>2022</v>
      </c>
    </row>
    <row r="1595" spans="1:11" ht="15" customHeight="1" x14ac:dyDescent="0.3">
      <c r="A1595" s="37">
        <v>1590</v>
      </c>
      <c r="B1595" s="38" t="s">
        <v>2944</v>
      </c>
      <c r="C1595" s="38" t="s">
        <v>3456</v>
      </c>
      <c r="D1595" s="38" t="s">
        <v>3457</v>
      </c>
      <c r="E1595" s="38" t="s">
        <v>3458</v>
      </c>
      <c r="F1595" s="38" t="s">
        <v>287</v>
      </c>
      <c r="G1595" s="39">
        <v>689</v>
      </c>
      <c r="H1595" s="40">
        <v>2.012</v>
      </c>
      <c r="I1595" s="37">
        <v>199800</v>
      </c>
      <c r="J1595" s="41" t="s">
        <v>1404</v>
      </c>
      <c r="K1595" s="42">
        <v>2022</v>
      </c>
    </row>
    <row r="1596" spans="1:11" ht="15" customHeight="1" x14ac:dyDescent="0.3">
      <c r="A1596" s="31">
        <v>1591</v>
      </c>
      <c r="B1596" s="32" t="s">
        <v>3133</v>
      </c>
      <c r="C1596" s="32" t="s">
        <v>3459</v>
      </c>
      <c r="D1596" s="32" t="s">
        <v>3460</v>
      </c>
      <c r="E1596" s="32" t="s">
        <v>3461</v>
      </c>
      <c r="F1596" s="32" t="s">
        <v>3462</v>
      </c>
      <c r="G1596" s="33">
        <v>703.64</v>
      </c>
      <c r="H1596" s="34">
        <v>4.9210000000000003</v>
      </c>
      <c r="I1596" s="31">
        <v>253000</v>
      </c>
      <c r="J1596" s="35" t="s">
        <v>1404</v>
      </c>
      <c r="K1596" s="36">
        <v>2022</v>
      </c>
    </row>
    <row r="1597" spans="1:11" ht="15" customHeight="1" x14ac:dyDescent="0.3">
      <c r="A1597" s="37">
        <v>1592</v>
      </c>
      <c r="B1597" s="38" t="s">
        <v>3133</v>
      </c>
      <c r="C1597" s="38" t="s">
        <v>3463</v>
      </c>
      <c r="D1597" s="38" t="s">
        <v>3464</v>
      </c>
      <c r="E1597" s="38" t="s">
        <v>3465</v>
      </c>
      <c r="F1597" s="38" t="s">
        <v>2906</v>
      </c>
      <c r="G1597" s="39">
        <v>84</v>
      </c>
      <c r="H1597" s="40">
        <v>1.21</v>
      </c>
      <c r="I1597" s="37">
        <v>145800</v>
      </c>
      <c r="J1597" s="41" t="s">
        <v>1404</v>
      </c>
      <c r="K1597" s="42">
        <v>2022</v>
      </c>
    </row>
    <row r="1598" spans="1:11" ht="15" customHeight="1" x14ac:dyDescent="0.3">
      <c r="A1598" s="31">
        <v>1593</v>
      </c>
      <c r="B1598" s="32" t="s">
        <v>3133</v>
      </c>
      <c r="C1598" s="32" t="s">
        <v>3466</v>
      </c>
      <c r="D1598" s="32" t="s">
        <v>3467</v>
      </c>
      <c r="E1598" s="32" t="s">
        <v>3468</v>
      </c>
      <c r="F1598" s="32" t="s">
        <v>689</v>
      </c>
      <c r="G1598" s="33">
        <v>3281</v>
      </c>
      <c r="H1598" s="34">
        <v>14.068</v>
      </c>
      <c r="I1598" s="31">
        <v>507800</v>
      </c>
      <c r="J1598" s="35" t="s">
        <v>1404</v>
      </c>
      <c r="K1598" s="36">
        <v>2022</v>
      </c>
    </row>
    <row r="1599" spans="1:11" ht="15" customHeight="1" x14ac:dyDescent="0.3">
      <c r="A1599" s="37">
        <v>1594</v>
      </c>
      <c r="B1599" s="38" t="s">
        <v>2944</v>
      </c>
      <c r="C1599" s="38" t="s">
        <v>3469</v>
      </c>
      <c r="D1599" s="38" t="s">
        <v>3470</v>
      </c>
      <c r="E1599" s="38" t="s">
        <v>3471</v>
      </c>
      <c r="F1599" s="38" t="s">
        <v>287</v>
      </c>
      <c r="G1599" s="39">
        <v>766.73800000000006</v>
      </c>
      <c r="H1599" s="40">
        <v>4.3120000000000003</v>
      </c>
      <c r="I1599" s="37">
        <v>227800</v>
      </c>
      <c r="J1599" s="41" t="s">
        <v>1514</v>
      </c>
      <c r="K1599" s="42">
        <v>2022</v>
      </c>
    </row>
    <row r="1600" spans="1:11" ht="15" customHeight="1" x14ac:dyDescent="0.3">
      <c r="A1600" s="31">
        <v>1595</v>
      </c>
      <c r="B1600" s="32" t="s">
        <v>2944</v>
      </c>
      <c r="C1600" s="32" t="s">
        <v>3472</v>
      </c>
      <c r="D1600" s="32" t="s">
        <v>2640</v>
      </c>
      <c r="E1600" s="32" t="s">
        <v>35</v>
      </c>
      <c r="F1600" s="32" t="s">
        <v>287</v>
      </c>
      <c r="G1600" s="33">
        <v>2345</v>
      </c>
      <c r="H1600" s="34">
        <v>2.4</v>
      </c>
      <c r="I1600" s="31">
        <v>199800</v>
      </c>
      <c r="J1600" s="35" t="s">
        <v>1514</v>
      </c>
      <c r="K1600" s="36">
        <v>2022</v>
      </c>
    </row>
    <row r="1601" spans="1:11" ht="15" customHeight="1" x14ac:dyDescent="0.3">
      <c r="A1601" s="37">
        <v>1596</v>
      </c>
      <c r="B1601" s="38" t="s">
        <v>2944</v>
      </c>
      <c r="C1601" s="38" t="s">
        <v>3473</v>
      </c>
      <c r="D1601" s="38" t="s">
        <v>1878</v>
      </c>
      <c r="E1601" s="38" t="s">
        <v>964</v>
      </c>
      <c r="F1601" s="38" t="s">
        <v>2906</v>
      </c>
      <c r="G1601" s="39">
        <v>205</v>
      </c>
      <c r="H1601" s="40">
        <v>0.48</v>
      </c>
      <c r="I1601" s="37">
        <v>145800</v>
      </c>
      <c r="J1601" s="41" t="s">
        <v>1514</v>
      </c>
      <c r="K1601" s="42">
        <v>2022</v>
      </c>
    </row>
    <row r="1602" spans="1:11" ht="15" customHeight="1" x14ac:dyDescent="0.3">
      <c r="A1602" s="31">
        <v>1597</v>
      </c>
      <c r="B1602" s="32" t="s">
        <v>2944</v>
      </c>
      <c r="C1602" s="32" t="s">
        <v>3474</v>
      </c>
      <c r="D1602" s="32" t="s">
        <v>3475</v>
      </c>
      <c r="E1602" s="32" t="s">
        <v>2832</v>
      </c>
      <c r="F1602" s="32" t="s">
        <v>2906</v>
      </c>
      <c r="G1602" s="33">
        <v>155</v>
      </c>
      <c r="H1602" s="34">
        <v>0.40100000000000002</v>
      </c>
      <c r="I1602" s="31">
        <v>145800</v>
      </c>
      <c r="J1602" s="35" t="s">
        <v>1514</v>
      </c>
      <c r="K1602" s="36">
        <v>2022</v>
      </c>
    </row>
    <row r="1603" spans="1:11" ht="15" customHeight="1" x14ac:dyDescent="0.3">
      <c r="A1603" s="37">
        <v>1598</v>
      </c>
      <c r="B1603" s="38" t="s">
        <v>2944</v>
      </c>
      <c r="C1603" s="38" t="s">
        <v>3476</v>
      </c>
      <c r="D1603" s="38" t="s">
        <v>3477</v>
      </c>
      <c r="E1603" s="38" t="s">
        <v>3478</v>
      </c>
      <c r="F1603" s="38" t="s">
        <v>2906</v>
      </c>
      <c r="G1603" s="39">
        <v>79.400000000000006</v>
      </c>
      <c r="H1603" s="40">
        <v>0.79300000000000004</v>
      </c>
      <c r="I1603" s="37">
        <v>145800</v>
      </c>
      <c r="J1603" s="41" t="s">
        <v>1514</v>
      </c>
      <c r="K1603" s="42">
        <v>2022</v>
      </c>
    </row>
    <row r="1604" spans="1:11" ht="15" customHeight="1" x14ac:dyDescent="0.3">
      <c r="A1604" s="31">
        <v>1599</v>
      </c>
      <c r="B1604" s="32" t="s">
        <v>2944</v>
      </c>
      <c r="C1604" s="32" t="s">
        <v>3479</v>
      </c>
      <c r="D1604" s="32" t="s">
        <v>3480</v>
      </c>
      <c r="E1604" s="32" t="s">
        <v>3481</v>
      </c>
      <c r="F1604" s="32" t="s">
        <v>2906</v>
      </c>
      <c r="G1604" s="33">
        <v>100</v>
      </c>
      <c r="H1604" s="34">
        <v>1.411</v>
      </c>
      <c r="I1604" s="31">
        <v>145800</v>
      </c>
      <c r="J1604" s="35" t="s">
        <v>1514</v>
      </c>
      <c r="K1604" s="36">
        <v>2022</v>
      </c>
    </row>
    <row r="1605" spans="1:11" ht="15" customHeight="1" x14ac:dyDescent="0.3">
      <c r="A1605" s="37">
        <v>1600</v>
      </c>
      <c r="B1605" s="38" t="s">
        <v>2944</v>
      </c>
      <c r="C1605" s="38" t="s">
        <v>3482</v>
      </c>
      <c r="D1605" s="38" t="s">
        <v>3483</v>
      </c>
      <c r="E1605" s="38" t="s">
        <v>3484</v>
      </c>
      <c r="F1605" s="38" t="s">
        <v>2906</v>
      </c>
      <c r="G1605" s="39">
        <v>77</v>
      </c>
      <c r="H1605" s="40">
        <v>0.49399999999999999</v>
      </c>
      <c r="I1605" s="37">
        <v>143000</v>
      </c>
      <c r="J1605" s="41" t="s">
        <v>1514</v>
      </c>
      <c r="K1605" s="42">
        <v>2022</v>
      </c>
    </row>
    <row r="1606" spans="1:11" ht="15" customHeight="1" x14ac:dyDescent="0.3">
      <c r="A1606" s="31">
        <v>1601</v>
      </c>
      <c r="B1606" s="32" t="s">
        <v>2944</v>
      </c>
      <c r="C1606" s="32" t="s">
        <v>3485</v>
      </c>
      <c r="D1606" s="32" t="s">
        <v>3486</v>
      </c>
      <c r="E1606" s="32" t="s">
        <v>3487</v>
      </c>
      <c r="F1606" s="32" t="s">
        <v>3488</v>
      </c>
      <c r="G1606" s="33">
        <v>1257</v>
      </c>
      <c r="H1606" s="34">
        <v>2.16</v>
      </c>
      <c r="I1606" s="31">
        <v>171800</v>
      </c>
      <c r="J1606" s="35" t="s">
        <v>1514</v>
      </c>
      <c r="K1606" s="36">
        <v>2022</v>
      </c>
    </row>
    <row r="1607" spans="1:11" ht="15" customHeight="1" x14ac:dyDescent="0.3">
      <c r="A1607" s="37">
        <v>1602</v>
      </c>
      <c r="B1607" s="38" t="s">
        <v>2944</v>
      </c>
      <c r="C1607" s="38" t="s">
        <v>3489</v>
      </c>
      <c r="D1607" s="38" t="s">
        <v>3490</v>
      </c>
      <c r="E1607" s="38" t="s">
        <v>3491</v>
      </c>
      <c r="F1607" s="38" t="s">
        <v>689</v>
      </c>
      <c r="G1607" s="39">
        <v>3690</v>
      </c>
      <c r="H1607" s="40">
        <v>9.24</v>
      </c>
      <c r="I1607" s="37">
        <v>358800</v>
      </c>
      <c r="J1607" s="41" t="s">
        <v>1514</v>
      </c>
      <c r="K1607" s="42">
        <v>2022</v>
      </c>
    </row>
    <row r="1608" spans="1:11" ht="15" customHeight="1" x14ac:dyDescent="0.3">
      <c r="A1608" s="31">
        <v>1603</v>
      </c>
      <c r="B1608" s="32" t="s">
        <v>2944</v>
      </c>
      <c r="C1608" s="32" t="s">
        <v>3492</v>
      </c>
      <c r="D1608" s="32" t="s">
        <v>3493</v>
      </c>
      <c r="E1608" s="32" t="s">
        <v>3494</v>
      </c>
      <c r="F1608" s="32" t="s">
        <v>3495</v>
      </c>
      <c r="G1608" s="33">
        <v>300</v>
      </c>
      <c r="H1608" s="34">
        <v>1.147</v>
      </c>
      <c r="I1608" s="31">
        <v>145800</v>
      </c>
      <c r="J1608" s="35" t="s">
        <v>1514</v>
      </c>
      <c r="K1608" s="36">
        <v>2022</v>
      </c>
    </row>
    <row r="1609" spans="1:11" ht="15" customHeight="1" x14ac:dyDescent="0.3">
      <c r="A1609" s="37">
        <v>1604</v>
      </c>
      <c r="B1609" s="38" t="s">
        <v>2944</v>
      </c>
      <c r="C1609" s="38" t="s">
        <v>3496</v>
      </c>
      <c r="D1609" s="38" t="s">
        <v>3497</v>
      </c>
      <c r="E1609" s="38" t="s">
        <v>1387</v>
      </c>
      <c r="F1609" s="38" t="s">
        <v>312</v>
      </c>
      <c r="G1609" s="39">
        <v>374</v>
      </c>
      <c r="H1609" s="40">
        <v>0.70199999999999996</v>
      </c>
      <c r="I1609" s="37">
        <v>143000</v>
      </c>
      <c r="J1609" s="41" t="s">
        <v>1514</v>
      </c>
      <c r="K1609" s="42">
        <v>2022</v>
      </c>
    </row>
    <row r="1610" spans="1:11" ht="15" customHeight="1" x14ac:dyDescent="0.3">
      <c r="A1610" s="31">
        <v>1605</v>
      </c>
      <c r="B1610" s="32" t="s">
        <v>3367</v>
      </c>
      <c r="C1610" s="32" t="s">
        <v>3498</v>
      </c>
      <c r="D1610" s="32" t="s">
        <v>3499</v>
      </c>
      <c r="E1610" s="32" t="s">
        <v>3500</v>
      </c>
      <c r="F1610" s="32" t="s">
        <v>3488</v>
      </c>
      <c r="G1610" s="33">
        <v>255</v>
      </c>
      <c r="H1610" s="34">
        <v>5.0670000000000002</v>
      </c>
      <c r="I1610" s="31">
        <v>255800</v>
      </c>
      <c r="J1610" s="35" t="s">
        <v>1514</v>
      </c>
      <c r="K1610" s="36">
        <v>2022</v>
      </c>
    </row>
    <row r="1611" spans="1:11" ht="15" customHeight="1" x14ac:dyDescent="0.3">
      <c r="A1611" s="37">
        <v>1606</v>
      </c>
      <c r="B1611" s="38" t="s">
        <v>3367</v>
      </c>
      <c r="C1611" s="38" t="s">
        <v>3501</v>
      </c>
      <c r="D1611" s="38" t="s">
        <v>3502</v>
      </c>
      <c r="E1611" s="38" t="s">
        <v>3503</v>
      </c>
      <c r="F1611" s="38" t="s">
        <v>312</v>
      </c>
      <c r="G1611" s="39">
        <v>195</v>
      </c>
      <c r="H1611" s="40">
        <v>0.36899999999999999</v>
      </c>
      <c r="I1611" s="37">
        <v>145800</v>
      </c>
      <c r="J1611" s="41" t="s">
        <v>1514</v>
      </c>
      <c r="K1611" s="42">
        <v>2022</v>
      </c>
    </row>
    <row r="1612" spans="1:11" ht="15" customHeight="1" x14ac:dyDescent="0.3">
      <c r="A1612" s="31">
        <v>1607</v>
      </c>
      <c r="B1612" s="32" t="s">
        <v>3367</v>
      </c>
      <c r="C1612" s="32" t="s">
        <v>3504</v>
      </c>
      <c r="D1612" s="32" t="s">
        <v>3392</v>
      </c>
      <c r="E1612" s="32" t="s">
        <v>3505</v>
      </c>
      <c r="F1612" s="32" t="s">
        <v>3488</v>
      </c>
      <c r="G1612" s="33">
        <v>1866</v>
      </c>
      <c r="H1612" s="34">
        <v>1.6060000000000001</v>
      </c>
      <c r="I1612" s="31">
        <v>169000</v>
      </c>
      <c r="J1612" s="35" t="s">
        <v>1514</v>
      </c>
      <c r="K1612" s="36">
        <v>2022</v>
      </c>
    </row>
    <row r="1613" spans="1:11" ht="15" customHeight="1" x14ac:dyDescent="0.3">
      <c r="A1613" s="37">
        <v>1608</v>
      </c>
      <c r="B1613" s="38" t="s">
        <v>3367</v>
      </c>
      <c r="C1613" s="38" t="s">
        <v>3506</v>
      </c>
      <c r="D1613" s="38" t="s">
        <v>3493</v>
      </c>
      <c r="E1613" s="38" t="s">
        <v>3507</v>
      </c>
      <c r="F1613" s="38" t="s">
        <v>287</v>
      </c>
      <c r="G1613" s="39">
        <v>1362</v>
      </c>
      <c r="H1613" s="40">
        <v>3.206</v>
      </c>
      <c r="I1613" s="37">
        <v>199800</v>
      </c>
      <c r="J1613" s="41" t="s">
        <v>1514</v>
      </c>
      <c r="K1613" s="42">
        <v>2022</v>
      </c>
    </row>
    <row r="1614" spans="1:11" ht="15" customHeight="1" x14ac:dyDescent="0.3">
      <c r="A1614" s="31">
        <v>1609</v>
      </c>
      <c r="B1614" s="32" t="s">
        <v>3367</v>
      </c>
      <c r="C1614" s="32" t="s">
        <v>3508</v>
      </c>
      <c r="D1614" s="32" t="s">
        <v>3493</v>
      </c>
      <c r="E1614" s="32" t="s">
        <v>3507</v>
      </c>
      <c r="F1614" s="32" t="s">
        <v>3488</v>
      </c>
      <c r="G1614" s="33">
        <v>405</v>
      </c>
      <c r="H1614" s="34">
        <v>3.26</v>
      </c>
      <c r="I1614" s="31">
        <v>199800</v>
      </c>
      <c r="J1614" s="35" t="s">
        <v>1514</v>
      </c>
      <c r="K1614" s="36">
        <v>2022</v>
      </c>
    </row>
    <row r="1615" spans="1:11" ht="15" customHeight="1" x14ac:dyDescent="0.3">
      <c r="A1615" s="37">
        <v>1610</v>
      </c>
      <c r="B1615" s="38" t="s">
        <v>3367</v>
      </c>
      <c r="C1615" s="38" t="s">
        <v>3509</v>
      </c>
      <c r="D1615" s="38" t="s">
        <v>3510</v>
      </c>
      <c r="E1615" s="38" t="s">
        <v>37</v>
      </c>
      <c r="F1615" s="38" t="s">
        <v>2490</v>
      </c>
      <c r="G1615" s="39">
        <v>2403</v>
      </c>
      <c r="H1615" s="40">
        <v>7.1929999999999996</v>
      </c>
      <c r="I1615" s="37">
        <v>311800</v>
      </c>
      <c r="J1615" s="41" t="s">
        <v>1514</v>
      </c>
      <c r="K1615" s="42">
        <v>2022</v>
      </c>
    </row>
    <row r="1616" spans="1:11" ht="15" customHeight="1" x14ac:dyDescent="0.3">
      <c r="A1616" s="31">
        <v>1611</v>
      </c>
      <c r="B1616" s="32" t="s">
        <v>2944</v>
      </c>
      <c r="C1616" s="32" t="s">
        <v>3511</v>
      </c>
      <c r="D1616" s="32" t="s">
        <v>42</v>
      </c>
      <c r="E1616" s="32" t="s">
        <v>35</v>
      </c>
      <c r="F1616" s="32" t="s">
        <v>3488</v>
      </c>
      <c r="G1616" s="33">
        <v>574</v>
      </c>
      <c r="H1616" s="34">
        <v>2.12</v>
      </c>
      <c r="I1616" s="31">
        <v>227800</v>
      </c>
      <c r="J1616" s="35" t="s">
        <v>1514</v>
      </c>
      <c r="K1616" s="36">
        <v>2022</v>
      </c>
    </row>
    <row r="1617" spans="1:11" ht="15" customHeight="1" x14ac:dyDescent="0.3">
      <c r="A1617" s="37">
        <v>1612</v>
      </c>
      <c r="B1617" s="38" t="s">
        <v>2944</v>
      </c>
      <c r="C1617" s="38" t="s">
        <v>3512</v>
      </c>
      <c r="D1617" s="38" t="s">
        <v>62</v>
      </c>
      <c r="E1617" s="38" t="s">
        <v>59</v>
      </c>
      <c r="F1617" s="38" t="s">
        <v>3488</v>
      </c>
      <c r="G1617" s="39">
        <v>262</v>
      </c>
      <c r="H1617" s="40">
        <v>2.5270000000000001</v>
      </c>
      <c r="I1617" s="37">
        <v>227800</v>
      </c>
      <c r="J1617" s="41" t="s">
        <v>1514</v>
      </c>
      <c r="K1617" s="42">
        <v>2022</v>
      </c>
    </row>
    <row r="1618" spans="1:11" ht="15" customHeight="1" x14ac:dyDescent="0.3">
      <c r="A1618" s="31">
        <v>1613</v>
      </c>
      <c r="B1618" s="32" t="s">
        <v>2944</v>
      </c>
      <c r="C1618" s="32" t="s">
        <v>3512</v>
      </c>
      <c r="D1618" s="32" t="s">
        <v>62</v>
      </c>
      <c r="E1618" s="32" t="s">
        <v>59</v>
      </c>
      <c r="F1618" s="32" t="s">
        <v>1135</v>
      </c>
      <c r="G1618" s="33">
        <v>781</v>
      </c>
      <c r="H1618" s="34">
        <v>6.03</v>
      </c>
      <c r="I1618" s="31">
        <v>283800</v>
      </c>
      <c r="J1618" s="35" t="s">
        <v>1514</v>
      </c>
      <c r="K1618" s="36">
        <v>2022</v>
      </c>
    </row>
    <row r="1619" spans="1:11" ht="15" customHeight="1" x14ac:dyDescent="0.3">
      <c r="A1619" s="37">
        <v>1614</v>
      </c>
      <c r="B1619" s="38" t="s">
        <v>2944</v>
      </c>
      <c r="C1619" s="38" t="s">
        <v>3513</v>
      </c>
      <c r="D1619" s="38" t="s">
        <v>42</v>
      </c>
      <c r="E1619" s="38" t="s">
        <v>35</v>
      </c>
      <c r="F1619" s="38" t="s">
        <v>402</v>
      </c>
      <c r="G1619" s="39">
        <v>405.76</v>
      </c>
      <c r="H1619" s="40">
        <v>4.5510000000000002</v>
      </c>
      <c r="I1619" s="37">
        <v>283800</v>
      </c>
      <c r="J1619" s="41" t="s">
        <v>1514</v>
      </c>
      <c r="K1619" s="42">
        <v>2022</v>
      </c>
    </row>
    <row r="1620" spans="1:11" ht="15" customHeight="1" x14ac:dyDescent="0.3">
      <c r="A1620" s="31">
        <v>1615</v>
      </c>
      <c r="B1620" s="32" t="s">
        <v>2944</v>
      </c>
      <c r="C1620" s="32" t="s">
        <v>3514</v>
      </c>
      <c r="D1620" s="32" t="s">
        <v>3515</v>
      </c>
      <c r="E1620" s="32" t="s">
        <v>35</v>
      </c>
      <c r="F1620" s="32" t="s">
        <v>3488</v>
      </c>
      <c r="G1620" s="33">
        <v>998</v>
      </c>
      <c r="H1620" s="34">
        <v>1.387</v>
      </c>
      <c r="I1620" s="31">
        <v>199800</v>
      </c>
      <c r="J1620" s="35" t="s">
        <v>1514</v>
      </c>
      <c r="K1620" s="36">
        <v>2022</v>
      </c>
    </row>
    <row r="1621" spans="1:11" ht="15" customHeight="1" x14ac:dyDescent="0.3">
      <c r="A1621" s="37">
        <v>1616</v>
      </c>
      <c r="B1621" s="38" t="s">
        <v>3367</v>
      </c>
      <c r="C1621" s="38" t="s">
        <v>3516</v>
      </c>
      <c r="D1621" s="38" t="s">
        <v>3517</v>
      </c>
      <c r="E1621" s="38" t="s">
        <v>41</v>
      </c>
      <c r="F1621" s="38" t="s">
        <v>312</v>
      </c>
      <c r="G1621" s="39">
        <v>282</v>
      </c>
      <c r="H1621" s="40">
        <v>0.46200000000000002</v>
      </c>
      <c r="I1621" s="37">
        <v>145800</v>
      </c>
      <c r="J1621" s="41" t="s">
        <v>1514</v>
      </c>
      <c r="K1621" s="42">
        <v>2022</v>
      </c>
    </row>
    <row r="1622" spans="1:11" ht="15" customHeight="1" x14ac:dyDescent="0.3">
      <c r="A1622" s="31">
        <v>1617</v>
      </c>
      <c r="B1622" s="32" t="s">
        <v>3367</v>
      </c>
      <c r="C1622" s="32" t="s">
        <v>3518</v>
      </c>
      <c r="D1622" s="32" t="s">
        <v>3519</v>
      </c>
      <c r="E1622" s="32" t="s">
        <v>2187</v>
      </c>
      <c r="F1622" s="32" t="s">
        <v>2906</v>
      </c>
      <c r="G1622" s="33">
        <v>1400</v>
      </c>
      <c r="H1622" s="34">
        <v>1.982</v>
      </c>
      <c r="I1622" s="31">
        <v>171800</v>
      </c>
      <c r="J1622" s="35" t="s">
        <v>1514</v>
      </c>
      <c r="K1622" s="36">
        <v>2022</v>
      </c>
    </row>
    <row r="1623" spans="1:11" ht="15" customHeight="1" x14ac:dyDescent="0.3">
      <c r="A1623" s="37">
        <v>1618</v>
      </c>
      <c r="B1623" s="38" t="s">
        <v>3367</v>
      </c>
      <c r="C1623" s="38" t="s">
        <v>3520</v>
      </c>
      <c r="D1623" s="38" t="s">
        <v>3521</v>
      </c>
      <c r="E1623" s="38" t="s">
        <v>3522</v>
      </c>
      <c r="F1623" s="38" t="s">
        <v>287</v>
      </c>
      <c r="G1623" s="39">
        <v>472</v>
      </c>
      <c r="H1623" s="40">
        <v>3.4119999999999999</v>
      </c>
      <c r="I1623" s="37">
        <v>199800</v>
      </c>
      <c r="J1623" s="41" t="s">
        <v>1514</v>
      </c>
      <c r="K1623" s="42">
        <v>2022</v>
      </c>
    </row>
    <row r="1624" spans="1:11" ht="15" customHeight="1" x14ac:dyDescent="0.3">
      <c r="A1624" s="31">
        <v>1619</v>
      </c>
      <c r="B1624" s="32" t="s">
        <v>3367</v>
      </c>
      <c r="C1624" s="32" t="s">
        <v>3523</v>
      </c>
      <c r="D1624" s="32" t="s">
        <v>3524</v>
      </c>
      <c r="E1624" s="32" t="s">
        <v>3525</v>
      </c>
      <c r="F1624" s="32" t="s">
        <v>3488</v>
      </c>
      <c r="G1624" s="33">
        <v>182</v>
      </c>
      <c r="H1624" s="34">
        <v>0.97899999999999998</v>
      </c>
      <c r="I1624" s="31">
        <v>145800</v>
      </c>
      <c r="J1624" s="35" t="s">
        <v>1514</v>
      </c>
      <c r="K1624" s="36">
        <v>2022</v>
      </c>
    </row>
    <row r="1625" spans="1:11" ht="15" customHeight="1" x14ac:dyDescent="0.3">
      <c r="A1625" s="37">
        <v>1620</v>
      </c>
      <c r="B1625" s="38" t="s">
        <v>3367</v>
      </c>
      <c r="C1625" s="38" t="s">
        <v>3526</v>
      </c>
      <c r="D1625" s="38" t="s">
        <v>3527</v>
      </c>
      <c r="E1625" s="38" t="s">
        <v>3528</v>
      </c>
      <c r="F1625" s="38" t="s">
        <v>3529</v>
      </c>
      <c r="G1625" s="39">
        <v>1512</v>
      </c>
      <c r="H1625" s="40">
        <v>7.65</v>
      </c>
      <c r="I1625" s="37">
        <v>329000</v>
      </c>
      <c r="J1625" s="41" t="s">
        <v>1514</v>
      </c>
      <c r="K1625" s="42">
        <v>2022</v>
      </c>
    </row>
    <row r="1626" spans="1:11" ht="15" customHeight="1" x14ac:dyDescent="0.3">
      <c r="A1626" s="31">
        <v>1621</v>
      </c>
      <c r="B1626" s="32" t="s">
        <v>3367</v>
      </c>
      <c r="C1626" s="32" t="s">
        <v>3530</v>
      </c>
      <c r="D1626" s="32" t="s">
        <v>3531</v>
      </c>
      <c r="E1626" s="32" t="s">
        <v>3532</v>
      </c>
      <c r="F1626" s="32" t="s">
        <v>2906</v>
      </c>
      <c r="G1626" s="33">
        <v>178</v>
      </c>
      <c r="H1626" s="34">
        <v>1</v>
      </c>
      <c r="I1626" s="31">
        <v>143000</v>
      </c>
      <c r="J1626" s="35" t="s">
        <v>1514</v>
      </c>
      <c r="K1626" s="36">
        <v>2022</v>
      </c>
    </row>
    <row r="1627" spans="1:11" ht="15" customHeight="1" x14ac:dyDescent="0.3">
      <c r="A1627" s="37">
        <v>1622</v>
      </c>
      <c r="B1627" s="38" t="s">
        <v>3367</v>
      </c>
      <c r="C1627" s="38" t="s">
        <v>3533</v>
      </c>
      <c r="D1627" s="38" t="s">
        <v>3177</v>
      </c>
      <c r="E1627" s="38" t="s">
        <v>3178</v>
      </c>
      <c r="F1627" s="38" t="s">
        <v>2877</v>
      </c>
      <c r="G1627" s="39">
        <v>1324</v>
      </c>
      <c r="H1627" s="40">
        <v>7.9219999999999997</v>
      </c>
      <c r="I1627" s="37">
        <v>331800</v>
      </c>
      <c r="J1627" s="41" t="s">
        <v>1514</v>
      </c>
      <c r="K1627" s="42">
        <v>2022</v>
      </c>
    </row>
    <row r="1628" spans="1:11" ht="15" customHeight="1" x14ac:dyDescent="0.3">
      <c r="A1628" s="31">
        <v>1623</v>
      </c>
      <c r="B1628" s="32" t="s">
        <v>3367</v>
      </c>
      <c r="C1628" s="32" t="s">
        <v>3534</v>
      </c>
      <c r="D1628" s="32" t="s">
        <v>3535</v>
      </c>
      <c r="E1628" s="32" t="s">
        <v>41</v>
      </c>
      <c r="F1628" s="32" t="s">
        <v>1031</v>
      </c>
      <c r="G1628" s="33">
        <v>320</v>
      </c>
      <c r="H1628" s="34">
        <v>2.0619999999999998</v>
      </c>
      <c r="I1628" s="31">
        <v>171800</v>
      </c>
      <c r="J1628" s="35" t="s">
        <v>1514</v>
      </c>
      <c r="K1628" s="36">
        <v>2022</v>
      </c>
    </row>
    <row r="1629" spans="1:11" ht="15" customHeight="1" x14ac:dyDescent="0.3">
      <c r="A1629" s="37">
        <v>1624</v>
      </c>
      <c r="B1629" s="38" t="s">
        <v>3367</v>
      </c>
      <c r="C1629" s="38" t="s">
        <v>3536</v>
      </c>
      <c r="D1629" s="38" t="s">
        <v>3444</v>
      </c>
      <c r="E1629" s="38" t="s">
        <v>37</v>
      </c>
      <c r="F1629" s="38" t="s">
        <v>2906</v>
      </c>
      <c r="G1629" s="39">
        <v>645</v>
      </c>
      <c r="H1629" s="40">
        <v>1.2669999999999999</v>
      </c>
      <c r="I1629" s="37">
        <v>145800</v>
      </c>
      <c r="J1629" s="41" t="s">
        <v>1514</v>
      </c>
      <c r="K1629" s="42">
        <v>2022</v>
      </c>
    </row>
    <row r="1630" spans="1:11" ht="15" customHeight="1" x14ac:dyDescent="0.3">
      <c r="A1630" s="31">
        <v>1625</v>
      </c>
      <c r="B1630" s="32" t="s">
        <v>3367</v>
      </c>
      <c r="C1630" s="32" t="s">
        <v>3537</v>
      </c>
      <c r="D1630" s="32" t="s">
        <v>3538</v>
      </c>
      <c r="E1630" s="32" t="s">
        <v>35</v>
      </c>
      <c r="F1630" s="32" t="s">
        <v>2906</v>
      </c>
      <c r="G1630" s="33">
        <v>75</v>
      </c>
      <c r="H1630" s="34">
        <v>0.26400000000000001</v>
      </c>
      <c r="I1630" s="31">
        <v>145800</v>
      </c>
      <c r="J1630" s="35" t="s">
        <v>1514</v>
      </c>
      <c r="K1630" s="36">
        <v>2022</v>
      </c>
    </row>
    <row r="1631" spans="1:11" ht="15" customHeight="1" x14ac:dyDescent="0.3">
      <c r="A1631" s="37">
        <v>1626</v>
      </c>
      <c r="B1631" s="38" t="s">
        <v>3367</v>
      </c>
      <c r="C1631" s="38" t="s">
        <v>3539</v>
      </c>
      <c r="D1631" s="38" t="s">
        <v>3540</v>
      </c>
      <c r="E1631" s="38" t="s">
        <v>2711</v>
      </c>
      <c r="F1631" s="38" t="s">
        <v>3488</v>
      </c>
      <c r="G1631" s="39">
        <v>450</v>
      </c>
      <c r="H1631" s="40">
        <v>2.528</v>
      </c>
      <c r="I1631" s="37">
        <v>199800</v>
      </c>
      <c r="J1631" s="41" t="s">
        <v>1514</v>
      </c>
      <c r="K1631" s="42">
        <v>2022</v>
      </c>
    </row>
    <row r="1632" spans="1:11" ht="15" customHeight="1" x14ac:dyDescent="0.3">
      <c r="A1632" s="31">
        <v>1627</v>
      </c>
      <c r="B1632" s="32" t="s">
        <v>3367</v>
      </c>
      <c r="C1632" s="32" t="s">
        <v>3541</v>
      </c>
      <c r="D1632" s="32" t="s">
        <v>3542</v>
      </c>
      <c r="E1632" s="32" t="s">
        <v>41</v>
      </c>
      <c r="F1632" s="32" t="s">
        <v>289</v>
      </c>
      <c r="G1632" s="33">
        <v>1780</v>
      </c>
      <c r="H1632" s="34">
        <v>15.459</v>
      </c>
      <c r="I1632" s="31">
        <v>385800</v>
      </c>
      <c r="J1632" s="35" t="s">
        <v>1514</v>
      </c>
      <c r="K1632" s="36">
        <v>2022</v>
      </c>
    </row>
    <row r="1633" spans="1:11" ht="15" customHeight="1" x14ac:dyDescent="0.3">
      <c r="A1633" s="37">
        <v>1628</v>
      </c>
      <c r="B1633" s="38" t="s">
        <v>3367</v>
      </c>
      <c r="C1633" s="38" t="s">
        <v>3543</v>
      </c>
      <c r="D1633" s="38" t="s">
        <v>3544</v>
      </c>
      <c r="E1633" s="38" t="s">
        <v>37</v>
      </c>
      <c r="F1633" s="38" t="s">
        <v>3545</v>
      </c>
      <c r="G1633" s="39">
        <v>42216</v>
      </c>
      <c r="H1633" s="40">
        <v>5.74</v>
      </c>
      <c r="I1633" s="37">
        <v>283800</v>
      </c>
      <c r="J1633" s="41" t="s">
        <v>1514</v>
      </c>
      <c r="K1633" s="42">
        <v>2022</v>
      </c>
    </row>
    <row r="1634" spans="1:11" ht="15" customHeight="1" x14ac:dyDescent="0.3">
      <c r="A1634" s="31">
        <v>1629</v>
      </c>
      <c r="B1634" s="32" t="s">
        <v>3367</v>
      </c>
      <c r="C1634" s="32" t="s">
        <v>3546</v>
      </c>
      <c r="D1634" s="32" t="s">
        <v>3547</v>
      </c>
      <c r="E1634" s="32" t="s">
        <v>43</v>
      </c>
      <c r="F1634" s="32" t="s">
        <v>693</v>
      </c>
      <c r="G1634" s="33">
        <v>980</v>
      </c>
      <c r="H1634" s="34">
        <v>1.5369999999999999</v>
      </c>
      <c r="I1634" s="31">
        <v>171800</v>
      </c>
      <c r="J1634" s="35" t="s">
        <v>1514</v>
      </c>
      <c r="K1634" s="36">
        <v>2022</v>
      </c>
    </row>
    <row r="1635" spans="1:11" ht="15" customHeight="1" x14ac:dyDescent="0.3">
      <c r="A1635" s="37">
        <v>1630</v>
      </c>
      <c r="B1635" s="38" t="s">
        <v>2878</v>
      </c>
      <c r="C1635" s="38" t="s">
        <v>3548</v>
      </c>
      <c r="D1635" s="38" t="s">
        <v>366</v>
      </c>
      <c r="E1635" s="38" t="s">
        <v>55</v>
      </c>
      <c r="F1635" s="38" t="s">
        <v>3549</v>
      </c>
      <c r="G1635" s="39">
        <v>2971</v>
      </c>
      <c r="H1635" s="40">
        <v>3</v>
      </c>
      <c r="I1635" s="37">
        <v>197000</v>
      </c>
      <c r="J1635" s="41" t="s">
        <v>78</v>
      </c>
      <c r="K1635" s="42">
        <v>2023</v>
      </c>
    </row>
    <row r="1636" spans="1:11" ht="15" customHeight="1" x14ac:dyDescent="0.3">
      <c r="A1636" s="31">
        <v>1631</v>
      </c>
      <c r="B1636" s="32" t="s">
        <v>2878</v>
      </c>
      <c r="C1636" s="32" t="s">
        <v>3550</v>
      </c>
      <c r="D1636" s="32" t="s">
        <v>3551</v>
      </c>
      <c r="E1636" s="32" t="s">
        <v>3552</v>
      </c>
      <c r="F1636" s="32" t="s">
        <v>3553</v>
      </c>
      <c r="G1636" s="33">
        <v>1428.7080000000001</v>
      </c>
      <c r="H1636" s="34">
        <v>3.1680000000000001</v>
      </c>
      <c r="I1636" s="31">
        <v>199800</v>
      </c>
      <c r="J1636" s="35" t="s">
        <v>78</v>
      </c>
      <c r="K1636" s="36">
        <v>2023</v>
      </c>
    </row>
    <row r="1637" spans="1:11" ht="15" customHeight="1" x14ac:dyDescent="0.3">
      <c r="A1637" s="37">
        <v>1632</v>
      </c>
      <c r="B1637" s="38" t="s">
        <v>2878</v>
      </c>
      <c r="C1637" s="38" t="s">
        <v>3554</v>
      </c>
      <c r="D1637" s="38" t="s">
        <v>3555</v>
      </c>
      <c r="E1637" s="38" t="s">
        <v>3040</v>
      </c>
      <c r="F1637" s="38" t="s">
        <v>3556</v>
      </c>
      <c r="G1637" s="39">
        <v>2299</v>
      </c>
      <c r="H1637" s="40">
        <v>4.9690000000000003</v>
      </c>
      <c r="I1637" s="37">
        <v>253000</v>
      </c>
      <c r="J1637" s="41" t="s">
        <v>78</v>
      </c>
      <c r="K1637" s="42">
        <v>2023</v>
      </c>
    </row>
    <row r="1638" spans="1:11" ht="15" customHeight="1" x14ac:dyDescent="0.3">
      <c r="A1638" s="31">
        <v>1633</v>
      </c>
      <c r="B1638" s="32" t="s">
        <v>2878</v>
      </c>
      <c r="C1638" s="32" t="s">
        <v>3557</v>
      </c>
      <c r="D1638" s="32" t="s">
        <v>2950</v>
      </c>
      <c r="E1638" s="32" t="s">
        <v>2951</v>
      </c>
      <c r="F1638" s="32" t="s">
        <v>2906</v>
      </c>
      <c r="G1638" s="33">
        <v>142.5</v>
      </c>
      <c r="H1638" s="34">
        <v>0.188</v>
      </c>
      <c r="I1638" s="31">
        <v>145800</v>
      </c>
      <c r="J1638" s="35" t="s">
        <v>78</v>
      </c>
      <c r="K1638" s="36">
        <v>2023</v>
      </c>
    </row>
    <row r="1639" spans="1:11" ht="15" customHeight="1" x14ac:dyDescent="0.3">
      <c r="A1639" s="37">
        <v>1634</v>
      </c>
      <c r="B1639" s="38" t="s">
        <v>2878</v>
      </c>
      <c r="C1639" s="38" t="s">
        <v>3558</v>
      </c>
      <c r="D1639" s="38" t="s">
        <v>174</v>
      </c>
      <c r="E1639" s="38" t="s">
        <v>3559</v>
      </c>
      <c r="F1639" s="38" t="s">
        <v>402</v>
      </c>
      <c r="G1639" s="39">
        <v>3626</v>
      </c>
      <c r="H1639" s="40">
        <v>3.6560000000000001</v>
      </c>
      <c r="I1639" s="37">
        <v>225000</v>
      </c>
      <c r="J1639" s="41" t="s">
        <v>78</v>
      </c>
      <c r="K1639" s="42">
        <v>2023</v>
      </c>
    </row>
    <row r="1640" spans="1:11" ht="15" customHeight="1" x14ac:dyDescent="0.3">
      <c r="A1640" s="31">
        <v>1635</v>
      </c>
      <c r="B1640" s="32" t="s">
        <v>2878</v>
      </c>
      <c r="C1640" s="32" t="s">
        <v>3560</v>
      </c>
      <c r="D1640" s="32" t="s">
        <v>3561</v>
      </c>
      <c r="E1640" s="32" t="s">
        <v>35</v>
      </c>
      <c r="F1640" s="32" t="s">
        <v>289</v>
      </c>
      <c r="G1640" s="33">
        <v>4570</v>
      </c>
      <c r="H1640" s="34">
        <v>10.404999999999999</v>
      </c>
      <c r="I1640" s="31">
        <v>385800</v>
      </c>
      <c r="J1640" s="35" t="s">
        <v>78</v>
      </c>
      <c r="K1640" s="36">
        <v>2023</v>
      </c>
    </row>
    <row r="1641" spans="1:11" ht="15" customHeight="1" x14ac:dyDescent="0.3">
      <c r="A1641" s="37">
        <v>1636</v>
      </c>
      <c r="B1641" s="38" t="s">
        <v>2878</v>
      </c>
      <c r="C1641" s="38" t="s">
        <v>3562</v>
      </c>
      <c r="D1641" s="38" t="s">
        <v>2506</v>
      </c>
      <c r="E1641" s="38" t="s">
        <v>35</v>
      </c>
      <c r="F1641" s="38" t="s">
        <v>373</v>
      </c>
      <c r="G1641" s="39">
        <v>870</v>
      </c>
      <c r="H1641" s="40">
        <v>4.2770000000000001</v>
      </c>
      <c r="I1641" s="37">
        <v>227800</v>
      </c>
      <c r="J1641" s="41" t="s">
        <v>78</v>
      </c>
      <c r="K1641" s="42">
        <v>2023</v>
      </c>
    </row>
    <row r="1642" spans="1:11" ht="15" customHeight="1" x14ac:dyDescent="0.3">
      <c r="A1642" s="31">
        <v>1637</v>
      </c>
      <c r="B1642" s="32" t="s">
        <v>2878</v>
      </c>
      <c r="C1642" s="32" t="s">
        <v>3563</v>
      </c>
      <c r="D1642" s="32" t="s">
        <v>1574</v>
      </c>
      <c r="E1642" s="32" t="s">
        <v>35</v>
      </c>
      <c r="F1642" s="32" t="s">
        <v>2906</v>
      </c>
      <c r="G1642" s="33">
        <v>600</v>
      </c>
      <c r="H1642" s="34">
        <v>0.61599999999999999</v>
      </c>
      <c r="I1642" s="31">
        <v>145800</v>
      </c>
      <c r="J1642" s="35" t="s">
        <v>78</v>
      </c>
      <c r="K1642" s="36">
        <v>2023</v>
      </c>
    </row>
    <row r="1643" spans="1:11" ht="15" customHeight="1" x14ac:dyDescent="0.3">
      <c r="A1643" s="37">
        <v>1638</v>
      </c>
      <c r="B1643" s="38" t="s">
        <v>2878</v>
      </c>
      <c r="C1643" s="38" t="s">
        <v>3564</v>
      </c>
      <c r="D1643" s="38" t="s">
        <v>3565</v>
      </c>
      <c r="E1643" s="38" t="s">
        <v>3566</v>
      </c>
      <c r="F1643" s="38" t="s">
        <v>2906</v>
      </c>
      <c r="G1643" s="39">
        <v>360</v>
      </c>
      <c r="H1643" s="40">
        <v>0.96</v>
      </c>
      <c r="I1643" s="37">
        <v>145800</v>
      </c>
      <c r="J1643" s="41" t="s">
        <v>78</v>
      </c>
      <c r="K1643" s="42">
        <v>2023</v>
      </c>
    </row>
    <row r="1644" spans="1:11" ht="15" customHeight="1" x14ac:dyDescent="0.3">
      <c r="A1644" s="31">
        <v>1639</v>
      </c>
      <c r="B1644" s="32" t="s">
        <v>2878</v>
      </c>
      <c r="C1644" s="32" t="s">
        <v>3567</v>
      </c>
      <c r="D1644" s="32" t="s">
        <v>3568</v>
      </c>
      <c r="E1644" s="32" t="s">
        <v>3569</v>
      </c>
      <c r="F1644" s="32" t="s">
        <v>2906</v>
      </c>
      <c r="G1644" s="33">
        <v>202</v>
      </c>
      <c r="H1644" s="34">
        <v>0.52</v>
      </c>
      <c r="I1644" s="31">
        <v>145800</v>
      </c>
      <c r="J1644" s="35" t="s">
        <v>78</v>
      </c>
      <c r="K1644" s="36">
        <v>2023</v>
      </c>
    </row>
    <row r="1645" spans="1:11" ht="15" customHeight="1" x14ac:dyDescent="0.3">
      <c r="A1645" s="37">
        <v>1640</v>
      </c>
      <c r="B1645" s="38" t="s">
        <v>2878</v>
      </c>
      <c r="C1645" s="38" t="s">
        <v>3570</v>
      </c>
      <c r="D1645" s="38" t="s">
        <v>3070</v>
      </c>
      <c r="E1645" s="38" t="s">
        <v>3071</v>
      </c>
      <c r="F1645" s="38" t="s">
        <v>2906</v>
      </c>
      <c r="G1645" s="39">
        <v>793.9</v>
      </c>
      <c r="H1645" s="40">
        <v>1.3440000000000001</v>
      </c>
      <c r="I1645" s="37">
        <v>143000</v>
      </c>
      <c r="J1645" s="41" t="s">
        <v>78</v>
      </c>
      <c r="K1645" s="42">
        <v>2023</v>
      </c>
    </row>
    <row r="1646" spans="1:11" ht="15" customHeight="1" x14ac:dyDescent="0.3">
      <c r="A1646" s="31">
        <v>1641</v>
      </c>
      <c r="B1646" s="32" t="s">
        <v>2878</v>
      </c>
      <c r="C1646" s="32" t="s">
        <v>3571</v>
      </c>
      <c r="D1646" s="32" t="s">
        <v>1054</v>
      </c>
      <c r="E1646" s="32" t="s">
        <v>35</v>
      </c>
      <c r="F1646" s="32" t="s">
        <v>435</v>
      </c>
      <c r="G1646" s="33">
        <v>1520</v>
      </c>
      <c r="H1646" s="34">
        <v>5.5679999999999996</v>
      </c>
      <c r="I1646" s="31">
        <v>283800</v>
      </c>
      <c r="J1646" s="35" t="s">
        <v>78</v>
      </c>
      <c r="K1646" s="36">
        <v>2023</v>
      </c>
    </row>
    <row r="1647" spans="1:11" ht="15" customHeight="1" x14ac:dyDescent="0.3">
      <c r="A1647" s="37">
        <v>1642</v>
      </c>
      <c r="B1647" s="38" t="s">
        <v>2878</v>
      </c>
      <c r="C1647" s="38" t="s">
        <v>3572</v>
      </c>
      <c r="D1647" s="38" t="s">
        <v>1448</v>
      </c>
      <c r="E1647" s="38" t="s">
        <v>3415</v>
      </c>
      <c r="F1647" s="38" t="s">
        <v>2906</v>
      </c>
      <c r="G1647" s="39">
        <v>139.30000000000001</v>
      </c>
      <c r="H1647" s="40">
        <v>0.309</v>
      </c>
      <c r="I1647" s="37">
        <v>143000</v>
      </c>
      <c r="J1647" s="41" t="s">
        <v>78</v>
      </c>
      <c r="K1647" s="42">
        <v>2023</v>
      </c>
    </row>
    <row r="1648" spans="1:11" ht="15" customHeight="1" x14ac:dyDescent="0.3">
      <c r="A1648" s="31">
        <v>1643</v>
      </c>
      <c r="B1648" s="32" t="s">
        <v>2878</v>
      </c>
      <c r="C1648" s="32" t="s">
        <v>3573</v>
      </c>
      <c r="D1648" s="32" t="s">
        <v>3574</v>
      </c>
      <c r="E1648" s="32" t="s">
        <v>3575</v>
      </c>
      <c r="F1648" s="32" t="s">
        <v>316</v>
      </c>
      <c r="G1648" s="33">
        <v>1924</v>
      </c>
      <c r="H1648" s="34">
        <v>4.4880000000000004</v>
      </c>
      <c r="I1648" s="31">
        <v>255800</v>
      </c>
      <c r="J1648" s="35" t="s">
        <v>78</v>
      </c>
      <c r="K1648" s="36">
        <v>2023</v>
      </c>
    </row>
    <row r="1649" spans="1:11" ht="15" customHeight="1" x14ac:dyDescent="0.3">
      <c r="A1649" s="37">
        <v>1644</v>
      </c>
      <c r="B1649" s="38" t="s">
        <v>2878</v>
      </c>
      <c r="C1649" s="38" t="s">
        <v>3576</v>
      </c>
      <c r="D1649" s="38" t="s">
        <v>36</v>
      </c>
      <c r="E1649" s="38" t="s">
        <v>3577</v>
      </c>
      <c r="F1649" s="38" t="s">
        <v>373</v>
      </c>
      <c r="G1649" s="39">
        <v>571</v>
      </c>
      <c r="H1649" s="40">
        <v>2.0030000000000001</v>
      </c>
      <c r="I1649" s="37">
        <v>171800</v>
      </c>
      <c r="J1649" s="41" t="s">
        <v>78</v>
      </c>
      <c r="K1649" s="42">
        <v>2023</v>
      </c>
    </row>
    <row r="1650" spans="1:11" ht="15" customHeight="1" x14ac:dyDescent="0.3">
      <c r="A1650" s="31">
        <v>1645</v>
      </c>
      <c r="B1650" s="32" t="s">
        <v>2878</v>
      </c>
      <c r="C1650" s="32" t="s">
        <v>3578</v>
      </c>
      <c r="D1650" s="32" t="s">
        <v>3579</v>
      </c>
      <c r="E1650" s="32" t="s">
        <v>3580</v>
      </c>
      <c r="F1650" s="32" t="s">
        <v>312</v>
      </c>
      <c r="G1650" s="33">
        <v>414</v>
      </c>
      <c r="H1650" s="34">
        <v>0.76700000000000002</v>
      </c>
      <c r="I1650" s="31">
        <v>143000</v>
      </c>
      <c r="J1650" s="35" t="s">
        <v>78</v>
      </c>
      <c r="K1650" s="36">
        <v>2023</v>
      </c>
    </row>
    <row r="1651" spans="1:11" ht="15" customHeight="1" x14ac:dyDescent="0.3">
      <c r="A1651" s="37">
        <v>1646</v>
      </c>
      <c r="B1651" s="38" t="s">
        <v>2878</v>
      </c>
      <c r="C1651" s="38" t="s">
        <v>3581</v>
      </c>
      <c r="D1651" s="38" t="s">
        <v>3582</v>
      </c>
      <c r="E1651" s="38" t="s">
        <v>3583</v>
      </c>
      <c r="F1651" s="38" t="s">
        <v>435</v>
      </c>
      <c r="G1651" s="39">
        <v>4430</v>
      </c>
      <c r="H1651" s="40">
        <v>3.9830000000000001</v>
      </c>
      <c r="I1651" s="37">
        <v>227800</v>
      </c>
      <c r="J1651" s="41" t="s">
        <v>78</v>
      </c>
      <c r="K1651" s="42">
        <v>2023</v>
      </c>
    </row>
    <row r="1652" spans="1:11" ht="15" customHeight="1" x14ac:dyDescent="0.3">
      <c r="A1652" s="31">
        <v>1647</v>
      </c>
      <c r="B1652" s="32" t="s">
        <v>3584</v>
      </c>
      <c r="C1652" s="32" t="s">
        <v>3585</v>
      </c>
      <c r="D1652" s="32" t="s">
        <v>3586</v>
      </c>
      <c r="E1652" s="32" t="s">
        <v>35</v>
      </c>
      <c r="F1652" s="32" t="s">
        <v>2906</v>
      </c>
      <c r="G1652" s="33">
        <v>1170</v>
      </c>
      <c r="H1652" s="34">
        <v>2.1190000000000002</v>
      </c>
      <c r="I1652" s="31">
        <v>171800</v>
      </c>
      <c r="J1652" s="35" t="s">
        <v>78</v>
      </c>
      <c r="K1652" s="36">
        <v>2023</v>
      </c>
    </row>
    <row r="1653" spans="1:11" ht="15" customHeight="1" x14ac:dyDescent="0.3">
      <c r="A1653" s="37">
        <v>1648</v>
      </c>
      <c r="B1653" s="38" t="s">
        <v>3584</v>
      </c>
      <c r="C1653" s="38" t="s">
        <v>3587</v>
      </c>
      <c r="D1653" s="38" t="s">
        <v>52</v>
      </c>
      <c r="E1653" s="38" t="s">
        <v>37</v>
      </c>
      <c r="F1653" s="38" t="s">
        <v>435</v>
      </c>
      <c r="G1653" s="39">
        <v>840</v>
      </c>
      <c r="H1653" s="40">
        <v>2.016</v>
      </c>
      <c r="I1653" s="37">
        <v>171800</v>
      </c>
      <c r="J1653" s="41" t="s">
        <v>78</v>
      </c>
      <c r="K1653" s="42">
        <v>2023</v>
      </c>
    </row>
    <row r="1654" spans="1:11" ht="15" customHeight="1" x14ac:dyDescent="0.3">
      <c r="A1654" s="31">
        <v>1649</v>
      </c>
      <c r="B1654" s="32" t="s">
        <v>3584</v>
      </c>
      <c r="C1654" s="32" t="s">
        <v>3588</v>
      </c>
      <c r="D1654" s="32" t="s">
        <v>3589</v>
      </c>
      <c r="E1654" s="32" t="s">
        <v>3590</v>
      </c>
      <c r="F1654" s="32" t="s">
        <v>316</v>
      </c>
      <c r="G1654" s="33">
        <v>244</v>
      </c>
      <c r="H1654" s="34">
        <v>2.1120000000000001</v>
      </c>
      <c r="I1654" s="31">
        <v>169000</v>
      </c>
      <c r="J1654" s="35" t="s">
        <v>78</v>
      </c>
      <c r="K1654" s="36">
        <v>2023</v>
      </c>
    </row>
    <row r="1655" spans="1:11" ht="15" customHeight="1" x14ac:dyDescent="0.3">
      <c r="A1655" s="37">
        <v>1650</v>
      </c>
      <c r="B1655" s="38" t="s">
        <v>3584</v>
      </c>
      <c r="C1655" s="38" t="s">
        <v>3591</v>
      </c>
      <c r="D1655" s="38" t="s">
        <v>3592</v>
      </c>
      <c r="E1655" s="38" t="s">
        <v>3593</v>
      </c>
      <c r="F1655" s="38" t="s">
        <v>689</v>
      </c>
      <c r="G1655" s="39">
        <v>461.89800000000002</v>
      </c>
      <c r="H1655" s="40">
        <v>3.5070000000000001</v>
      </c>
      <c r="I1655" s="37">
        <v>227800</v>
      </c>
      <c r="J1655" s="41" t="s">
        <v>78</v>
      </c>
      <c r="K1655" s="42">
        <v>2023</v>
      </c>
    </row>
    <row r="1656" spans="1:11" ht="15" customHeight="1" x14ac:dyDescent="0.3">
      <c r="A1656" s="31">
        <v>1651</v>
      </c>
      <c r="B1656" s="32" t="s">
        <v>3584</v>
      </c>
      <c r="C1656" s="32" t="s">
        <v>3594</v>
      </c>
      <c r="D1656" s="32" t="s">
        <v>3595</v>
      </c>
      <c r="E1656" s="32" t="s">
        <v>35</v>
      </c>
      <c r="F1656" s="32" t="s">
        <v>693</v>
      </c>
      <c r="G1656" s="33">
        <v>870</v>
      </c>
      <c r="H1656" s="34">
        <v>3.43</v>
      </c>
      <c r="I1656" s="31">
        <v>199800</v>
      </c>
      <c r="J1656" s="35" t="s">
        <v>78</v>
      </c>
      <c r="K1656" s="36">
        <v>2023</v>
      </c>
    </row>
    <row r="1657" spans="1:11" ht="15" customHeight="1" x14ac:dyDescent="0.3">
      <c r="A1657" s="37">
        <v>1652</v>
      </c>
      <c r="B1657" s="38" t="s">
        <v>3584</v>
      </c>
      <c r="C1657" s="38" t="s">
        <v>3596</v>
      </c>
      <c r="D1657" s="38" t="s">
        <v>3597</v>
      </c>
      <c r="E1657" s="38" t="s">
        <v>3598</v>
      </c>
      <c r="F1657" s="38" t="s">
        <v>2906</v>
      </c>
      <c r="G1657" s="39">
        <v>88</v>
      </c>
      <c r="H1657" s="40">
        <v>0.37</v>
      </c>
      <c r="I1657" s="37">
        <v>143000</v>
      </c>
      <c r="J1657" s="41" t="s">
        <v>78</v>
      </c>
      <c r="K1657" s="42">
        <v>2023</v>
      </c>
    </row>
    <row r="1658" spans="1:11" ht="15" customHeight="1" x14ac:dyDescent="0.3">
      <c r="A1658" s="31">
        <v>1653</v>
      </c>
      <c r="B1658" s="32" t="s">
        <v>3584</v>
      </c>
      <c r="C1658" s="32" t="s">
        <v>3599</v>
      </c>
      <c r="D1658" s="32" t="s">
        <v>3600</v>
      </c>
      <c r="E1658" s="32" t="s">
        <v>3601</v>
      </c>
      <c r="F1658" s="32" t="s">
        <v>402</v>
      </c>
      <c r="G1658" s="33">
        <v>3484</v>
      </c>
      <c r="H1658" s="34">
        <v>8.3610000000000007</v>
      </c>
      <c r="I1658" s="31">
        <v>331800</v>
      </c>
      <c r="J1658" s="35" t="s">
        <v>78</v>
      </c>
      <c r="K1658" s="36">
        <v>2023</v>
      </c>
    </row>
    <row r="1659" spans="1:11" ht="15" customHeight="1" x14ac:dyDescent="0.3">
      <c r="A1659" s="37">
        <v>1654</v>
      </c>
      <c r="B1659" s="38" t="s">
        <v>3584</v>
      </c>
      <c r="C1659" s="38" t="s">
        <v>3602</v>
      </c>
      <c r="D1659" s="38" t="s">
        <v>3603</v>
      </c>
      <c r="E1659" s="38" t="s">
        <v>3604</v>
      </c>
      <c r="F1659" s="38" t="s">
        <v>2906</v>
      </c>
      <c r="G1659" s="39">
        <v>35</v>
      </c>
      <c r="H1659" s="40">
        <v>0.376</v>
      </c>
      <c r="I1659" s="37">
        <v>143000</v>
      </c>
      <c r="J1659" s="41" t="s">
        <v>78</v>
      </c>
      <c r="K1659" s="42">
        <v>2023</v>
      </c>
    </row>
    <row r="1660" spans="1:11" ht="15" customHeight="1" x14ac:dyDescent="0.3">
      <c r="A1660" s="31">
        <v>1655</v>
      </c>
      <c r="B1660" s="32" t="s">
        <v>3584</v>
      </c>
      <c r="C1660" s="32" t="s">
        <v>3605</v>
      </c>
      <c r="D1660" s="32" t="s">
        <v>3606</v>
      </c>
      <c r="E1660" s="32" t="s">
        <v>96</v>
      </c>
      <c r="F1660" s="32" t="s">
        <v>2906</v>
      </c>
      <c r="G1660" s="33">
        <v>142</v>
      </c>
      <c r="H1660" s="34">
        <v>0.76800000000000002</v>
      </c>
      <c r="I1660" s="31">
        <v>145800</v>
      </c>
      <c r="J1660" s="35" t="s">
        <v>78</v>
      </c>
      <c r="K1660" s="36">
        <v>2023</v>
      </c>
    </row>
    <row r="1661" spans="1:11" ht="15" customHeight="1" x14ac:dyDescent="0.3">
      <c r="A1661" s="37">
        <v>1656</v>
      </c>
      <c r="B1661" s="38" t="s">
        <v>3584</v>
      </c>
      <c r="C1661" s="38" t="s">
        <v>3607</v>
      </c>
      <c r="D1661" s="38" t="s">
        <v>3608</v>
      </c>
      <c r="E1661" s="38" t="s">
        <v>2250</v>
      </c>
      <c r="F1661" s="38" t="s">
        <v>316</v>
      </c>
      <c r="G1661" s="39">
        <v>664.5</v>
      </c>
      <c r="H1661" s="40">
        <v>4.8239999999999998</v>
      </c>
      <c r="I1661" s="37">
        <v>255800</v>
      </c>
      <c r="J1661" s="41" t="s">
        <v>78</v>
      </c>
      <c r="K1661" s="42">
        <v>2023</v>
      </c>
    </row>
    <row r="1662" spans="1:11" ht="15" customHeight="1" x14ac:dyDescent="0.3">
      <c r="A1662" s="31">
        <v>1657</v>
      </c>
      <c r="B1662" s="32" t="s">
        <v>3584</v>
      </c>
      <c r="C1662" s="32" t="s">
        <v>3609</v>
      </c>
      <c r="D1662" s="32" t="s">
        <v>36</v>
      </c>
      <c r="E1662" s="32" t="s">
        <v>3577</v>
      </c>
      <c r="F1662" s="32" t="s">
        <v>2906</v>
      </c>
      <c r="G1662" s="33">
        <v>135</v>
      </c>
      <c r="H1662" s="34">
        <v>1</v>
      </c>
      <c r="I1662" s="31">
        <v>145800</v>
      </c>
      <c r="J1662" s="35" t="s">
        <v>78</v>
      </c>
      <c r="K1662" s="36">
        <v>2023</v>
      </c>
    </row>
    <row r="1663" spans="1:11" ht="15" customHeight="1" x14ac:dyDescent="0.3">
      <c r="A1663" s="37">
        <v>1658</v>
      </c>
      <c r="B1663" s="38" t="s">
        <v>3584</v>
      </c>
      <c r="C1663" s="38" t="s">
        <v>3610</v>
      </c>
      <c r="D1663" s="38" t="s">
        <v>36</v>
      </c>
      <c r="E1663" s="38" t="s">
        <v>37</v>
      </c>
      <c r="F1663" s="38" t="s">
        <v>312</v>
      </c>
      <c r="G1663" s="39">
        <v>174</v>
      </c>
      <c r="H1663" s="40">
        <v>0.67200000000000004</v>
      </c>
      <c r="I1663" s="37">
        <v>145800</v>
      </c>
      <c r="J1663" s="41" t="s">
        <v>78</v>
      </c>
      <c r="K1663" s="42">
        <v>2023</v>
      </c>
    </row>
    <row r="1664" spans="1:11" ht="15" customHeight="1" x14ac:dyDescent="0.3">
      <c r="A1664" s="31">
        <v>1659</v>
      </c>
      <c r="B1664" s="32" t="s">
        <v>3584</v>
      </c>
      <c r="C1664" s="32" t="s">
        <v>3611</v>
      </c>
      <c r="D1664" s="32" t="s">
        <v>2876</v>
      </c>
      <c r="E1664" s="32" t="s">
        <v>987</v>
      </c>
      <c r="F1664" s="32" t="s">
        <v>312</v>
      </c>
      <c r="G1664" s="33">
        <v>1709</v>
      </c>
      <c r="H1664" s="34">
        <v>2.82</v>
      </c>
      <c r="I1664" s="31">
        <v>199800</v>
      </c>
      <c r="J1664" s="35" t="s">
        <v>78</v>
      </c>
      <c r="K1664" s="36">
        <v>2023</v>
      </c>
    </row>
    <row r="1665" spans="1:11" ht="15" customHeight="1" x14ac:dyDescent="0.3">
      <c r="A1665" s="37">
        <v>1660</v>
      </c>
      <c r="B1665" s="38" t="s">
        <v>2977</v>
      </c>
      <c r="C1665" s="38" t="s">
        <v>3612</v>
      </c>
      <c r="D1665" s="38" t="s">
        <v>3613</v>
      </c>
      <c r="E1665" s="38" t="s">
        <v>3614</v>
      </c>
      <c r="F1665" s="38" t="s">
        <v>312</v>
      </c>
      <c r="G1665" s="39">
        <v>550</v>
      </c>
      <c r="H1665" s="40">
        <v>2.3740000000000001</v>
      </c>
      <c r="I1665" s="37">
        <v>171800</v>
      </c>
      <c r="J1665" s="41" t="s">
        <v>78</v>
      </c>
      <c r="K1665" s="42">
        <v>2023</v>
      </c>
    </row>
    <row r="1666" spans="1:11" ht="15" customHeight="1" x14ac:dyDescent="0.3">
      <c r="A1666" s="31">
        <v>1661</v>
      </c>
      <c r="B1666" s="32" t="s">
        <v>2977</v>
      </c>
      <c r="C1666" s="32" t="s">
        <v>3615</v>
      </c>
      <c r="D1666" s="32" t="s">
        <v>3616</v>
      </c>
      <c r="E1666" s="32" t="s">
        <v>37</v>
      </c>
      <c r="F1666" s="32" t="s">
        <v>849</v>
      </c>
      <c r="G1666" s="33">
        <v>440</v>
      </c>
      <c r="H1666" s="34">
        <v>0.85499999999999998</v>
      </c>
      <c r="I1666" s="31">
        <v>145800</v>
      </c>
      <c r="J1666" s="35" t="s">
        <v>78</v>
      </c>
      <c r="K1666" s="36">
        <v>2023</v>
      </c>
    </row>
    <row r="1667" spans="1:11" ht="15" customHeight="1" x14ac:dyDescent="0.3">
      <c r="A1667" s="37">
        <v>1662</v>
      </c>
      <c r="B1667" s="38" t="s">
        <v>2977</v>
      </c>
      <c r="C1667" s="38" t="s">
        <v>3617</v>
      </c>
      <c r="D1667" s="38" t="s">
        <v>3618</v>
      </c>
      <c r="E1667" s="38" t="s">
        <v>35</v>
      </c>
      <c r="F1667" s="38" t="s">
        <v>287</v>
      </c>
      <c r="G1667" s="39">
        <v>6586</v>
      </c>
      <c r="H1667" s="40">
        <v>3.073</v>
      </c>
      <c r="I1667" s="37">
        <v>311800</v>
      </c>
      <c r="J1667" s="41" t="s">
        <v>78</v>
      </c>
      <c r="K1667" s="42">
        <v>2023</v>
      </c>
    </row>
    <row r="1668" spans="1:11" ht="15" customHeight="1" x14ac:dyDescent="0.3">
      <c r="A1668" s="31">
        <v>1663</v>
      </c>
      <c r="B1668" s="32" t="s">
        <v>2977</v>
      </c>
      <c r="C1668" s="32" t="s">
        <v>3619</v>
      </c>
      <c r="D1668" s="32" t="s">
        <v>3620</v>
      </c>
      <c r="E1668" s="32" t="s">
        <v>3621</v>
      </c>
      <c r="F1668" s="32" t="s">
        <v>435</v>
      </c>
      <c r="G1668" s="33">
        <v>1997.65</v>
      </c>
      <c r="H1668" s="34">
        <v>7.0659999999999998</v>
      </c>
      <c r="I1668" s="31">
        <v>311800</v>
      </c>
      <c r="J1668" s="35" t="s">
        <v>78</v>
      </c>
      <c r="K1668" s="36">
        <v>2023</v>
      </c>
    </row>
    <row r="1669" spans="1:11" ht="15" customHeight="1" x14ac:dyDescent="0.3">
      <c r="A1669" s="37">
        <v>1664</v>
      </c>
      <c r="B1669" s="38" t="s">
        <v>2977</v>
      </c>
      <c r="C1669" s="38" t="s">
        <v>3622</v>
      </c>
      <c r="D1669" s="38" t="s">
        <v>3623</v>
      </c>
      <c r="E1669" s="38" t="s">
        <v>3624</v>
      </c>
      <c r="F1669" s="38" t="s">
        <v>2906</v>
      </c>
      <c r="G1669" s="39">
        <v>1606</v>
      </c>
      <c r="H1669" s="40">
        <v>1.71</v>
      </c>
      <c r="I1669" s="37">
        <v>169000</v>
      </c>
      <c r="J1669" s="41" t="s">
        <v>78</v>
      </c>
      <c r="K1669" s="42">
        <v>2023</v>
      </c>
    </row>
    <row r="1670" spans="1:11" ht="15" customHeight="1" x14ac:dyDescent="0.3">
      <c r="A1670" s="31">
        <v>1665</v>
      </c>
      <c r="B1670" s="32" t="s">
        <v>2977</v>
      </c>
      <c r="C1670" s="32" t="s">
        <v>3625</v>
      </c>
      <c r="D1670" s="32" t="s">
        <v>48</v>
      </c>
      <c r="E1670" s="32" t="s">
        <v>35</v>
      </c>
      <c r="F1670" s="32" t="s">
        <v>435</v>
      </c>
      <c r="G1670" s="33">
        <v>840</v>
      </c>
      <c r="H1670" s="34">
        <v>3.883</v>
      </c>
      <c r="I1670" s="31">
        <v>227800</v>
      </c>
      <c r="J1670" s="35" t="s">
        <v>78</v>
      </c>
      <c r="K1670" s="36">
        <v>2023</v>
      </c>
    </row>
    <row r="1671" spans="1:11" ht="15" customHeight="1" x14ac:dyDescent="0.3">
      <c r="A1671" s="37">
        <v>1666</v>
      </c>
      <c r="B1671" s="38" t="s">
        <v>2977</v>
      </c>
      <c r="C1671" s="38" t="s">
        <v>3626</v>
      </c>
      <c r="D1671" s="38" t="s">
        <v>3244</v>
      </c>
      <c r="E1671" s="38" t="s">
        <v>37</v>
      </c>
      <c r="F1671" s="38" t="s">
        <v>306</v>
      </c>
      <c r="G1671" s="39">
        <v>245</v>
      </c>
      <c r="H1671" s="40">
        <v>1.581</v>
      </c>
      <c r="I1671" s="37">
        <v>171800</v>
      </c>
      <c r="J1671" s="41" t="s">
        <v>78</v>
      </c>
      <c r="K1671" s="42">
        <v>2023</v>
      </c>
    </row>
    <row r="1672" spans="1:11" ht="15" customHeight="1" x14ac:dyDescent="0.3">
      <c r="A1672" s="31">
        <v>1667</v>
      </c>
      <c r="B1672" s="32" t="s">
        <v>2977</v>
      </c>
      <c r="C1672" s="32" t="s">
        <v>3627</v>
      </c>
      <c r="D1672" s="32" t="s">
        <v>36</v>
      </c>
      <c r="E1672" s="32" t="s">
        <v>37</v>
      </c>
      <c r="F1672" s="32" t="s">
        <v>312</v>
      </c>
      <c r="G1672" s="33">
        <v>44</v>
      </c>
      <c r="H1672" s="34">
        <v>0.38400000000000001</v>
      </c>
      <c r="I1672" s="31">
        <v>145800</v>
      </c>
      <c r="J1672" s="35" t="s">
        <v>78</v>
      </c>
      <c r="K1672" s="36">
        <v>2023</v>
      </c>
    </row>
    <row r="1673" spans="1:11" ht="15" customHeight="1" x14ac:dyDescent="0.3">
      <c r="A1673" s="37">
        <v>1668</v>
      </c>
      <c r="B1673" s="38" t="s">
        <v>3133</v>
      </c>
      <c r="C1673" s="38" t="s">
        <v>3628</v>
      </c>
      <c r="D1673" s="38" t="s">
        <v>3629</v>
      </c>
      <c r="E1673" s="38" t="s">
        <v>2260</v>
      </c>
      <c r="F1673" s="38" t="s">
        <v>2906</v>
      </c>
      <c r="G1673" s="39">
        <v>266</v>
      </c>
      <c r="H1673" s="40">
        <v>1.3779999999999999</v>
      </c>
      <c r="I1673" s="37">
        <v>145800</v>
      </c>
      <c r="J1673" s="41" t="s">
        <v>78</v>
      </c>
      <c r="K1673" s="42">
        <v>2023</v>
      </c>
    </row>
    <row r="1674" spans="1:11" ht="15" customHeight="1" x14ac:dyDescent="0.3">
      <c r="A1674" s="31">
        <v>1669</v>
      </c>
      <c r="B1674" s="32" t="s">
        <v>3133</v>
      </c>
      <c r="C1674" s="32" t="s">
        <v>3630</v>
      </c>
      <c r="D1674" s="32" t="s">
        <v>52</v>
      </c>
      <c r="E1674" s="32" t="s">
        <v>37</v>
      </c>
      <c r="F1674" s="32" t="s">
        <v>287</v>
      </c>
      <c r="G1674" s="33">
        <v>420</v>
      </c>
      <c r="H1674" s="34">
        <v>4.2770000000000001</v>
      </c>
      <c r="I1674" s="31">
        <v>227800</v>
      </c>
      <c r="J1674" s="35" t="s">
        <v>78</v>
      </c>
      <c r="K1674" s="36">
        <v>2023</v>
      </c>
    </row>
    <row r="1675" spans="1:11" ht="15" customHeight="1" x14ac:dyDescent="0.3">
      <c r="A1675" s="37">
        <v>1670</v>
      </c>
      <c r="B1675" s="38" t="s">
        <v>3133</v>
      </c>
      <c r="C1675" s="38" t="s">
        <v>3631</v>
      </c>
      <c r="D1675" s="38" t="s">
        <v>52</v>
      </c>
      <c r="E1675" s="38" t="s">
        <v>37</v>
      </c>
      <c r="F1675" s="38" t="s">
        <v>312</v>
      </c>
      <c r="G1675" s="39">
        <v>100</v>
      </c>
      <c r="H1675" s="40">
        <v>0.254</v>
      </c>
      <c r="I1675" s="37">
        <v>145800</v>
      </c>
      <c r="J1675" s="41" t="s">
        <v>78</v>
      </c>
      <c r="K1675" s="42">
        <v>2023</v>
      </c>
    </row>
    <row r="1676" spans="1:11" ht="15" customHeight="1" x14ac:dyDescent="0.3">
      <c r="A1676" s="31">
        <v>1671</v>
      </c>
      <c r="B1676" s="32" t="s">
        <v>3133</v>
      </c>
      <c r="C1676" s="32" t="s">
        <v>3632</v>
      </c>
      <c r="D1676" s="32" t="s">
        <v>3633</v>
      </c>
      <c r="E1676" s="32" t="s">
        <v>55</v>
      </c>
      <c r="F1676" s="32" t="s">
        <v>2906</v>
      </c>
      <c r="G1676" s="33">
        <v>380</v>
      </c>
      <c r="H1676" s="34">
        <v>2.13</v>
      </c>
      <c r="I1676" s="31">
        <v>169000</v>
      </c>
      <c r="J1676" s="35" t="s">
        <v>78</v>
      </c>
      <c r="K1676" s="36">
        <v>2023</v>
      </c>
    </row>
    <row r="1677" spans="1:11" ht="15" customHeight="1" x14ac:dyDescent="0.3">
      <c r="A1677" s="37">
        <v>1672</v>
      </c>
      <c r="B1677" s="38" t="s">
        <v>3133</v>
      </c>
      <c r="C1677" s="38" t="s">
        <v>3634</v>
      </c>
      <c r="D1677" s="38" t="s">
        <v>3635</v>
      </c>
      <c r="E1677" s="38" t="s">
        <v>3040</v>
      </c>
      <c r="F1677" s="38" t="s">
        <v>402</v>
      </c>
      <c r="G1677" s="39">
        <v>4650</v>
      </c>
      <c r="H1677" s="40">
        <v>6.6</v>
      </c>
      <c r="I1677" s="37">
        <v>309000</v>
      </c>
      <c r="J1677" s="41" t="s">
        <v>78</v>
      </c>
      <c r="K1677" s="42">
        <v>2023</v>
      </c>
    </row>
    <row r="1678" spans="1:11" ht="15" customHeight="1" x14ac:dyDescent="0.3">
      <c r="A1678" s="31">
        <v>1673</v>
      </c>
      <c r="B1678" s="32" t="s">
        <v>3133</v>
      </c>
      <c r="C1678" s="32" t="s">
        <v>3636</v>
      </c>
      <c r="D1678" s="32" t="s">
        <v>3637</v>
      </c>
      <c r="E1678" s="32" t="s">
        <v>3638</v>
      </c>
      <c r="F1678" s="32" t="s">
        <v>3639</v>
      </c>
      <c r="G1678" s="33">
        <v>30</v>
      </c>
      <c r="H1678" s="34">
        <v>0.314</v>
      </c>
      <c r="I1678" s="31">
        <v>145800</v>
      </c>
      <c r="J1678" s="35" t="s">
        <v>78</v>
      </c>
      <c r="K1678" s="36">
        <v>2023</v>
      </c>
    </row>
    <row r="1679" spans="1:11" ht="15" customHeight="1" x14ac:dyDescent="0.3">
      <c r="A1679" s="37">
        <v>1674</v>
      </c>
      <c r="B1679" s="38" t="s">
        <v>3133</v>
      </c>
      <c r="C1679" s="38" t="s">
        <v>3640</v>
      </c>
      <c r="D1679" s="38" t="s">
        <v>3641</v>
      </c>
      <c r="E1679" s="38" t="s">
        <v>35</v>
      </c>
      <c r="F1679" s="38" t="s">
        <v>658</v>
      </c>
      <c r="G1679" s="39">
        <v>205.67</v>
      </c>
      <c r="H1679" s="40">
        <v>0.96499999999999997</v>
      </c>
      <c r="I1679" s="37">
        <v>145800</v>
      </c>
      <c r="J1679" s="41" t="s">
        <v>78</v>
      </c>
      <c r="K1679" s="42">
        <v>2023</v>
      </c>
    </row>
    <row r="1680" spans="1:11" ht="15" customHeight="1" x14ac:dyDescent="0.3">
      <c r="A1680" s="31">
        <v>1675</v>
      </c>
      <c r="B1680" s="32" t="s">
        <v>3133</v>
      </c>
      <c r="C1680" s="32" t="s">
        <v>3642</v>
      </c>
      <c r="D1680" s="32" t="s">
        <v>3643</v>
      </c>
      <c r="E1680" s="32" t="s">
        <v>3644</v>
      </c>
      <c r="F1680" s="32" t="s">
        <v>2906</v>
      </c>
      <c r="G1680" s="33">
        <v>190</v>
      </c>
      <c r="H1680" s="34">
        <v>0.57599999999999996</v>
      </c>
      <c r="I1680" s="31">
        <v>145800</v>
      </c>
      <c r="J1680" s="35" t="s">
        <v>78</v>
      </c>
      <c r="K1680" s="36">
        <v>2023</v>
      </c>
    </row>
    <row r="1681" spans="1:11" ht="15" customHeight="1" x14ac:dyDescent="0.3">
      <c r="A1681" s="37">
        <v>1676</v>
      </c>
      <c r="B1681" s="38" t="s">
        <v>3133</v>
      </c>
      <c r="C1681" s="38" t="s">
        <v>3645</v>
      </c>
      <c r="D1681" s="38" t="s">
        <v>3646</v>
      </c>
      <c r="E1681" s="38" t="s">
        <v>3647</v>
      </c>
      <c r="F1681" s="38" t="s">
        <v>2040</v>
      </c>
      <c r="G1681" s="39">
        <v>774</v>
      </c>
      <c r="H1681" s="40">
        <v>4.9119999999999999</v>
      </c>
      <c r="I1681" s="37">
        <v>255800</v>
      </c>
      <c r="J1681" s="41" t="s">
        <v>78</v>
      </c>
      <c r="K1681" s="42">
        <v>2023</v>
      </c>
    </row>
    <row r="1682" spans="1:11" ht="15" customHeight="1" x14ac:dyDescent="0.3">
      <c r="A1682" s="31">
        <v>1677</v>
      </c>
      <c r="B1682" s="32" t="s">
        <v>3133</v>
      </c>
      <c r="C1682" s="32" t="s">
        <v>3648</v>
      </c>
      <c r="D1682" s="32" t="s">
        <v>3649</v>
      </c>
      <c r="E1682" s="32" t="s">
        <v>3650</v>
      </c>
      <c r="F1682" s="32" t="s">
        <v>287</v>
      </c>
      <c r="G1682" s="33">
        <v>1044</v>
      </c>
      <c r="H1682" s="34">
        <v>3.2650000000000001</v>
      </c>
      <c r="I1682" s="31">
        <v>199800</v>
      </c>
      <c r="J1682" s="35" t="s">
        <v>78</v>
      </c>
      <c r="K1682" s="36">
        <v>2023</v>
      </c>
    </row>
    <row r="1683" spans="1:11" ht="15" customHeight="1" x14ac:dyDescent="0.3">
      <c r="A1683" s="37">
        <v>1678</v>
      </c>
      <c r="B1683" s="38" t="s">
        <v>3133</v>
      </c>
      <c r="C1683" s="38" t="s">
        <v>3651</v>
      </c>
      <c r="D1683" s="38" t="s">
        <v>3652</v>
      </c>
      <c r="E1683" s="38" t="s">
        <v>35</v>
      </c>
      <c r="F1683" s="38" t="s">
        <v>2906</v>
      </c>
      <c r="G1683" s="39">
        <v>98</v>
      </c>
      <c r="H1683" s="40">
        <v>0.67</v>
      </c>
      <c r="I1683" s="37">
        <v>145800</v>
      </c>
      <c r="J1683" s="41" t="s">
        <v>78</v>
      </c>
      <c r="K1683" s="42">
        <v>2023</v>
      </c>
    </row>
    <row r="1684" spans="1:11" ht="15" customHeight="1" x14ac:dyDescent="0.3">
      <c r="A1684" s="31">
        <v>1679</v>
      </c>
      <c r="B1684" s="32" t="s">
        <v>3133</v>
      </c>
      <c r="C1684" s="32" t="s">
        <v>3653</v>
      </c>
      <c r="D1684" s="32" t="s">
        <v>3654</v>
      </c>
      <c r="E1684" s="32" t="s">
        <v>3655</v>
      </c>
      <c r="F1684" s="32" t="s">
        <v>312</v>
      </c>
      <c r="G1684" s="33">
        <v>156</v>
      </c>
      <c r="H1684" s="34">
        <v>0.15</v>
      </c>
      <c r="I1684" s="31">
        <v>143000</v>
      </c>
      <c r="J1684" s="35" t="s">
        <v>78</v>
      </c>
      <c r="K1684" s="36">
        <v>2023</v>
      </c>
    </row>
    <row r="1685" spans="1:11" ht="15" customHeight="1" x14ac:dyDescent="0.3">
      <c r="A1685" s="37">
        <v>1680</v>
      </c>
      <c r="B1685" s="38" t="s">
        <v>3656</v>
      </c>
      <c r="C1685" s="38" t="s">
        <v>3657</v>
      </c>
      <c r="D1685" s="38" t="s">
        <v>3658</v>
      </c>
      <c r="E1685" s="38" t="s">
        <v>55</v>
      </c>
      <c r="F1685" s="38" t="s">
        <v>689</v>
      </c>
      <c r="G1685" s="39">
        <v>1.012</v>
      </c>
      <c r="H1685" s="40">
        <v>17.059999999999999</v>
      </c>
      <c r="I1685" s="37">
        <v>383000</v>
      </c>
      <c r="J1685" s="41" t="s">
        <v>78</v>
      </c>
      <c r="K1685" s="42">
        <v>2023</v>
      </c>
    </row>
    <row r="1686" spans="1:11" ht="15" customHeight="1" x14ac:dyDescent="0.3">
      <c r="A1686" s="31">
        <v>1681</v>
      </c>
      <c r="B1686" s="32" t="s">
        <v>3656</v>
      </c>
      <c r="C1686" s="32" t="s">
        <v>3659</v>
      </c>
      <c r="D1686" s="32" t="s">
        <v>3660</v>
      </c>
      <c r="E1686" s="32" t="s">
        <v>3272</v>
      </c>
      <c r="F1686" s="32" t="s">
        <v>386</v>
      </c>
      <c r="G1686" s="33">
        <v>2.34</v>
      </c>
      <c r="H1686" s="34">
        <v>5.6429999999999998</v>
      </c>
      <c r="I1686" s="31">
        <v>283800</v>
      </c>
      <c r="J1686" s="35" t="s">
        <v>78</v>
      </c>
      <c r="K1686" s="36">
        <v>2023</v>
      </c>
    </row>
    <row r="1687" spans="1:11" ht="15" customHeight="1" x14ac:dyDescent="0.3">
      <c r="A1687" s="37">
        <v>1682</v>
      </c>
      <c r="B1687" s="38" t="s">
        <v>3656</v>
      </c>
      <c r="C1687" s="38" t="s">
        <v>3661</v>
      </c>
      <c r="D1687" s="38" t="s">
        <v>36</v>
      </c>
      <c r="E1687" s="38" t="s">
        <v>41</v>
      </c>
      <c r="F1687" s="38" t="s">
        <v>312</v>
      </c>
      <c r="G1687" s="39">
        <v>477</v>
      </c>
      <c r="H1687" s="40">
        <v>1.35</v>
      </c>
      <c r="I1687" s="37">
        <v>145800</v>
      </c>
      <c r="J1687" s="41" t="s">
        <v>78</v>
      </c>
      <c r="K1687" s="42">
        <v>2023</v>
      </c>
    </row>
    <row r="1688" spans="1:11" ht="15" customHeight="1" x14ac:dyDescent="0.3">
      <c r="A1688" s="31">
        <v>1683</v>
      </c>
      <c r="B1688" s="32" t="s">
        <v>3656</v>
      </c>
      <c r="C1688" s="32" t="s">
        <v>3662</v>
      </c>
      <c r="D1688" s="32" t="s">
        <v>3663</v>
      </c>
      <c r="E1688" s="32" t="s">
        <v>3664</v>
      </c>
      <c r="F1688" s="32" t="s">
        <v>306</v>
      </c>
      <c r="G1688" s="33">
        <v>920</v>
      </c>
      <c r="H1688" s="34">
        <v>3.4</v>
      </c>
      <c r="I1688" s="31">
        <v>227800</v>
      </c>
      <c r="J1688" s="35" t="s">
        <v>78</v>
      </c>
      <c r="K1688" s="36">
        <v>2023</v>
      </c>
    </row>
    <row r="1689" spans="1:11" ht="15" customHeight="1" x14ac:dyDescent="0.3">
      <c r="A1689" s="37">
        <v>1684</v>
      </c>
      <c r="B1689" s="38" t="s">
        <v>3133</v>
      </c>
      <c r="C1689" s="38" t="s">
        <v>3665</v>
      </c>
      <c r="D1689" s="38" t="s">
        <v>3666</v>
      </c>
      <c r="E1689" s="38" t="s">
        <v>35</v>
      </c>
      <c r="F1689" s="38" t="s">
        <v>435</v>
      </c>
      <c r="G1689" s="39">
        <v>2640</v>
      </c>
      <c r="H1689" s="40">
        <v>4.7699999999999996</v>
      </c>
      <c r="I1689" s="37">
        <v>255800</v>
      </c>
      <c r="J1689" s="41" t="s">
        <v>78</v>
      </c>
      <c r="K1689" s="42">
        <v>2023</v>
      </c>
    </row>
    <row r="1690" spans="1:11" ht="15" customHeight="1" x14ac:dyDescent="0.3">
      <c r="A1690" s="31">
        <v>1685</v>
      </c>
      <c r="B1690" s="32" t="s">
        <v>3133</v>
      </c>
      <c r="C1690" s="32" t="s">
        <v>3667</v>
      </c>
      <c r="D1690" s="32" t="s">
        <v>3668</v>
      </c>
      <c r="E1690" s="32" t="s">
        <v>3669</v>
      </c>
      <c r="F1690" s="32" t="s">
        <v>2906</v>
      </c>
      <c r="G1690" s="33">
        <v>471</v>
      </c>
      <c r="H1690" s="34">
        <v>2.4700000000000002</v>
      </c>
      <c r="I1690" s="31">
        <v>199800</v>
      </c>
      <c r="J1690" s="35" t="s">
        <v>78</v>
      </c>
      <c r="K1690" s="36">
        <v>2023</v>
      </c>
    </row>
    <row r="1691" spans="1:11" ht="15" customHeight="1" x14ac:dyDescent="0.3">
      <c r="A1691" s="37">
        <v>1686</v>
      </c>
      <c r="B1691" s="38" t="s">
        <v>3133</v>
      </c>
      <c r="C1691" s="38" t="s">
        <v>3670</v>
      </c>
      <c r="D1691" s="38" t="s">
        <v>62</v>
      </c>
      <c r="E1691" s="38" t="s">
        <v>3671</v>
      </c>
      <c r="F1691" s="38" t="s">
        <v>2906</v>
      </c>
      <c r="G1691" s="39">
        <v>850</v>
      </c>
      <c r="H1691" s="40">
        <v>1.68</v>
      </c>
      <c r="I1691" s="37">
        <v>199800</v>
      </c>
      <c r="J1691" s="41" t="s">
        <v>78</v>
      </c>
      <c r="K1691" s="42">
        <v>2023</v>
      </c>
    </row>
    <row r="1692" spans="1:11" ht="15" customHeight="1" x14ac:dyDescent="0.3">
      <c r="A1692" s="31">
        <v>1687</v>
      </c>
      <c r="B1692" s="32" t="s">
        <v>3133</v>
      </c>
      <c r="C1692" s="32" t="s">
        <v>3670</v>
      </c>
      <c r="D1692" s="32" t="s">
        <v>62</v>
      </c>
      <c r="E1692" s="32" t="s">
        <v>3671</v>
      </c>
      <c r="F1692" s="32" t="s">
        <v>316</v>
      </c>
      <c r="G1692" s="33">
        <v>1270</v>
      </c>
      <c r="H1692" s="34">
        <v>2.2400000000000002</v>
      </c>
      <c r="I1692" s="31">
        <v>189000</v>
      </c>
      <c r="J1692" s="35" t="s">
        <v>78</v>
      </c>
      <c r="K1692" s="36">
        <v>2023</v>
      </c>
    </row>
    <row r="1693" spans="1:11" ht="15" customHeight="1" x14ac:dyDescent="0.3">
      <c r="A1693" s="37">
        <v>1688</v>
      </c>
      <c r="B1693" s="38" t="s">
        <v>3133</v>
      </c>
      <c r="C1693" s="38" t="s">
        <v>3672</v>
      </c>
      <c r="D1693" s="38" t="s">
        <v>209</v>
      </c>
      <c r="E1693" s="38" t="s">
        <v>857</v>
      </c>
      <c r="F1693" s="38" t="s">
        <v>689</v>
      </c>
      <c r="G1693" s="39">
        <v>1376</v>
      </c>
      <c r="H1693" s="40">
        <v>3.69</v>
      </c>
      <c r="I1693" s="37">
        <v>227800</v>
      </c>
      <c r="J1693" s="41" t="s">
        <v>78</v>
      </c>
      <c r="K1693" s="42">
        <v>2023</v>
      </c>
    </row>
    <row r="1694" spans="1:11" ht="15" customHeight="1" x14ac:dyDescent="0.3">
      <c r="A1694" s="31">
        <v>1689</v>
      </c>
      <c r="B1694" s="32" t="s">
        <v>3367</v>
      </c>
      <c r="C1694" s="32" t="s">
        <v>3673</v>
      </c>
      <c r="D1694" s="32" t="s">
        <v>3674</v>
      </c>
      <c r="E1694" s="32" t="s">
        <v>3675</v>
      </c>
      <c r="F1694" s="32" t="s">
        <v>316</v>
      </c>
      <c r="G1694" s="33">
        <v>752.5</v>
      </c>
      <c r="H1694" s="34">
        <v>2.1309999999999998</v>
      </c>
      <c r="I1694" s="31">
        <v>171800</v>
      </c>
      <c r="J1694" s="35" t="s">
        <v>126</v>
      </c>
      <c r="K1694" s="36">
        <v>2023</v>
      </c>
    </row>
    <row r="1695" spans="1:11" ht="15" customHeight="1" x14ac:dyDescent="0.3">
      <c r="A1695" s="37">
        <v>1690</v>
      </c>
      <c r="B1695" s="38" t="s">
        <v>3367</v>
      </c>
      <c r="C1695" s="38" t="s">
        <v>3676</v>
      </c>
      <c r="D1695" s="38" t="s">
        <v>3677</v>
      </c>
      <c r="E1695" s="38" t="s">
        <v>964</v>
      </c>
      <c r="F1695" s="38" t="s">
        <v>287</v>
      </c>
      <c r="G1695" s="39">
        <v>399</v>
      </c>
      <c r="H1695" s="40">
        <v>2.3519999999999999</v>
      </c>
      <c r="I1695" s="37">
        <v>171800</v>
      </c>
      <c r="J1695" s="41" t="s">
        <v>126</v>
      </c>
      <c r="K1695" s="42">
        <v>2023</v>
      </c>
    </row>
    <row r="1696" spans="1:11" ht="15" customHeight="1" x14ac:dyDescent="0.3">
      <c r="A1696" s="31">
        <v>1691</v>
      </c>
      <c r="B1696" s="32" t="s">
        <v>3367</v>
      </c>
      <c r="C1696" s="32" t="s">
        <v>3678</v>
      </c>
      <c r="D1696" s="32" t="s">
        <v>3002</v>
      </c>
      <c r="E1696" s="32" t="s">
        <v>2851</v>
      </c>
      <c r="F1696" s="32" t="s">
        <v>312</v>
      </c>
      <c r="G1696" s="33">
        <v>550</v>
      </c>
      <c r="H1696" s="34">
        <v>3.8809999999999998</v>
      </c>
      <c r="I1696" s="31">
        <v>217000</v>
      </c>
      <c r="J1696" s="35" t="s">
        <v>126</v>
      </c>
      <c r="K1696" s="36">
        <v>2023</v>
      </c>
    </row>
    <row r="1697" spans="1:11" ht="15" customHeight="1" x14ac:dyDescent="0.3">
      <c r="A1697" s="37">
        <v>1692</v>
      </c>
      <c r="B1697" s="38" t="s">
        <v>3367</v>
      </c>
      <c r="C1697" s="38" t="s">
        <v>3679</v>
      </c>
      <c r="D1697" s="38" t="s">
        <v>3680</v>
      </c>
      <c r="E1697" s="38" t="s">
        <v>96</v>
      </c>
      <c r="F1697" s="38" t="s">
        <v>312</v>
      </c>
      <c r="G1697" s="39">
        <v>206</v>
      </c>
      <c r="H1697" s="40">
        <v>0.40300000000000002</v>
      </c>
      <c r="I1697" s="37">
        <v>145800</v>
      </c>
      <c r="J1697" s="41" t="s">
        <v>126</v>
      </c>
      <c r="K1697" s="42">
        <v>2023</v>
      </c>
    </row>
    <row r="1698" spans="1:11" ht="15" customHeight="1" x14ac:dyDescent="0.3">
      <c r="A1698" s="31">
        <v>1693</v>
      </c>
      <c r="B1698" s="32" t="s">
        <v>3367</v>
      </c>
      <c r="C1698" s="32" t="s">
        <v>3681</v>
      </c>
      <c r="D1698" s="32" t="s">
        <v>3682</v>
      </c>
      <c r="E1698" s="32" t="s">
        <v>3683</v>
      </c>
      <c r="F1698" s="32" t="s">
        <v>2906</v>
      </c>
      <c r="G1698" s="33">
        <v>1084</v>
      </c>
      <c r="H1698" s="34">
        <v>2.0880000000000001</v>
      </c>
      <c r="I1698" s="31">
        <v>171800</v>
      </c>
      <c r="J1698" s="35" t="s">
        <v>126</v>
      </c>
      <c r="K1698" s="36">
        <v>2023</v>
      </c>
    </row>
    <row r="1699" spans="1:11" ht="15" customHeight="1" x14ac:dyDescent="0.3">
      <c r="A1699" s="37">
        <v>1694</v>
      </c>
      <c r="B1699" s="38" t="s">
        <v>3367</v>
      </c>
      <c r="C1699" s="38" t="s">
        <v>3684</v>
      </c>
      <c r="D1699" s="38" t="s">
        <v>1108</v>
      </c>
      <c r="E1699" s="38" t="s">
        <v>3685</v>
      </c>
      <c r="F1699" s="38" t="s">
        <v>2906</v>
      </c>
      <c r="G1699" s="39">
        <v>85</v>
      </c>
      <c r="H1699" s="40">
        <v>0.54700000000000004</v>
      </c>
      <c r="I1699" s="37">
        <v>145800</v>
      </c>
      <c r="J1699" s="41" t="s">
        <v>126</v>
      </c>
      <c r="K1699" s="42">
        <v>2023</v>
      </c>
    </row>
    <row r="1700" spans="1:11" ht="15" customHeight="1" x14ac:dyDescent="0.3">
      <c r="A1700" s="31">
        <v>1695</v>
      </c>
      <c r="B1700" s="32" t="s">
        <v>3367</v>
      </c>
      <c r="C1700" s="32" t="s">
        <v>3686</v>
      </c>
      <c r="D1700" s="32" t="s">
        <v>3687</v>
      </c>
      <c r="E1700" s="32" t="s">
        <v>2614</v>
      </c>
      <c r="F1700" s="32" t="s">
        <v>658</v>
      </c>
      <c r="G1700" s="33">
        <v>4560</v>
      </c>
      <c r="H1700" s="34">
        <v>5.6159999999999997</v>
      </c>
      <c r="I1700" s="31">
        <v>283800</v>
      </c>
      <c r="J1700" s="35" t="s">
        <v>126</v>
      </c>
      <c r="K1700" s="36">
        <v>2023</v>
      </c>
    </row>
    <row r="1701" spans="1:11" ht="15" customHeight="1" x14ac:dyDescent="0.3">
      <c r="A1701" s="37">
        <v>1696</v>
      </c>
      <c r="B1701" s="38" t="s">
        <v>3367</v>
      </c>
      <c r="C1701" s="38" t="s">
        <v>3688</v>
      </c>
      <c r="D1701" s="38" t="s">
        <v>3689</v>
      </c>
      <c r="E1701" s="38" t="s">
        <v>3690</v>
      </c>
      <c r="F1701" s="38" t="s">
        <v>402</v>
      </c>
      <c r="G1701" s="39">
        <v>1655</v>
      </c>
      <c r="H1701" s="40">
        <v>2.7360000000000002</v>
      </c>
      <c r="I1701" s="37">
        <v>199800</v>
      </c>
      <c r="J1701" s="41" t="s">
        <v>126</v>
      </c>
      <c r="K1701" s="42">
        <v>2023</v>
      </c>
    </row>
    <row r="1702" spans="1:11" ht="15" customHeight="1" x14ac:dyDescent="0.3">
      <c r="A1702" s="31">
        <v>1697</v>
      </c>
      <c r="B1702" s="32" t="s">
        <v>3367</v>
      </c>
      <c r="C1702" s="32" t="s">
        <v>3691</v>
      </c>
      <c r="D1702" s="32" t="s">
        <v>36</v>
      </c>
      <c r="E1702" s="32" t="s">
        <v>41</v>
      </c>
      <c r="F1702" s="32" t="s">
        <v>312</v>
      </c>
      <c r="G1702" s="33">
        <v>900</v>
      </c>
      <c r="H1702" s="34">
        <v>5.7309999999999999</v>
      </c>
      <c r="I1702" s="31">
        <v>283800</v>
      </c>
      <c r="J1702" s="35" t="s">
        <v>126</v>
      </c>
      <c r="K1702" s="36">
        <v>2023</v>
      </c>
    </row>
    <row r="1703" spans="1:11" ht="15" customHeight="1" x14ac:dyDescent="0.3">
      <c r="A1703" s="37">
        <v>1698</v>
      </c>
      <c r="B1703" s="38" t="s">
        <v>3367</v>
      </c>
      <c r="C1703" s="38" t="s">
        <v>3692</v>
      </c>
      <c r="D1703" s="38" t="s">
        <v>864</v>
      </c>
      <c r="E1703" s="38" t="s">
        <v>35</v>
      </c>
      <c r="F1703" s="38" t="s">
        <v>2906</v>
      </c>
      <c r="G1703" s="39">
        <v>457</v>
      </c>
      <c r="H1703" s="40">
        <v>1.48</v>
      </c>
      <c r="I1703" s="37">
        <v>145800</v>
      </c>
      <c r="J1703" s="41" t="s">
        <v>126</v>
      </c>
      <c r="K1703" s="42">
        <v>2023</v>
      </c>
    </row>
    <row r="1704" spans="1:11" ht="15" customHeight="1" x14ac:dyDescent="0.3">
      <c r="A1704" s="31">
        <v>1699</v>
      </c>
      <c r="B1704" s="32" t="s">
        <v>3367</v>
      </c>
      <c r="C1704" s="32" t="s">
        <v>3693</v>
      </c>
      <c r="D1704" s="32" t="s">
        <v>3694</v>
      </c>
      <c r="E1704" s="32" t="s">
        <v>194</v>
      </c>
      <c r="F1704" s="32" t="s">
        <v>316</v>
      </c>
      <c r="G1704" s="33">
        <v>345</v>
      </c>
      <c r="H1704" s="34">
        <v>1.978</v>
      </c>
      <c r="I1704" s="31">
        <v>171800</v>
      </c>
      <c r="J1704" s="35" t="s">
        <v>126</v>
      </c>
      <c r="K1704" s="36">
        <v>2023</v>
      </c>
    </row>
    <row r="1705" spans="1:11" ht="15" customHeight="1" x14ac:dyDescent="0.3">
      <c r="A1705" s="37">
        <v>1700</v>
      </c>
      <c r="B1705" s="38" t="s">
        <v>3367</v>
      </c>
      <c r="C1705" s="38" t="s">
        <v>3695</v>
      </c>
      <c r="D1705" s="38" t="s">
        <v>3696</v>
      </c>
      <c r="E1705" s="38" t="s">
        <v>3697</v>
      </c>
      <c r="F1705" s="38" t="s">
        <v>689</v>
      </c>
      <c r="G1705" s="39">
        <v>1638</v>
      </c>
      <c r="H1705" s="40">
        <v>7.5919999999999996</v>
      </c>
      <c r="I1705" s="37">
        <v>331800</v>
      </c>
      <c r="J1705" s="41" t="s">
        <v>126</v>
      </c>
      <c r="K1705" s="42">
        <v>2023</v>
      </c>
    </row>
    <row r="1706" spans="1:11" ht="15" customHeight="1" x14ac:dyDescent="0.3">
      <c r="A1706" s="31">
        <v>1701</v>
      </c>
      <c r="B1706" s="32" t="s">
        <v>3367</v>
      </c>
      <c r="C1706" s="32" t="s">
        <v>3698</v>
      </c>
      <c r="D1706" s="32" t="s">
        <v>2831</v>
      </c>
      <c r="E1706" s="32" t="s">
        <v>45</v>
      </c>
      <c r="F1706" s="32" t="s">
        <v>312</v>
      </c>
      <c r="G1706" s="33">
        <v>165</v>
      </c>
      <c r="H1706" s="34">
        <v>0.221</v>
      </c>
      <c r="I1706" s="31">
        <v>143000</v>
      </c>
      <c r="J1706" s="35" t="s">
        <v>126</v>
      </c>
      <c r="K1706" s="36">
        <v>2023</v>
      </c>
    </row>
    <row r="1707" spans="1:11" ht="15" customHeight="1" x14ac:dyDescent="0.3">
      <c r="A1707" s="37">
        <v>1702</v>
      </c>
      <c r="B1707" s="38" t="s">
        <v>3367</v>
      </c>
      <c r="C1707" s="38" t="s">
        <v>3699</v>
      </c>
      <c r="D1707" s="38" t="s">
        <v>64</v>
      </c>
      <c r="E1707" s="38" t="s">
        <v>2935</v>
      </c>
      <c r="F1707" s="38" t="s">
        <v>486</v>
      </c>
      <c r="G1707" s="39">
        <v>1492</v>
      </c>
      <c r="H1707" s="40">
        <v>2.3149999999999999</v>
      </c>
      <c r="I1707" s="37">
        <v>171800</v>
      </c>
      <c r="J1707" s="41" t="s">
        <v>126</v>
      </c>
      <c r="K1707" s="42">
        <v>2023</v>
      </c>
    </row>
    <row r="1708" spans="1:11" ht="15" customHeight="1" x14ac:dyDescent="0.3">
      <c r="A1708" s="31">
        <v>1703</v>
      </c>
      <c r="B1708" s="32" t="s">
        <v>2878</v>
      </c>
      <c r="C1708" s="32" t="s">
        <v>3700</v>
      </c>
      <c r="D1708" s="32" t="s">
        <v>3701</v>
      </c>
      <c r="E1708" s="32" t="s">
        <v>35</v>
      </c>
      <c r="F1708" s="32" t="s">
        <v>312</v>
      </c>
      <c r="G1708" s="33">
        <v>610</v>
      </c>
      <c r="H1708" s="34">
        <v>0.80400000000000005</v>
      </c>
      <c r="I1708" s="31">
        <v>145800</v>
      </c>
      <c r="J1708" s="35" t="s">
        <v>126</v>
      </c>
      <c r="K1708" s="36">
        <v>2023</v>
      </c>
    </row>
    <row r="1709" spans="1:11" ht="15" customHeight="1" x14ac:dyDescent="0.3">
      <c r="A1709" s="37">
        <v>1704</v>
      </c>
      <c r="B1709" s="38" t="s">
        <v>2878</v>
      </c>
      <c r="C1709" s="38" t="s">
        <v>3702</v>
      </c>
      <c r="D1709" s="38" t="s">
        <v>3674</v>
      </c>
      <c r="E1709" s="38" t="s">
        <v>3675</v>
      </c>
      <c r="F1709" s="38" t="s">
        <v>2906</v>
      </c>
      <c r="G1709" s="39">
        <v>650</v>
      </c>
      <c r="H1709" s="40">
        <v>1.74</v>
      </c>
      <c r="I1709" s="37">
        <v>171800</v>
      </c>
      <c r="J1709" s="41" t="s">
        <v>126</v>
      </c>
      <c r="K1709" s="42">
        <v>2023</v>
      </c>
    </row>
    <row r="1710" spans="1:11" ht="15" customHeight="1" x14ac:dyDescent="0.3">
      <c r="A1710" s="31">
        <v>1705</v>
      </c>
      <c r="B1710" s="32" t="s">
        <v>2878</v>
      </c>
      <c r="C1710" s="32" t="s">
        <v>3703</v>
      </c>
      <c r="D1710" s="32" t="s">
        <v>3704</v>
      </c>
      <c r="E1710" s="32" t="s">
        <v>35</v>
      </c>
      <c r="F1710" s="32" t="s">
        <v>741</v>
      </c>
      <c r="G1710" s="33">
        <v>936</v>
      </c>
      <c r="H1710" s="34">
        <v>0.85399999999999998</v>
      </c>
      <c r="I1710" s="31">
        <v>145800</v>
      </c>
      <c r="J1710" s="35" t="s">
        <v>126</v>
      </c>
      <c r="K1710" s="36">
        <v>2023</v>
      </c>
    </row>
    <row r="1711" spans="1:11" ht="15" customHeight="1" x14ac:dyDescent="0.3">
      <c r="A1711" s="37">
        <v>1706</v>
      </c>
      <c r="B1711" s="38" t="s">
        <v>2878</v>
      </c>
      <c r="C1711" s="38" t="s">
        <v>3705</v>
      </c>
      <c r="D1711" s="38" t="s">
        <v>3706</v>
      </c>
      <c r="E1711" s="38" t="s">
        <v>35</v>
      </c>
      <c r="F1711" s="38" t="s">
        <v>373</v>
      </c>
      <c r="G1711" s="39">
        <v>3148</v>
      </c>
      <c r="H1711" s="40">
        <v>4.516</v>
      </c>
      <c r="I1711" s="37">
        <v>255800</v>
      </c>
      <c r="J1711" s="41" t="s">
        <v>126</v>
      </c>
      <c r="K1711" s="42">
        <v>2023</v>
      </c>
    </row>
    <row r="1712" spans="1:11" ht="15" customHeight="1" x14ac:dyDescent="0.3">
      <c r="A1712" s="31">
        <v>1707</v>
      </c>
      <c r="B1712" s="32" t="s">
        <v>2878</v>
      </c>
      <c r="C1712" s="32" t="s">
        <v>3707</v>
      </c>
      <c r="D1712" s="32" t="s">
        <v>3708</v>
      </c>
      <c r="E1712" s="32" t="s">
        <v>61</v>
      </c>
      <c r="F1712" s="32" t="s">
        <v>386</v>
      </c>
      <c r="G1712" s="33">
        <v>2154.8000000000002</v>
      </c>
      <c r="H1712" s="34">
        <v>5.8019999999999996</v>
      </c>
      <c r="I1712" s="31">
        <v>281000</v>
      </c>
      <c r="J1712" s="35" t="s">
        <v>126</v>
      </c>
      <c r="K1712" s="36">
        <v>2023</v>
      </c>
    </row>
    <row r="1713" spans="1:11" ht="15" customHeight="1" x14ac:dyDescent="0.3">
      <c r="A1713" s="37">
        <v>1708</v>
      </c>
      <c r="B1713" s="38" t="s">
        <v>2878</v>
      </c>
      <c r="C1713" s="38" t="s">
        <v>3709</v>
      </c>
      <c r="D1713" s="38" t="s">
        <v>3677</v>
      </c>
      <c r="E1713" s="38" t="s">
        <v>35</v>
      </c>
      <c r="F1713" s="38" t="s">
        <v>2906</v>
      </c>
      <c r="G1713" s="39">
        <v>556</v>
      </c>
      <c r="H1713" s="40">
        <v>1.9690000000000001</v>
      </c>
      <c r="I1713" s="37">
        <v>171800</v>
      </c>
      <c r="J1713" s="41" t="s">
        <v>126</v>
      </c>
      <c r="K1713" s="42">
        <v>2023</v>
      </c>
    </row>
    <row r="1714" spans="1:11" ht="15" customHeight="1" x14ac:dyDescent="0.3">
      <c r="A1714" s="31">
        <v>1709</v>
      </c>
      <c r="B1714" s="32" t="s">
        <v>2878</v>
      </c>
      <c r="C1714" s="32" t="s">
        <v>3710</v>
      </c>
      <c r="D1714" s="32" t="s">
        <v>3711</v>
      </c>
      <c r="E1714" s="32" t="s">
        <v>3712</v>
      </c>
      <c r="F1714" s="32" t="s">
        <v>373</v>
      </c>
      <c r="G1714" s="33">
        <v>2404</v>
      </c>
      <c r="H1714" s="34">
        <v>6.1</v>
      </c>
      <c r="I1714" s="31">
        <v>283800</v>
      </c>
      <c r="J1714" s="35" t="s">
        <v>126</v>
      </c>
      <c r="K1714" s="36">
        <v>2023</v>
      </c>
    </row>
    <row r="1715" spans="1:11" ht="15" customHeight="1" x14ac:dyDescent="0.3">
      <c r="A1715" s="37">
        <v>1710</v>
      </c>
      <c r="B1715" s="38" t="s">
        <v>2878</v>
      </c>
      <c r="C1715" s="38" t="s">
        <v>3713</v>
      </c>
      <c r="D1715" s="38" t="s">
        <v>3714</v>
      </c>
      <c r="E1715" s="38" t="s">
        <v>35</v>
      </c>
      <c r="F1715" s="38" t="s">
        <v>2906</v>
      </c>
      <c r="G1715" s="39">
        <v>64</v>
      </c>
      <c r="H1715" s="40">
        <v>0.97899999999999998</v>
      </c>
      <c r="I1715" s="37">
        <v>145800</v>
      </c>
      <c r="J1715" s="41" t="s">
        <v>126</v>
      </c>
      <c r="K1715" s="42">
        <v>2023</v>
      </c>
    </row>
    <row r="1716" spans="1:11" ht="15" customHeight="1" x14ac:dyDescent="0.3">
      <c r="A1716" s="31">
        <v>1711</v>
      </c>
      <c r="B1716" s="32" t="s">
        <v>2878</v>
      </c>
      <c r="C1716" s="32" t="s">
        <v>3715</v>
      </c>
      <c r="D1716" s="32" t="s">
        <v>3716</v>
      </c>
      <c r="E1716" s="32" t="s">
        <v>35</v>
      </c>
      <c r="F1716" s="32" t="s">
        <v>1135</v>
      </c>
      <c r="G1716" s="33">
        <v>3210</v>
      </c>
      <c r="H1716" s="34">
        <v>3.2029999999999998</v>
      </c>
      <c r="I1716" s="31">
        <v>199800</v>
      </c>
      <c r="J1716" s="35" t="s">
        <v>126</v>
      </c>
      <c r="K1716" s="36">
        <v>2023</v>
      </c>
    </row>
    <row r="1717" spans="1:11" ht="15" customHeight="1" x14ac:dyDescent="0.3">
      <c r="A1717" s="37">
        <v>1712</v>
      </c>
      <c r="B1717" s="38" t="s">
        <v>2878</v>
      </c>
      <c r="C1717" s="38" t="s">
        <v>3717</v>
      </c>
      <c r="D1717" s="38" t="s">
        <v>3718</v>
      </c>
      <c r="E1717" s="38" t="s">
        <v>2723</v>
      </c>
      <c r="F1717" s="38" t="s">
        <v>2906</v>
      </c>
      <c r="G1717" s="39">
        <v>195.6</v>
      </c>
      <c r="H1717" s="40">
        <v>0.28100000000000003</v>
      </c>
      <c r="I1717" s="37">
        <v>145800</v>
      </c>
      <c r="J1717" s="41" t="s">
        <v>126</v>
      </c>
      <c r="K1717" s="42">
        <v>2023</v>
      </c>
    </row>
    <row r="1718" spans="1:11" ht="15" customHeight="1" x14ac:dyDescent="0.3">
      <c r="A1718" s="31">
        <v>1713</v>
      </c>
      <c r="B1718" s="32" t="s">
        <v>2878</v>
      </c>
      <c r="C1718" s="32" t="s">
        <v>3719</v>
      </c>
      <c r="D1718" s="32" t="s">
        <v>2753</v>
      </c>
      <c r="E1718" s="32" t="s">
        <v>3720</v>
      </c>
      <c r="F1718" s="32" t="s">
        <v>3366</v>
      </c>
      <c r="G1718" s="33">
        <v>3646</v>
      </c>
      <c r="H1718" s="34">
        <v>7.1989999999999998</v>
      </c>
      <c r="I1718" s="31">
        <v>309000</v>
      </c>
      <c r="J1718" s="35" t="s">
        <v>126</v>
      </c>
      <c r="K1718" s="36">
        <v>2023</v>
      </c>
    </row>
    <row r="1719" spans="1:11" ht="15" customHeight="1" x14ac:dyDescent="0.3">
      <c r="A1719" s="37">
        <v>1714</v>
      </c>
      <c r="B1719" s="38" t="s">
        <v>2878</v>
      </c>
      <c r="C1719" s="38" t="s">
        <v>3721</v>
      </c>
      <c r="D1719" s="38" t="s">
        <v>3722</v>
      </c>
      <c r="E1719" s="38" t="s">
        <v>3723</v>
      </c>
      <c r="F1719" s="38" t="s">
        <v>287</v>
      </c>
      <c r="G1719" s="39">
        <v>1071</v>
      </c>
      <c r="H1719" s="40">
        <v>4.8</v>
      </c>
      <c r="I1719" s="37">
        <v>253000</v>
      </c>
      <c r="J1719" s="41" t="s">
        <v>126</v>
      </c>
      <c r="K1719" s="42">
        <v>2023</v>
      </c>
    </row>
    <row r="1720" spans="1:11" ht="15" customHeight="1" x14ac:dyDescent="0.3">
      <c r="A1720" s="31">
        <v>1715</v>
      </c>
      <c r="B1720" s="32" t="s">
        <v>2944</v>
      </c>
      <c r="C1720" s="32" t="s">
        <v>3724</v>
      </c>
      <c r="D1720" s="32" t="s">
        <v>966</v>
      </c>
      <c r="E1720" s="32" t="s">
        <v>37</v>
      </c>
      <c r="F1720" s="32" t="s">
        <v>312</v>
      </c>
      <c r="G1720" s="33">
        <v>178</v>
      </c>
      <c r="H1720" s="34">
        <v>0.28000000000000003</v>
      </c>
      <c r="I1720" s="31">
        <v>145800</v>
      </c>
      <c r="J1720" s="35" t="s">
        <v>207</v>
      </c>
      <c r="K1720" s="36">
        <v>2023</v>
      </c>
    </row>
    <row r="1721" spans="1:11" ht="15" customHeight="1" x14ac:dyDescent="0.3">
      <c r="A1721" s="37">
        <v>1716</v>
      </c>
      <c r="B1721" s="38" t="s">
        <v>2944</v>
      </c>
      <c r="C1721" s="38" t="s">
        <v>3725</v>
      </c>
      <c r="D1721" s="38" t="s">
        <v>3726</v>
      </c>
      <c r="E1721" s="38" t="s">
        <v>41</v>
      </c>
      <c r="F1721" s="38" t="s">
        <v>316</v>
      </c>
      <c r="G1721" s="39">
        <v>3320</v>
      </c>
      <c r="H1721" s="40">
        <v>4.9130000000000003</v>
      </c>
      <c r="I1721" s="37">
        <v>255800</v>
      </c>
      <c r="J1721" s="41" t="s">
        <v>207</v>
      </c>
      <c r="K1721" s="42">
        <v>2023</v>
      </c>
    </row>
    <row r="1722" spans="1:11" ht="15" customHeight="1" x14ac:dyDescent="0.3">
      <c r="A1722" s="31">
        <v>1717</v>
      </c>
      <c r="B1722" s="32" t="s">
        <v>2944</v>
      </c>
      <c r="C1722" s="32" t="s">
        <v>3727</v>
      </c>
      <c r="D1722" s="32" t="s">
        <v>3728</v>
      </c>
      <c r="E1722" s="32" t="s">
        <v>3729</v>
      </c>
      <c r="F1722" s="32" t="s">
        <v>698</v>
      </c>
      <c r="G1722" s="33">
        <v>259.911</v>
      </c>
      <c r="H1722" s="34">
        <v>5.617</v>
      </c>
      <c r="I1722" s="31">
        <v>283800</v>
      </c>
      <c r="J1722" s="35" t="s">
        <v>207</v>
      </c>
      <c r="K1722" s="36">
        <v>2023</v>
      </c>
    </row>
    <row r="1723" spans="1:11" ht="15" customHeight="1" x14ac:dyDescent="0.3">
      <c r="A1723" s="37">
        <v>1718</v>
      </c>
      <c r="B1723" s="38" t="s">
        <v>2944</v>
      </c>
      <c r="C1723" s="38" t="s">
        <v>3730</v>
      </c>
      <c r="D1723" s="38" t="s">
        <v>3731</v>
      </c>
      <c r="E1723" s="38" t="s">
        <v>3732</v>
      </c>
      <c r="F1723" s="38" t="s">
        <v>316</v>
      </c>
      <c r="G1723" s="39">
        <v>1596</v>
      </c>
      <c r="H1723" s="40">
        <v>4.08</v>
      </c>
      <c r="I1723" s="37">
        <v>227800</v>
      </c>
      <c r="J1723" s="41" t="s">
        <v>207</v>
      </c>
      <c r="K1723" s="42">
        <v>2023</v>
      </c>
    </row>
    <row r="1724" spans="1:11" ht="15" customHeight="1" x14ac:dyDescent="0.3">
      <c r="A1724" s="31">
        <v>1719</v>
      </c>
      <c r="B1724" s="32" t="s">
        <v>2944</v>
      </c>
      <c r="C1724" s="32" t="s">
        <v>3733</v>
      </c>
      <c r="D1724" s="32" t="s">
        <v>3734</v>
      </c>
      <c r="E1724" s="32" t="s">
        <v>3423</v>
      </c>
      <c r="F1724" s="32" t="s">
        <v>435</v>
      </c>
      <c r="G1724" s="33">
        <v>1440</v>
      </c>
      <c r="H1724" s="34">
        <v>8.4</v>
      </c>
      <c r="I1724" s="31">
        <v>331800</v>
      </c>
      <c r="J1724" s="35" t="s">
        <v>207</v>
      </c>
      <c r="K1724" s="36">
        <v>2023</v>
      </c>
    </row>
    <row r="1725" spans="1:11" ht="15" customHeight="1" x14ac:dyDescent="0.3">
      <c r="A1725" s="37">
        <v>1720</v>
      </c>
      <c r="B1725" s="38" t="s">
        <v>2944</v>
      </c>
      <c r="C1725" s="38" t="s">
        <v>3735</v>
      </c>
      <c r="D1725" s="38" t="s">
        <v>3736</v>
      </c>
      <c r="E1725" s="38" t="s">
        <v>2280</v>
      </c>
      <c r="F1725" s="38" t="s">
        <v>316</v>
      </c>
      <c r="G1725" s="39">
        <v>622</v>
      </c>
      <c r="H1725" s="40">
        <v>4.125</v>
      </c>
      <c r="I1725" s="37">
        <v>227800</v>
      </c>
      <c r="J1725" s="41" t="s">
        <v>207</v>
      </c>
      <c r="K1725" s="42">
        <v>2023</v>
      </c>
    </row>
    <row r="1726" spans="1:11" ht="15" customHeight="1" x14ac:dyDescent="0.3">
      <c r="A1726" s="31">
        <v>1721</v>
      </c>
      <c r="B1726" s="32" t="s">
        <v>2944</v>
      </c>
      <c r="C1726" s="32" t="s">
        <v>3737</v>
      </c>
      <c r="D1726" s="32" t="s">
        <v>3738</v>
      </c>
      <c r="E1726" s="32" t="s">
        <v>3739</v>
      </c>
      <c r="F1726" s="32" t="s">
        <v>2906</v>
      </c>
      <c r="G1726" s="33">
        <v>74</v>
      </c>
      <c r="H1726" s="34">
        <v>0.34599999999999997</v>
      </c>
      <c r="I1726" s="31">
        <v>145800</v>
      </c>
      <c r="J1726" s="35" t="s">
        <v>207</v>
      </c>
      <c r="K1726" s="36">
        <v>2023</v>
      </c>
    </row>
    <row r="1727" spans="1:11" ht="15" customHeight="1" x14ac:dyDescent="0.3">
      <c r="A1727" s="37">
        <v>1722</v>
      </c>
      <c r="B1727" s="38" t="s">
        <v>2944</v>
      </c>
      <c r="C1727" s="38" t="s">
        <v>3740</v>
      </c>
      <c r="D1727" s="38" t="s">
        <v>3741</v>
      </c>
      <c r="E1727" s="38" t="s">
        <v>35</v>
      </c>
      <c r="F1727" s="38" t="s">
        <v>2906</v>
      </c>
      <c r="G1727" s="39">
        <v>225</v>
      </c>
      <c r="H1727" s="40">
        <v>0.73</v>
      </c>
      <c r="I1727" s="37">
        <v>145800</v>
      </c>
      <c r="J1727" s="41" t="s">
        <v>207</v>
      </c>
      <c r="K1727" s="42">
        <v>2023</v>
      </c>
    </row>
    <row r="1728" spans="1:11" ht="15" customHeight="1" x14ac:dyDescent="0.3">
      <c r="A1728" s="31">
        <v>1723</v>
      </c>
      <c r="B1728" s="32" t="s">
        <v>2944</v>
      </c>
      <c r="C1728" s="32" t="s">
        <v>3742</v>
      </c>
      <c r="D1728" s="32" t="s">
        <v>36</v>
      </c>
      <c r="E1728" s="32" t="s">
        <v>41</v>
      </c>
      <c r="F1728" s="32" t="s">
        <v>373</v>
      </c>
      <c r="G1728" s="33">
        <v>363</v>
      </c>
      <c r="H1728" s="34">
        <v>0.56999999999999995</v>
      </c>
      <c r="I1728" s="31">
        <v>145800</v>
      </c>
      <c r="J1728" s="35" t="s">
        <v>207</v>
      </c>
      <c r="K1728" s="36">
        <v>2023</v>
      </c>
    </row>
    <row r="1729" spans="1:11" ht="15" customHeight="1" x14ac:dyDescent="0.3">
      <c r="A1729" s="37">
        <v>1724</v>
      </c>
      <c r="B1729" s="38" t="s">
        <v>2944</v>
      </c>
      <c r="C1729" s="38" t="s">
        <v>3743</v>
      </c>
      <c r="D1729" s="38" t="s">
        <v>3744</v>
      </c>
      <c r="E1729" s="38" t="s">
        <v>35</v>
      </c>
      <c r="F1729" s="38" t="s">
        <v>2906</v>
      </c>
      <c r="G1729" s="39">
        <v>448</v>
      </c>
      <c r="H1729" s="40">
        <v>0.432</v>
      </c>
      <c r="I1729" s="37">
        <v>145800</v>
      </c>
      <c r="J1729" s="41" t="s">
        <v>207</v>
      </c>
      <c r="K1729" s="42">
        <v>2023</v>
      </c>
    </row>
    <row r="1730" spans="1:11" ht="15" customHeight="1" x14ac:dyDescent="0.3">
      <c r="A1730" s="31">
        <v>1725</v>
      </c>
      <c r="B1730" s="32" t="s">
        <v>2944</v>
      </c>
      <c r="C1730" s="32" t="s">
        <v>3745</v>
      </c>
      <c r="D1730" s="32" t="s">
        <v>1537</v>
      </c>
      <c r="E1730" s="32" t="s">
        <v>3746</v>
      </c>
      <c r="F1730" s="32" t="s">
        <v>312</v>
      </c>
      <c r="G1730" s="33">
        <v>305</v>
      </c>
      <c r="H1730" s="34">
        <v>0.65500000000000003</v>
      </c>
      <c r="I1730" s="31">
        <v>145800</v>
      </c>
      <c r="J1730" s="35" t="s">
        <v>207</v>
      </c>
      <c r="K1730" s="36">
        <v>2023</v>
      </c>
    </row>
    <row r="1731" spans="1:11" ht="15" customHeight="1" x14ac:dyDescent="0.3">
      <c r="A1731" s="37">
        <v>1726</v>
      </c>
      <c r="B1731" s="38" t="s">
        <v>2944</v>
      </c>
      <c r="C1731" s="38" t="s">
        <v>3747</v>
      </c>
      <c r="D1731" s="38" t="s">
        <v>3748</v>
      </c>
      <c r="E1731" s="38" t="s">
        <v>3267</v>
      </c>
      <c r="F1731" s="38" t="s">
        <v>2906</v>
      </c>
      <c r="G1731" s="39">
        <v>193</v>
      </c>
      <c r="H1731" s="40">
        <v>1.046</v>
      </c>
      <c r="I1731" s="37">
        <v>145800</v>
      </c>
      <c r="J1731" s="41" t="s">
        <v>207</v>
      </c>
      <c r="K1731" s="42">
        <v>2023</v>
      </c>
    </row>
    <row r="1732" spans="1:11" ht="15" customHeight="1" x14ac:dyDescent="0.3">
      <c r="A1732" s="31">
        <v>1727</v>
      </c>
      <c r="B1732" s="32" t="s">
        <v>2944</v>
      </c>
      <c r="C1732" s="32" t="s">
        <v>3749</v>
      </c>
      <c r="D1732" s="32" t="s">
        <v>3750</v>
      </c>
      <c r="E1732" s="32" t="s">
        <v>3604</v>
      </c>
      <c r="F1732" s="32" t="s">
        <v>2744</v>
      </c>
      <c r="G1732" s="33">
        <v>2</v>
      </c>
      <c r="H1732" s="34">
        <v>0.01</v>
      </c>
      <c r="I1732" s="31">
        <v>143000</v>
      </c>
      <c r="J1732" s="35" t="s">
        <v>207</v>
      </c>
      <c r="K1732" s="36">
        <v>2023</v>
      </c>
    </row>
    <row r="1733" spans="1:11" ht="15" customHeight="1" x14ac:dyDescent="0.3">
      <c r="A1733" s="37">
        <v>1728</v>
      </c>
      <c r="B1733" s="38" t="s">
        <v>2944</v>
      </c>
      <c r="C1733" s="38" t="s">
        <v>3751</v>
      </c>
      <c r="D1733" s="38" t="s">
        <v>3752</v>
      </c>
      <c r="E1733" s="38" t="s">
        <v>3753</v>
      </c>
      <c r="F1733" s="38" t="s">
        <v>435</v>
      </c>
      <c r="G1733" s="39">
        <v>1701</v>
      </c>
      <c r="H1733" s="40">
        <v>7.31</v>
      </c>
      <c r="I1733" s="37">
        <v>311800</v>
      </c>
      <c r="J1733" s="41" t="s">
        <v>207</v>
      </c>
      <c r="K1733" s="42">
        <v>2023</v>
      </c>
    </row>
    <row r="1734" spans="1:11" ht="15" customHeight="1" x14ac:dyDescent="0.3">
      <c r="A1734" s="31">
        <v>1729</v>
      </c>
      <c r="B1734" s="32" t="s">
        <v>2944</v>
      </c>
      <c r="C1734" s="32" t="s">
        <v>3754</v>
      </c>
      <c r="D1734" s="32" t="s">
        <v>3755</v>
      </c>
      <c r="E1734" s="32" t="s">
        <v>3756</v>
      </c>
      <c r="F1734" s="32" t="s">
        <v>386</v>
      </c>
      <c r="G1734" s="33">
        <v>986</v>
      </c>
      <c r="H1734" s="34">
        <v>4.2</v>
      </c>
      <c r="I1734" s="31">
        <v>225000</v>
      </c>
      <c r="J1734" s="35" t="s">
        <v>207</v>
      </c>
      <c r="K1734" s="36">
        <v>2023</v>
      </c>
    </row>
    <row r="1735" spans="1:11" ht="15" customHeight="1" x14ac:dyDescent="0.3">
      <c r="A1735" s="37">
        <v>1730</v>
      </c>
      <c r="B1735" s="38" t="s">
        <v>2944</v>
      </c>
      <c r="C1735" s="38" t="s">
        <v>3757</v>
      </c>
      <c r="D1735" s="38" t="s">
        <v>3758</v>
      </c>
      <c r="E1735" s="38" t="s">
        <v>3575</v>
      </c>
      <c r="F1735" s="38" t="s">
        <v>2906</v>
      </c>
      <c r="G1735" s="39">
        <v>740</v>
      </c>
      <c r="H1735" s="40">
        <v>1.776</v>
      </c>
      <c r="I1735" s="37">
        <v>171800</v>
      </c>
      <c r="J1735" s="41" t="s">
        <v>207</v>
      </c>
      <c r="K1735" s="42">
        <v>2023</v>
      </c>
    </row>
    <row r="1736" spans="1:11" ht="15" customHeight="1" x14ac:dyDescent="0.3">
      <c r="A1736" s="31">
        <v>1731</v>
      </c>
      <c r="B1736" s="32" t="s">
        <v>2944</v>
      </c>
      <c r="C1736" s="32" t="s">
        <v>3759</v>
      </c>
      <c r="D1736" s="32" t="s">
        <v>36</v>
      </c>
      <c r="E1736" s="32" t="s">
        <v>37</v>
      </c>
      <c r="F1736" s="32" t="s">
        <v>312</v>
      </c>
      <c r="G1736" s="33">
        <v>189</v>
      </c>
      <c r="H1736" s="34">
        <v>0.67200000000000004</v>
      </c>
      <c r="I1736" s="31">
        <v>145800</v>
      </c>
      <c r="J1736" s="35" t="s">
        <v>207</v>
      </c>
      <c r="K1736" s="36">
        <v>2023</v>
      </c>
    </row>
    <row r="1737" spans="1:11" ht="15" customHeight="1" x14ac:dyDescent="0.3">
      <c r="A1737" s="37">
        <v>1732</v>
      </c>
      <c r="B1737" s="38" t="s">
        <v>2944</v>
      </c>
      <c r="C1737" s="38" t="s">
        <v>3760</v>
      </c>
      <c r="D1737" s="38" t="s">
        <v>3761</v>
      </c>
      <c r="E1737" s="38" t="s">
        <v>3762</v>
      </c>
      <c r="F1737" s="38" t="s">
        <v>312</v>
      </c>
      <c r="G1737" s="39">
        <v>500</v>
      </c>
      <c r="H1737" s="40">
        <v>0.5</v>
      </c>
      <c r="I1737" s="37">
        <v>145800</v>
      </c>
      <c r="J1737" s="41" t="s">
        <v>207</v>
      </c>
      <c r="K1737" s="42">
        <v>2023</v>
      </c>
    </row>
    <row r="1738" spans="1:11" ht="15" customHeight="1" x14ac:dyDescent="0.3">
      <c r="A1738" s="31">
        <v>1733</v>
      </c>
      <c r="B1738" s="32" t="s">
        <v>3133</v>
      </c>
      <c r="C1738" s="32" t="s">
        <v>3763</v>
      </c>
      <c r="D1738" s="32" t="s">
        <v>3764</v>
      </c>
      <c r="E1738" s="32" t="s">
        <v>3040</v>
      </c>
      <c r="F1738" s="32" t="s">
        <v>402</v>
      </c>
      <c r="G1738" s="33">
        <v>4107.8</v>
      </c>
      <c r="H1738" s="34">
        <v>5.8140000000000001</v>
      </c>
      <c r="I1738" s="31">
        <v>281000</v>
      </c>
      <c r="J1738" s="35" t="s">
        <v>207</v>
      </c>
      <c r="K1738" s="36">
        <v>2023</v>
      </c>
    </row>
    <row r="1739" spans="1:11" ht="15" customHeight="1" x14ac:dyDescent="0.3">
      <c r="A1739" s="37">
        <v>1734</v>
      </c>
      <c r="B1739" s="38" t="s">
        <v>3133</v>
      </c>
      <c r="C1739" s="38" t="s">
        <v>3765</v>
      </c>
      <c r="D1739" s="38" t="s">
        <v>52</v>
      </c>
      <c r="E1739" s="38" t="s">
        <v>35</v>
      </c>
      <c r="F1739" s="38" t="s">
        <v>402</v>
      </c>
      <c r="G1739" s="39">
        <v>840</v>
      </c>
      <c r="H1739" s="40">
        <v>4.79</v>
      </c>
      <c r="I1739" s="37">
        <v>255800</v>
      </c>
      <c r="J1739" s="41" t="s">
        <v>207</v>
      </c>
      <c r="K1739" s="42">
        <v>2023</v>
      </c>
    </row>
    <row r="1740" spans="1:11" ht="15" customHeight="1" x14ac:dyDescent="0.3">
      <c r="A1740" s="31">
        <v>1735</v>
      </c>
      <c r="B1740" s="32" t="s">
        <v>3133</v>
      </c>
      <c r="C1740" s="32" t="s">
        <v>3766</v>
      </c>
      <c r="D1740" s="32" t="s">
        <v>3767</v>
      </c>
      <c r="E1740" s="32" t="s">
        <v>37</v>
      </c>
      <c r="F1740" s="32" t="s">
        <v>312</v>
      </c>
      <c r="G1740" s="33">
        <v>345</v>
      </c>
      <c r="H1740" s="34">
        <v>2.048</v>
      </c>
      <c r="I1740" s="31">
        <v>199800</v>
      </c>
      <c r="J1740" s="35" t="s">
        <v>207</v>
      </c>
      <c r="K1740" s="36">
        <v>2023</v>
      </c>
    </row>
    <row r="1741" spans="1:11" ht="15" customHeight="1" x14ac:dyDescent="0.3">
      <c r="A1741" s="37">
        <v>1736</v>
      </c>
      <c r="B1741" s="38" t="s">
        <v>3133</v>
      </c>
      <c r="C1741" s="38" t="s">
        <v>3768</v>
      </c>
      <c r="D1741" s="38" t="s">
        <v>3769</v>
      </c>
      <c r="E1741" s="38" t="s">
        <v>3770</v>
      </c>
      <c r="F1741" s="38" t="s">
        <v>2906</v>
      </c>
      <c r="G1741" s="39">
        <v>529.96</v>
      </c>
      <c r="H1741" s="40">
        <v>1.272</v>
      </c>
      <c r="I1741" s="37">
        <v>145800</v>
      </c>
      <c r="J1741" s="41" t="s">
        <v>207</v>
      </c>
      <c r="K1741" s="42">
        <v>2023</v>
      </c>
    </row>
    <row r="1742" spans="1:11" ht="15" customHeight="1" x14ac:dyDescent="0.3">
      <c r="A1742" s="31">
        <v>1737</v>
      </c>
      <c r="B1742" s="32" t="s">
        <v>3133</v>
      </c>
      <c r="C1742" s="32" t="s">
        <v>3771</v>
      </c>
      <c r="D1742" s="32" t="s">
        <v>3772</v>
      </c>
      <c r="E1742" s="32" t="s">
        <v>3773</v>
      </c>
      <c r="F1742" s="32" t="s">
        <v>1560</v>
      </c>
      <c r="G1742" s="33">
        <v>1701</v>
      </c>
      <c r="H1742" s="34">
        <v>5.5709999999999997</v>
      </c>
      <c r="I1742" s="31">
        <v>283800</v>
      </c>
      <c r="J1742" s="35" t="s">
        <v>207</v>
      </c>
      <c r="K1742" s="36">
        <v>2023</v>
      </c>
    </row>
    <row r="1743" spans="1:11" ht="15" customHeight="1" x14ac:dyDescent="0.3">
      <c r="A1743" s="37">
        <v>1738</v>
      </c>
      <c r="B1743" s="38" t="s">
        <v>3133</v>
      </c>
      <c r="C1743" s="38" t="s">
        <v>3774</v>
      </c>
      <c r="D1743" s="38" t="s">
        <v>3738</v>
      </c>
      <c r="E1743" s="38" t="s">
        <v>3739</v>
      </c>
      <c r="F1743" s="38" t="s">
        <v>2906</v>
      </c>
      <c r="G1743" s="39">
        <v>55</v>
      </c>
      <c r="H1743" s="40">
        <v>0.34599999999999997</v>
      </c>
      <c r="I1743" s="37">
        <v>145800</v>
      </c>
      <c r="J1743" s="41" t="s">
        <v>207</v>
      </c>
      <c r="K1743" s="42">
        <v>2023</v>
      </c>
    </row>
    <row r="1744" spans="1:11" ht="15" customHeight="1" x14ac:dyDescent="0.3">
      <c r="A1744" s="31">
        <v>1739</v>
      </c>
      <c r="B1744" s="32" t="s">
        <v>3133</v>
      </c>
      <c r="C1744" s="32" t="s">
        <v>3775</v>
      </c>
      <c r="D1744" s="32" t="s">
        <v>3776</v>
      </c>
      <c r="E1744" s="32" t="s">
        <v>35</v>
      </c>
      <c r="F1744" s="32" t="s">
        <v>2906</v>
      </c>
      <c r="G1744" s="33">
        <v>127</v>
      </c>
      <c r="H1744" s="34">
        <v>0.20200000000000001</v>
      </c>
      <c r="I1744" s="31">
        <v>145800</v>
      </c>
      <c r="J1744" s="35" t="s">
        <v>207</v>
      </c>
      <c r="K1744" s="36">
        <v>2023</v>
      </c>
    </row>
    <row r="1745" spans="1:11" ht="15" customHeight="1" x14ac:dyDescent="0.3">
      <c r="A1745" s="37">
        <v>1740</v>
      </c>
      <c r="B1745" s="38" t="s">
        <v>3133</v>
      </c>
      <c r="C1745" s="38" t="s">
        <v>3777</v>
      </c>
      <c r="D1745" s="38" t="s">
        <v>933</v>
      </c>
      <c r="E1745" s="38" t="s">
        <v>3778</v>
      </c>
      <c r="F1745" s="38" t="s">
        <v>312</v>
      </c>
      <c r="G1745" s="39">
        <v>965</v>
      </c>
      <c r="H1745" s="40">
        <v>8.2680000000000007</v>
      </c>
      <c r="I1745" s="37">
        <v>331800</v>
      </c>
      <c r="J1745" s="41" t="s">
        <v>207</v>
      </c>
      <c r="K1745" s="42">
        <v>2023</v>
      </c>
    </row>
    <row r="1746" spans="1:11" ht="15" customHeight="1" x14ac:dyDescent="0.3">
      <c r="A1746" s="31">
        <v>1741</v>
      </c>
      <c r="B1746" s="32" t="s">
        <v>3133</v>
      </c>
      <c r="C1746" s="32" t="s">
        <v>3779</v>
      </c>
      <c r="D1746" s="32" t="s">
        <v>3780</v>
      </c>
      <c r="E1746" s="32" t="s">
        <v>3781</v>
      </c>
      <c r="F1746" s="32" t="s">
        <v>312</v>
      </c>
      <c r="G1746" s="33">
        <v>85</v>
      </c>
      <c r="H1746" s="34">
        <v>0.93899999999999995</v>
      </c>
      <c r="I1746" s="31">
        <v>145800</v>
      </c>
      <c r="J1746" s="35" t="s">
        <v>207</v>
      </c>
      <c r="K1746" s="36">
        <v>2023</v>
      </c>
    </row>
    <row r="1747" spans="1:11" ht="15" customHeight="1" x14ac:dyDescent="0.3">
      <c r="A1747" s="37">
        <v>1742</v>
      </c>
      <c r="B1747" s="38" t="s">
        <v>3133</v>
      </c>
      <c r="C1747" s="38" t="s">
        <v>3782</v>
      </c>
      <c r="D1747" s="38" t="s">
        <v>3783</v>
      </c>
      <c r="E1747" s="38" t="s">
        <v>3784</v>
      </c>
      <c r="F1747" s="38" t="s">
        <v>2906</v>
      </c>
      <c r="G1747" s="39">
        <v>620</v>
      </c>
      <c r="H1747" s="40">
        <v>1.413</v>
      </c>
      <c r="I1747" s="37">
        <v>145800</v>
      </c>
      <c r="J1747" s="41" t="s">
        <v>207</v>
      </c>
      <c r="K1747" s="42">
        <v>2023</v>
      </c>
    </row>
    <row r="1748" spans="1:11" ht="15" customHeight="1" x14ac:dyDescent="0.3">
      <c r="A1748" s="31">
        <v>1743</v>
      </c>
      <c r="B1748" s="32" t="s">
        <v>3133</v>
      </c>
      <c r="C1748" s="32" t="s">
        <v>3785</v>
      </c>
      <c r="D1748" s="32" t="s">
        <v>3786</v>
      </c>
      <c r="E1748" s="32" t="s">
        <v>3787</v>
      </c>
      <c r="F1748" s="32" t="s">
        <v>2126</v>
      </c>
      <c r="G1748" s="33">
        <v>2070</v>
      </c>
      <c r="H1748" s="34">
        <v>11.475</v>
      </c>
      <c r="I1748" s="31">
        <v>437000</v>
      </c>
      <c r="J1748" s="35" t="s">
        <v>207</v>
      </c>
      <c r="K1748" s="36">
        <v>2023</v>
      </c>
    </row>
    <row r="1749" spans="1:11" ht="15" customHeight="1" x14ac:dyDescent="0.3">
      <c r="A1749" s="37">
        <v>1744</v>
      </c>
      <c r="B1749" s="38" t="s">
        <v>3133</v>
      </c>
      <c r="C1749" s="38" t="s">
        <v>3788</v>
      </c>
      <c r="D1749" s="38" t="s">
        <v>3789</v>
      </c>
      <c r="E1749" s="38" t="s">
        <v>3790</v>
      </c>
      <c r="F1749" s="38" t="s">
        <v>1044</v>
      </c>
      <c r="G1749" s="39">
        <v>2305</v>
      </c>
      <c r="H1749" s="40">
        <v>3.3780000000000001</v>
      </c>
      <c r="I1749" s="37">
        <v>197000</v>
      </c>
      <c r="J1749" s="41" t="s">
        <v>207</v>
      </c>
      <c r="K1749" s="42">
        <v>2023</v>
      </c>
    </row>
    <row r="1750" spans="1:11" ht="15" customHeight="1" x14ac:dyDescent="0.3">
      <c r="A1750" s="31">
        <v>1745</v>
      </c>
      <c r="B1750" s="32" t="s">
        <v>3133</v>
      </c>
      <c r="C1750" s="32" t="s">
        <v>3791</v>
      </c>
      <c r="D1750" s="32" t="s">
        <v>1448</v>
      </c>
      <c r="E1750" s="32" t="s">
        <v>3415</v>
      </c>
      <c r="F1750" s="32" t="s">
        <v>2906</v>
      </c>
      <c r="G1750" s="33">
        <v>181</v>
      </c>
      <c r="H1750" s="34">
        <v>0.76800000000000002</v>
      </c>
      <c r="I1750" s="31">
        <v>143000</v>
      </c>
      <c r="J1750" s="35" t="s">
        <v>207</v>
      </c>
      <c r="K1750" s="36">
        <v>2023</v>
      </c>
    </row>
    <row r="1751" spans="1:11" ht="15" customHeight="1" x14ac:dyDescent="0.3">
      <c r="A1751" s="37">
        <v>1746</v>
      </c>
      <c r="B1751" s="38" t="s">
        <v>3133</v>
      </c>
      <c r="C1751" s="38" t="s">
        <v>3792</v>
      </c>
      <c r="D1751" s="38" t="s">
        <v>3793</v>
      </c>
      <c r="E1751" s="38" t="s">
        <v>3794</v>
      </c>
      <c r="F1751" s="38" t="s">
        <v>2906</v>
      </c>
      <c r="G1751" s="39">
        <v>1600</v>
      </c>
      <c r="H1751" s="40">
        <v>1.32</v>
      </c>
      <c r="I1751" s="37">
        <v>169000</v>
      </c>
      <c r="J1751" s="41" t="s">
        <v>207</v>
      </c>
      <c r="K1751" s="42">
        <v>2023</v>
      </c>
    </row>
    <row r="1752" spans="1:11" ht="15" customHeight="1" x14ac:dyDescent="0.3">
      <c r="A1752" s="31">
        <v>1747</v>
      </c>
      <c r="B1752" s="32" t="s">
        <v>3133</v>
      </c>
      <c r="C1752" s="32" t="s">
        <v>3795</v>
      </c>
      <c r="D1752" s="32" t="s">
        <v>3796</v>
      </c>
      <c r="E1752" s="32" t="s">
        <v>3797</v>
      </c>
      <c r="F1752" s="32" t="s">
        <v>316</v>
      </c>
      <c r="G1752" s="33">
        <v>202.5</v>
      </c>
      <c r="H1752" s="34">
        <v>3.4079999999999999</v>
      </c>
      <c r="I1752" s="31">
        <v>197000</v>
      </c>
      <c r="J1752" s="35" t="s">
        <v>207</v>
      </c>
      <c r="K1752" s="36">
        <v>2023</v>
      </c>
    </row>
    <row r="1753" spans="1:11" ht="15" customHeight="1" x14ac:dyDescent="0.3">
      <c r="A1753" s="37">
        <v>1748</v>
      </c>
      <c r="B1753" s="38" t="s">
        <v>3133</v>
      </c>
      <c r="C1753" s="38" t="s">
        <v>3798</v>
      </c>
      <c r="D1753" s="38" t="s">
        <v>3799</v>
      </c>
      <c r="E1753" s="38" t="s">
        <v>3800</v>
      </c>
      <c r="F1753" s="38" t="s">
        <v>373</v>
      </c>
      <c r="G1753" s="39">
        <v>680</v>
      </c>
      <c r="H1753" s="40">
        <v>4.5</v>
      </c>
      <c r="I1753" s="37">
        <v>197800</v>
      </c>
      <c r="J1753" s="41" t="s">
        <v>207</v>
      </c>
      <c r="K1753" s="42">
        <v>2023</v>
      </c>
    </row>
    <row r="1754" spans="1:11" ht="15" customHeight="1" x14ac:dyDescent="0.3">
      <c r="A1754" s="31">
        <v>1749</v>
      </c>
      <c r="B1754" s="32" t="s">
        <v>3801</v>
      </c>
      <c r="C1754" s="32" t="s">
        <v>3802</v>
      </c>
      <c r="D1754" s="32" t="s">
        <v>3803</v>
      </c>
      <c r="E1754" s="32" t="s">
        <v>3804</v>
      </c>
      <c r="F1754" s="32" t="s">
        <v>1044</v>
      </c>
      <c r="G1754" s="33">
        <v>2788</v>
      </c>
      <c r="H1754" s="34">
        <v>8.7370000000000001</v>
      </c>
      <c r="I1754" s="31">
        <v>358800</v>
      </c>
      <c r="J1754" s="35" t="s">
        <v>207</v>
      </c>
      <c r="K1754" s="36">
        <v>2023</v>
      </c>
    </row>
    <row r="1755" spans="1:11" ht="15" customHeight="1" x14ac:dyDescent="0.3">
      <c r="A1755" s="37">
        <v>1750</v>
      </c>
      <c r="B1755" s="38" t="s">
        <v>3801</v>
      </c>
      <c r="C1755" s="38" t="s">
        <v>3805</v>
      </c>
      <c r="D1755" s="38" t="s">
        <v>3806</v>
      </c>
      <c r="E1755" s="38" t="s">
        <v>35</v>
      </c>
      <c r="F1755" s="38" t="s">
        <v>312</v>
      </c>
      <c r="G1755" s="39">
        <v>210</v>
      </c>
      <c r="H1755" s="40">
        <v>0.76500000000000001</v>
      </c>
      <c r="I1755" s="37">
        <v>145800</v>
      </c>
      <c r="J1755" s="41" t="s">
        <v>207</v>
      </c>
      <c r="K1755" s="42">
        <v>2023</v>
      </c>
    </row>
    <row r="1756" spans="1:11" ht="15" customHeight="1" x14ac:dyDescent="0.3">
      <c r="A1756" s="31">
        <v>1751</v>
      </c>
      <c r="B1756" s="32" t="s">
        <v>3801</v>
      </c>
      <c r="C1756" s="32" t="s">
        <v>3807</v>
      </c>
      <c r="D1756" s="32" t="s">
        <v>3808</v>
      </c>
      <c r="E1756" s="32" t="s">
        <v>3809</v>
      </c>
      <c r="F1756" s="32" t="s">
        <v>312</v>
      </c>
      <c r="G1756" s="33">
        <v>816</v>
      </c>
      <c r="H1756" s="34">
        <v>1</v>
      </c>
      <c r="I1756" s="31">
        <v>143000</v>
      </c>
      <c r="J1756" s="35" t="s">
        <v>207</v>
      </c>
      <c r="K1756" s="36">
        <v>2023</v>
      </c>
    </row>
    <row r="1757" spans="1:11" ht="15" customHeight="1" x14ac:dyDescent="0.3">
      <c r="A1757" s="37">
        <v>1752</v>
      </c>
      <c r="B1757" s="38" t="s">
        <v>3801</v>
      </c>
      <c r="C1757" s="38" t="s">
        <v>3810</v>
      </c>
      <c r="D1757" s="38" t="s">
        <v>48</v>
      </c>
      <c r="E1757" s="38" t="s">
        <v>35</v>
      </c>
      <c r="F1757" s="38" t="s">
        <v>2159</v>
      </c>
      <c r="G1757" s="39">
        <v>1983.9960000000001</v>
      </c>
      <c r="H1757" s="40">
        <v>4.28</v>
      </c>
      <c r="I1757" s="37">
        <v>227800</v>
      </c>
      <c r="J1757" s="41" t="s">
        <v>207</v>
      </c>
      <c r="K1757" s="42">
        <v>2023</v>
      </c>
    </row>
    <row r="1758" spans="1:11" ht="15" customHeight="1" x14ac:dyDescent="0.3">
      <c r="A1758" s="31">
        <v>1753</v>
      </c>
      <c r="B1758" s="32" t="s">
        <v>3801</v>
      </c>
      <c r="C1758" s="32" t="s">
        <v>3811</v>
      </c>
      <c r="D1758" s="32" t="s">
        <v>3812</v>
      </c>
      <c r="E1758" s="32" t="s">
        <v>1387</v>
      </c>
      <c r="F1758" s="32" t="s">
        <v>373</v>
      </c>
      <c r="G1758" s="33">
        <v>1130</v>
      </c>
      <c r="H1758" s="34">
        <v>2.161</v>
      </c>
      <c r="I1758" s="31">
        <v>169000</v>
      </c>
      <c r="J1758" s="35" t="s">
        <v>207</v>
      </c>
      <c r="K1758" s="36">
        <v>2023</v>
      </c>
    </row>
    <row r="1759" spans="1:11" ht="15" customHeight="1" x14ac:dyDescent="0.3">
      <c r="A1759" s="37">
        <v>1754</v>
      </c>
      <c r="B1759" s="38" t="s">
        <v>3801</v>
      </c>
      <c r="C1759" s="38" t="s">
        <v>3813</v>
      </c>
      <c r="D1759" s="38" t="s">
        <v>3814</v>
      </c>
      <c r="E1759" s="38" t="s">
        <v>3815</v>
      </c>
      <c r="F1759" s="38" t="s">
        <v>316</v>
      </c>
      <c r="G1759" s="39">
        <v>242</v>
      </c>
      <c r="H1759" s="40">
        <v>2.2080000000000002</v>
      </c>
      <c r="I1759" s="37">
        <v>171800</v>
      </c>
      <c r="J1759" s="41" t="s">
        <v>207</v>
      </c>
      <c r="K1759" s="42">
        <v>2023</v>
      </c>
    </row>
    <row r="1760" spans="1:11" ht="15" customHeight="1" x14ac:dyDescent="0.3">
      <c r="A1760" s="31">
        <v>1755</v>
      </c>
      <c r="B1760" s="32" t="s">
        <v>3801</v>
      </c>
      <c r="C1760" s="32" t="s">
        <v>3816</v>
      </c>
      <c r="D1760" s="32" t="s">
        <v>2963</v>
      </c>
      <c r="E1760" s="32" t="s">
        <v>37</v>
      </c>
      <c r="F1760" s="32" t="s">
        <v>312</v>
      </c>
      <c r="G1760" s="33">
        <v>100</v>
      </c>
      <c r="H1760" s="34">
        <v>0.67200000000000004</v>
      </c>
      <c r="I1760" s="31">
        <v>145800</v>
      </c>
      <c r="J1760" s="35" t="s">
        <v>207</v>
      </c>
      <c r="K1760" s="36">
        <v>2023</v>
      </c>
    </row>
    <row r="1761" spans="1:11" ht="15" customHeight="1" x14ac:dyDescent="0.3">
      <c r="A1761" s="37">
        <v>1756</v>
      </c>
      <c r="B1761" s="38" t="s">
        <v>3801</v>
      </c>
      <c r="C1761" s="38" t="s">
        <v>3817</v>
      </c>
      <c r="D1761" s="38" t="s">
        <v>3818</v>
      </c>
      <c r="E1761" s="38" t="s">
        <v>3819</v>
      </c>
      <c r="F1761" s="38" t="s">
        <v>386</v>
      </c>
      <c r="G1761" s="39">
        <v>2.7480000000000002</v>
      </c>
      <c r="H1761" s="40">
        <v>2.7480000000000002</v>
      </c>
      <c r="I1761" s="37">
        <v>197000</v>
      </c>
      <c r="J1761" s="41" t="s">
        <v>207</v>
      </c>
      <c r="K1761" s="42">
        <v>2023</v>
      </c>
    </row>
    <row r="1762" spans="1:11" ht="15" customHeight="1" x14ac:dyDescent="0.3">
      <c r="A1762" s="31">
        <v>1757</v>
      </c>
      <c r="B1762" s="32" t="s">
        <v>3367</v>
      </c>
      <c r="C1762" s="32" t="s">
        <v>3820</v>
      </c>
      <c r="D1762" s="32" t="s">
        <v>2640</v>
      </c>
      <c r="E1762" s="32" t="s">
        <v>35</v>
      </c>
      <c r="F1762" s="32" t="s">
        <v>316</v>
      </c>
      <c r="G1762" s="33">
        <v>1000</v>
      </c>
      <c r="H1762" s="34">
        <v>2.5110000000000001</v>
      </c>
      <c r="I1762" s="31">
        <v>227800</v>
      </c>
      <c r="J1762" s="35" t="s">
        <v>207</v>
      </c>
      <c r="K1762" s="36">
        <v>2023</v>
      </c>
    </row>
    <row r="1763" spans="1:11" ht="15" customHeight="1" x14ac:dyDescent="0.3">
      <c r="A1763" s="37">
        <v>1758</v>
      </c>
      <c r="B1763" s="38" t="s">
        <v>3367</v>
      </c>
      <c r="C1763" s="38" t="s">
        <v>3821</v>
      </c>
      <c r="D1763" s="38" t="s">
        <v>3822</v>
      </c>
      <c r="E1763" s="38" t="s">
        <v>416</v>
      </c>
      <c r="F1763" s="38" t="s">
        <v>822</v>
      </c>
      <c r="G1763" s="39">
        <v>2737</v>
      </c>
      <c r="H1763" s="40">
        <v>3.4660000000000002</v>
      </c>
      <c r="I1763" s="37">
        <v>19700</v>
      </c>
      <c r="J1763" s="41" t="s">
        <v>207</v>
      </c>
      <c r="K1763" s="42">
        <v>2023</v>
      </c>
    </row>
    <row r="1764" spans="1:11" ht="15" customHeight="1" x14ac:dyDescent="0.3">
      <c r="A1764" s="31">
        <v>1759</v>
      </c>
      <c r="B1764" s="32" t="s">
        <v>3367</v>
      </c>
      <c r="C1764" s="32" t="s">
        <v>3823</v>
      </c>
      <c r="D1764" s="32" t="s">
        <v>3824</v>
      </c>
      <c r="E1764" s="32" t="s">
        <v>3468</v>
      </c>
      <c r="F1764" s="32" t="s">
        <v>2906</v>
      </c>
      <c r="G1764" s="33">
        <v>62.2</v>
      </c>
      <c r="H1764" s="34">
        <v>0.26400000000000001</v>
      </c>
      <c r="I1764" s="31">
        <v>171800</v>
      </c>
      <c r="J1764" s="35" t="s">
        <v>207</v>
      </c>
      <c r="K1764" s="36">
        <v>2023</v>
      </c>
    </row>
    <row r="1765" spans="1:11" ht="15" customHeight="1" x14ac:dyDescent="0.3">
      <c r="A1765" s="37">
        <v>1760</v>
      </c>
      <c r="B1765" s="38" t="s">
        <v>3367</v>
      </c>
      <c r="C1765" s="38" t="s">
        <v>3825</v>
      </c>
      <c r="D1765" s="38" t="s">
        <v>3824</v>
      </c>
      <c r="E1765" s="38" t="s">
        <v>3826</v>
      </c>
      <c r="F1765" s="38" t="s">
        <v>386</v>
      </c>
      <c r="G1765" s="39">
        <v>818</v>
      </c>
      <c r="H1765" s="40">
        <v>4.8369999999999997</v>
      </c>
      <c r="I1765" s="37">
        <v>283800</v>
      </c>
      <c r="J1765" s="41" t="s">
        <v>207</v>
      </c>
      <c r="K1765" s="42">
        <v>2023</v>
      </c>
    </row>
    <row r="1766" spans="1:11" ht="15" customHeight="1" x14ac:dyDescent="0.3">
      <c r="A1766" s="31">
        <v>1761</v>
      </c>
      <c r="B1766" s="32" t="s">
        <v>360</v>
      </c>
      <c r="C1766" s="32" t="s">
        <v>3827</v>
      </c>
      <c r="D1766" s="32" t="s">
        <v>3828</v>
      </c>
      <c r="E1766" s="32" t="s">
        <v>2935</v>
      </c>
      <c r="F1766" s="32" t="s">
        <v>3829</v>
      </c>
      <c r="G1766" s="33">
        <v>106</v>
      </c>
      <c r="H1766" s="34">
        <v>0.17299999999999999</v>
      </c>
      <c r="I1766" s="31">
        <v>169000</v>
      </c>
      <c r="J1766" s="35" t="s">
        <v>668</v>
      </c>
      <c r="K1766" s="36">
        <v>2023</v>
      </c>
    </row>
    <row r="1767" spans="1:11" ht="15" customHeight="1" x14ac:dyDescent="0.3">
      <c r="A1767" s="37">
        <v>1762</v>
      </c>
      <c r="B1767" s="38" t="s">
        <v>360</v>
      </c>
      <c r="C1767" s="38" t="s">
        <v>3830</v>
      </c>
      <c r="D1767" s="38" t="s">
        <v>52</v>
      </c>
      <c r="E1767" s="38" t="s">
        <v>37</v>
      </c>
      <c r="F1767" s="38" t="s">
        <v>3831</v>
      </c>
      <c r="G1767" s="39">
        <v>310</v>
      </c>
      <c r="H1767" s="40">
        <v>0.76800000000000002</v>
      </c>
      <c r="I1767" s="37">
        <v>143000</v>
      </c>
      <c r="J1767" s="41" t="s">
        <v>668</v>
      </c>
      <c r="K1767" s="42">
        <v>2023</v>
      </c>
    </row>
    <row r="1768" spans="1:11" ht="15" customHeight="1" x14ac:dyDescent="0.3">
      <c r="A1768" s="31">
        <v>1763</v>
      </c>
      <c r="B1768" s="32" t="s">
        <v>360</v>
      </c>
      <c r="C1768" s="32" t="s">
        <v>3832</v>
      </c>
      <c r="D1768" s="32" t="s">
        <v>52</v>
      </c>
      <c r="E1768" s="32" t="s">
        <v>35</v>
      </c>
      <c r="F1768" s="32" t="s">
        <v>316</v>
      </c>
      <c r="G1768" s="33">
        <v>827</v>
      </c>
      <c r="H1768" s="34">
        <v>1.0880000000000001</v>
      </c>
      <c r="I1768" s="31">
        <v>145800</v>
      </c>
      <c r="J1768" s="35" t="s">
        <v>668</v>
      </c>
      <c r="K1768" s="36">
        <v>2023</v>
      </c>
    </row>
    <row r="1769" spans="1:11" ht="15" customHeight="1" x14ac:dyDescent="0.3">
      <c r="A1769" s="37">
        <v>1764</v>
      </c>
      <c r="B1769" s="38" t="s">
        <v>360</v>
      </c>
      <c r="C1769" s="38" t="s">
        <v>3833</v>
      </c>
      <c r="D1769" s="38" t="s">
        <v>3834</v>
      </c>
      <c r="E1769" s="38" t="s">
        <v>39</v>
      </c>
      <c r="F1769" s="38" t="s">
        <v>402</v>
      </c>
      <c r="G1769" s="39">
        <v>300</v>
      </c>
      <c r="H1769" s="40">
        <v>2.0790000000000002</v>
      </c>
      <c r="I1769" s="37">
        <v>171800</v>
      </c>
      <c r="J1769" s="41" t="s">
        <v>668</v>
      </c>
      <c r="K1769" s="42">
        <v>2023</v>
      </c>
    </row>
    <row r="1770" spans="1:11" ht="15" customHeight="1" x14ac:dyDescent="0.3">
      <c r="A1770" s="31">
        <v>1765</v>
      </c>
      <c r="B1770" s="32" t="s">
        <v>360</v>
      </c>
      <c r="C1770" s="32" t="s">
        <v>3835</v>
      </c>
      <c r="D1770" s="32" t="s">
        <v>3836</v>
      </c>
      <c r="E1770" s="32" t="s">
        <v>3837</v>
      </c>
      <c r="F1770" s="32" t="s">
        <v>316</v>
      </c>
      <c r="G1770" s="33">
        <v>305</v>
      </c>
      <c r="H1770" s="34">
        <v>2.125</v>
      </c>
      <c r="I1770" s="31">
        <v>171800</v>
      </c>
      <c r="J1770" s="35" t="s">
        <v>668</v>
      </c>
      <c r="K1770" s="36">
        <v>2023</v>
      </c>
    </row>
    <row r="1771" spans="1:11" ht="15" customHeight="1" x14ac:dyDescent="0.3">
      <c r="A1771" s="37">
        <v>1766</v>
      </c>
      <c r="B1771" s="38" t="s">
        <v>360</v>
      </c>
      <c r="C1771" s="38" t="s">
        <v>3838</v>
      </c>
      <c r="D1771" s="38" t="s">
        <v>3641</v>
      </c>
      <c r="E1771" s="38" t="s">
        <v>35</v>
      </c>
      <c r="F1771" s="38" t="s">
        <v>3831</v>
      </c>
      <c r="G1771" s="39">
        <v>35</v>
      </c>
      <c r="H1771" s="40">
        <v>0.23</v>
      </c>
      <c r="I1771" s="37">
        <v>145800</v>
      </c>
      <c r="J1771" s="41" t="s">
        <v>668</v>
      </c>
      <c r="K1771" s="42">
        <v>2023</v>
      </c>
    </row>
    <row r="1772" spans="1:11" ht="15" customHeight="1" x14ac:dyDescent="0.3">
      <c r="A1772" s="31">
        <v>1767</v>
      </c>
      <c r="B1772" s="32" t="s">
        <v>360</v>
      </c>
      <c r="C1772" s="32" t="s">
        <v>3839</v>
      </c>
      <c r="D1772" s="32" t="s">
        <v>3840</v>
      </c>
      <c r="E1772" s="32" t="s">
        <v>1387</v>
      </c>
      <c r="F1772" s="32" t="s">
        <v>3831</v>
      </c>
      <c r="G1772" s="33">
        <v>930</v>
      </c>
      <c r="H1772" s="34">
        <v>2.9169999999999998</v>
      </c>
      <c r="I1772" s="31">
        <v>197000</v>
      </c>
      <c r="J1772" s="35" t="s">
        <v>668</v>
      </c>
      <c r="K1772" s="36">
        <v>2023</v>
      </c>
    </row>
    <row r="1773" spans="1:11" ht="15" customHeight="1" x14ac:dyDescent="0.3">
      <c r="A1773" s="37">
        <v>1768</v>
      </c>
      <c r="B1773" s="38" t="s">
        <v>360</v>
      </c>
      <c r="C1773" s="38" t="s">
        <v>3841</v>
      </c>
      <c r="D1773" s="38" t="s">
        <v>3842</v>
      </c>
      <c r="E1773" s="38" t="s">
        <v>3843</v>
      </c>
      <c r="F1773" s="38" t="s">
        <v>406</v>
      </c>
      <c r="G1773" s="39">
        <v>566</v>
      </c>
      <c r="H1773" s="40">
        <v>2.7869999999999999</v>
      </c>
      <c r="I1773" s="37">
        <v>199800</v>
      </c>
      <c r="J1773" s="41" t="s">
        <v>668</v>
      </c>
      <c r="K1773" s="42">
        <v>2023</v>
      </c>
    </row>
    <row r="1774" spans="1:11" ht="15" customHeight="1" x14ac:dyDescent="0.3">
      <c r="A1774" s="31">
        <v>1769</v>
      </c>
      <c r="B1774" s="32" t="s">
        <v>360</v>
      </c>
      <c r="C1774" s="32" t="s">
        <v>3844</v>
      </c>
      <c r="D1774" s="32" t="s">
        <v>1386</v>
      </c>
      <c r="E1774" s="32" t="s">
        <v>1387</v>
      </c>
      <c r="F1774" s="32" t="s">
        <v>402</v>
      </c>
      <c r="G1774" s="33">
        <v>1640</v>
      </c>
      <c r="H1774" s="34">
        <v>2.218</v>
      </c>
      <c r="I1774" s="31">
        <v>169000</v>
      </c>
      <c r="J1774" s="35" t="s">
        <v>668</v>
      </c>
      <c r="K1774" s="36">
        <v>2023</v>
      </c>
    </row>
    <row r="1775" spans="1:11" ht="15" customHeight="1" x14ac:dyDescent="0.3">
      <c r="A1775" s="37">
        <v>1770</v>
      </c>
      <c r="B1775" s="38" t="s">
        <v>360</v>
      </c>
      <c r="C1775" s="38" t="s">
        <v>3845</v>
      </c>
      <c r="D1775" s="38" t="s">
        <v>679</v>
      </c>
      <c r="E1775" s="38" t="s">
        <v>3846</v>
      </c>
      <c r="F1775" s="38" t="s">
        <v>1031</v>
      </c>
      <c r="G1775" s="39">
        <v>480</v>
      </c>
      <c r="H1775" s="40">
        <v>3.54</v>
      </c>
      <c r="I1775" s="37">
        <v>227800</v>
      </c>
      <c r="J1775" s="41" t="s">
        <v>668</v>
      </c>
      <c r="K1775" s="42">
        <v>2023</v>
      </c>
    </row>
    <row r="1776" spans="1:11" ht="15" customHeight="1" x14ac:dyDescent="0.3">
      <c r="A1776" s="31">
        <v>1771</v>
      </c>
      <c r="B1776" s="32" t="s">
        <v>360</v>
      </c>
      <c r="C1776" s="32" t="s">
        <v>3847</v>
      </c>
      <c r="D1776" s="32" t="s">
        <v>3848</v>
      </c>
      <c r="E1776" s="32" t="s">
        <v>3849</v>
      </c>
      <c r="F1776" s="32" t="s">
        <v>316</v>
      </c>
      <c r="G1776" s="33">
        <v>2081</v>
      </c>
      <c r="H1776" s="34">
        <v>2</v>
      </c>
      <c r="I1776" s="31">
        <v>171800</v>
      </c>
      <c r="J1776" s="35" t="s">
        <v>668</v>
      </c>
      <c r="K1776" s="36">
        <v>2023</v>
      </c>
    </row>
    <row r="1777" spans="1:11" ht="15" customHeight="1" x14ac:dyDescent="0.3">
      <c r="A1777" s="37">
        <v>1772</v>
      </c>
      <c r="B1777" s="38" t="s">
        <v>360</v>
      </c>
      <c r="C1777" s="38" t="s">
        <v>3850</v>
      </c>
      <c r="D1777" s="38" t="s">
        <v>3851</v>
      </c>
      <c r="E1777" s="38" t="s">
        <v>3852</v>
      </c>
      <c r="F1777" s="38" t="s">
        <v>517</v>
      </c>
      <c r="G1777" s="39">
        <v>854</v>
      </c>
      <c r="H1777" s="40">
        <v>6.5170000000000003</v>
      </c>
      <c r="I1777" s="37">
        <v>311800</v>
      </c>
      <c r="J1777" s="41" t="s">
        <v>668</v>
      </c>
      <c r="K1777" s="42">
        <v>2023</v>
      </c>
    </row>
    <row r="1778" spans="1:11" ht="15" customHeight="1" x14ac:dyDescent="0.3">
      <c r="A1778" s="31">
        <v>1773</v>
      </c>
      <c r="B1778" s="32" t="s">
        <v>3100</v>
      </c>
      <c r="C1778" s="32" t="s">
        <v>3853</v>
      </c>
      <c r="D1778" s="32" t="s">
        <v>3854</v>
      </c>
      <c r="E1778" s="32" t="s">
        <v>2260</v>
      </c>
      <c r="F1778" s="32" t="s">
        <v>3831</v>
      </c>
      <c r="G1778" s="33">
        <v>150.5</v>
      </c>
      <c r="H1778" s="34">
        <v>0.42699999999999999</v>
      </c>
      <c r="I1778" s="31">
        <v>145800</v>
      </c>
      <c r="J1778" s="35" t="s">
        <v>668</v>
      </c>
      <c r="K1778" s="36">
        <v>2023</v>
      </c>
    </row>
    <row r="1779" spans="1:11" ht="15" customHeight="1" x14ac:dyDescent="0.3">
      <c r="A1779" s="37">
        <v>1774</v>
      </c>
      <c r="B1779" s="38" t="s">
        <v>3100</v>
      </c>
      <c r="C1779" s="38" t="s">
        <v>3855</v>
      </c>
      <c r="D1779" s="38" t="s">
        <v>42</v>
      </c>
      <c r="E1779" s="38" t="s">
        <v>35</v>
      </c>
      <c r="F1779" s="38" t="s">
        <v>287</v>
      </c>
      <c r="G1779" s="39">
        <v>280</v>
      </c>
      <c r="H1779" s="40">
        <v>2.0209999999999999</v>
      </c>
      <c r="I1779" s="37">
        <v>171800</v>
      </c>
      <c r="J1779" s="41" t="s">
        <v>668</v>
      </c>
      <c r="K1779" s="42">
        <v>2023</v>
      </c>
    </row>
    <row r="1780" spans="1:11" ht="15" customHeight="1" x14ac:dyDescent="0.3">
      <c r="A1780" s="31">
        <v>1775</v>
      </c>
      <c r="B1780" s="32" t="s">
        <v>3100</v>
      </c>
      <c r="C1780" s="32" t="s">
        <v>3856</v>
      </c>
      <c r="D1780" s="32" t="s">
        <v>3857</v>
      </c>
      <c r="E1780" s="32" t="s">
        <v>41</v>
      </c>
      <c r="F1780" s="32" t="s">
        <v>3858</v>
      </c>
      <c r="G1780" s="33">
        <v>651</v>
      </c>
      <c r="H1780" s="34">
        <v>1.8640000000000001</v>
      </c>
      <c r="I1780" s="31">
        <v>171800</v>
      </c>
      <c r="J1780" s="35" t="s">
        <v>668</v>
      </c>
      <c r="K1780" s="36">
        <v>2023</v>
      </c>
    </row>
    <row r="1781" spans="1:11" ht="15" customHeight="1" x14ac:dyDescent="0.3">
      <c r="A1781" s="37">
        <v>1776</v>
      </c>
      <c r="B1781" s="38" t="s">
        <v>3100</v>
      </c>
      <c r="C1781" s="38" t="s">
        <v>3859</v>
      </c>
      <c r="D1781" s="38" t="s">
        <v>52</v>
      </c>
      <c r="E1781" s="38" t="s">
        <v>37</v>
      </c>
      <c r="F1781" s="38" t="s">
        <v>316</v>
      </c>
      <c r="G1781" s="39">
        <v>1040</v>
      </c>
      <c r="H1781" s="40">
        <v>2.246</v>
      </c>
      <c r="I1781" s="37">
        <v>171800</v>
      </c>
      <c r="J1781" s="41" t="s">
        <v>668</v>
      </c>
      <c r="K1781" s="42">
        <v>2023</v>
      </c>
    </row>
    <row r="1782" spans="1:11" ht="15" customHeight="1" x14ac:dyDescent="0.3">
      <c r="A1782" s="31">
        <v>1777</v>
      </c>
      <c r="B1782" s="32" t="s">
        <v>3100</v>
      </c>
      <c r="C1782" s="32" t="s">
        <v>3860</v>
      </c>
      <c r="D1782" s="32" t="s">
        <v>3861</v>
      </c>
      <c r="E1782" s="32" t="s">
        <v>41</v>
      </c>
      <c r="F1782" s="32" t="s">
        <v>3862</v>
      </c>
      <c r="G1782" s="33">
        <v>297</v>
      </c>
      <c r="H1782" s="34">
        <v>2</v>
      </c>
      <c r="I1782" s="31">
        <v>171800</v>
      </c>
      <c r="J1782" s="35" t="s">
        <v>668</v>
      </c>
      <c r="K1782" s="36">
        <v>2023</v>
      </c>
    </row>
    <row r="1783" spans="1:11" ht="15" customHeight="1" x14ac:dyDescent="0.3">
      <c r="A1783" s="37">
        <v>1778</v>
      </c>
      <c r="B1783" s="38" t="s">
        <v>3100</v>
      </c>
      <c r="C1783" s="38" t="s">
        <v>3863</v>
      </c>
      <c r="D1783" s="38" t="s">
        <v>3864</v>
      </c>
      <c r="E1783" s="38" t="s">
        <v>3865</v>
      </c>
      <c r="F1783" s="38" t="s">
        <v>316</v>
      </c>
      <c r="G1783" s="39">
        <v>715.5</v>
      </c>
      <c r="H1783" s="40">
        <v>1.6339999999999999</v>
      </c>
      <c r="I1783" s="37">
        <v>171800</v>
      </c>
      <c r="J1783" s="41" t="s">
        <v>668</v>
      </c>
      <c r="K1783" s="42">
        <v>2023</v>
      </c>
    </row>
    <row r="1784" spans="1:11" ht="15" customHeight="1" x14ac:dyDescent="0.3">
      <c r="A1784" s="31">
        <v>1779</v>
      </c>
      <c r="B1784" s="32" t="s">
        <v>3100</v>
      </c>
      <c r="C1784" s="32" t="s">
        <v>3866</v>
      </c>
      <c r="D1784" s="32" t="s">
        <v>3867</v>
      </c>
      <c r="E1784" s="32" t="s">
        <v>3868</v>
      </c>
      <c r="F1784" s="32" t="s">
        <v>316</v>
      </c>
      <c r="G1784" s="33">
        <v>435</v>
      </c>
      <c r="H1784" s="34">
        <v>2.5880000000000001</v>
      </c>
      <c r="I1784" s="31">
        <v>199800</v>
      </c>
      <c r="J1784" s="35" t="s">
        <v>668</v>
      </c>
      <c r="K1784" s="36">
        <v>2023</v>
      </c>
    </row>
    <row r="1785" spans="1:11" ht="15" customHeight="1" x14ac:dyDescent="0.3">
      <c r="A1785" s="37">
        <v>1780</v>
      </c>
      <c r="B1785" s="38" t="s">
        <v>3100</v>
      </c>
      <c r="C1785" s="38" t="s">
        <v>3869</v>
      </c>
      <c r="D1785" s="38" t="s">
        <v>3070</v>
      </c>
      <c r="E1785" s="38" t="s">
        <v>3071</v>
      </c>
      <c r="F1785" s="38" t="s">
        <v>316</v>
      </c>
      <c r="G1785" s="39">
        <v>734.5</v>
      </c>
      <c r="H1785" s="40">
        <v>1.76</v>
      </c>
      <c r="I1785" s="37">
        <v>169000</v>
      </c>
      <c r="J1785" s="41" t="s">
        <v>668</v>
      </c>
      <c r="K1785" s="42">
        <v>2023</v>
      </c>
    </row>
    <row r="1786" spans="1:11" ht="15" customHeight="1" x14ac:dyDescent="0.3">
      <c r="A1786" s="31">
        <v>1781</v>
      </c>
      <c r="B1786" s="32" t="s">
        <v>3100</v>
      </c>
      <c r="C1786" s="32" t="s">
        <v>3870</v>
      </c>
      <c r="D1786" s="32" t="s">
        <v>3871</v>
      </c>
      <c r="E1786" s="32" t="s">
        <v>964</v>
      </c>
      <c r="F1786" s="32" t="s">
        <v>312</v>
      </c>
      <c r="G1786" s="33">
        <v>630</v>
      </c>
      <c r="H1786" s="34">
        <v>1.08</v>
      </c>
      <c r="I1786" s="31">
        <v>145800</v>
      </c>
      <c r="J1786" s="35" t="s">
        <v>668</v>
      </c>
      <c r="K1786" s="36">
        <v>2023</v>
      </c>
    </row>
    <row r="1787" spans="1:11" ht="15" customHeight="1" x14ac:dyDescent="0.3">
      <c r="A1787" s="37">
        <v>1782</v>
      </c>
      <c r="B1787" s="38" t="s">
        <v>3100</v>
      </c>
      <c r="C1787" s="38" t="s">
        <v>3872</v>
      </c>
      <c r="D1787" s="38" t="s">
        <v>91</v>
      </c>
      <c r="E1787" s="38" t="s">
        <v>63</v>
      </c>
      <c r="F1787" s="38" t="s">
        <v>435</v>
      </c>
      <c r="G1787" s="39">
        <v>3384.5</v>
      </c>
      <c r="H1787" s="40">
        <v>5.5019999999999998</v>
      </c>
      <c r="I1787" s="37">
        <v>281000</v>
      </c>
      <c r="J1787" s="41" t="s">
        <v>668</v>
      </c>
      <c r="K1787" s="42">
        <v>2023</v>
      </c>
    </row>
    <row r="1788" spans="1:11" ht="15" customHeight="1" x14ac:dyDescent="0.3">
      <c r="A1788" s="31">
        <v>1783</v>
      </c>
      <c r="B1788" s="32" t="s">
        <v>2878</v>
      </c>
      <c r="C1788" s="32" t="s">
        <v>3873</v>
      </c>
      <c r="D1788" s="32" t="s">
        <v>3874</v>
      </c>
      <c r="E1788" s="32" t="s">
        <v>3875</v>
      </c>
      <c r="F1788" s="32" t="s">
        <v>395</v>
      </c>
      <c r="G1788" s="33">
        <v>1377</v>
      </c>
      <c r="H1788" s="34">
        <v>9.298</v>
      </c>
      <c r="I1788" s="31">
        <v>358800</v>
      </c>
      <c r="J1788" s="35" t="s">
        <v>668</v>
      </c>
      <c r="K1788" s="36">
        <v>2023</v>
      </c>
    </row>
    <row r="1789" spans="1:11" ht="15" customHeight="1" x14ac:dyDescent="0.3">
      <c r="A1789" s="37">
        <v>1784</v>
      </c>
      <c r="B1789" s="38" t="s">
        <v>2878</v>
      </c>
      <c r="C1789" s="38" t="s">
        <v>3876</v>
      </c>
      <c r="D1789" s="38" t="s">
        <v>3877</v>
      </c>
      <c r="E1789" s="38" t="s">
        <v>3878</v>
      </c>
      <c r="F1789" s="38" t="s">
        <v>316</v>
      </c>
      <c r="G1789" s="39">
        <v>393</v>
      </c>
      <c r="H1789" s="40">
        <v>7.28</v>
      </c>
      <c r="I1789" s="37">
        <v>311800</v>
      </c>
      <c r="J1789" s="41" t="s">
        <v>668</v>
      </c>
      <c r="K1789" s="42">
        <v>2023</v>
      </c>
    </row>
    <row r="1790" spans="1:11" ht="15" customHeight="1" x14ac:dyDescent="0.3">
      <c r="A1790" s="31">
        <v>1785</v>
      </c>
      <c r="B1790" s="32" t="s">
        <v>2878</v>
      </c>
      <c r="C1790" s="32" t="s">
        <v>3879</v>
      </c>
      <c r="D1790" s="32" t="s">
        <v>62</v>
      </c>
      <c r="E1790" s="32" t="s">
        <v>3671</v>
      </c>
      <c r="F1790" s="32" t="s">
        <v>658</v>
      </c>
      <c r="G1790" s="33">
        <v>1056</v>
      </c>
      <c r="H1790" s="34">
        <v>3.282</v>
      </c>
      <c r="I1790" s="31">
        <v>171800</v>
      </c>
      <c r="J1790" s="35" t="s">
        <v>668</v>
      </c>
      <c r="K1790" s="36">
        <v>2023</v>
      </c>
    </row>
    <row r="1791" spans="1:11" ht="15" customHeight="1" x14ac:dyDescent="0.3">
      <c r="A1791" s="37">
        <v>1786</v>
      </c>
      <c r="B1791" s="38" t="s">
        <v>2878</v>
      </c>
      <c r="C1791" s="38" t="s">
        <v>3879</v>
      </c>
      <c r="D1791" s="38" t="s">
        <v>62</v>
      </c>
      <c r="E1791" s="38" t="s">
        <v>3671</v>
      </c>
      <c r="F1791" s="38" t="s">
        <v>3831</v>
      </c>
      <c r="G1791" s="39">
        <v>510</v>
      </c>
      <c r="H1791" s="40">
        <v>4.0869999999999997</v>
      </c>
      <c r="I1791" s="37">
        <v>255800</v>
      </c>
      <c r="J1791" s="41" t="s">
        <v>668</v>
      </c>
      <c r="K1791" s="42">
        <v>2023</v>
      </c>
    </row>
    <row r="1792" spans="1:11" ht="15" customHeight="1" x14ac:dyDescent="0.3">
      <c r="A1792" s="31">
        <v>1787</v>
      </c>
      <c r="B1792" s="32" t="s">
        <v>2878</v>
      </c>
      <c r="C1792" s="32" t="s">
        <v>3880</v>
      </c>
      <c r="D1792" s="32" t="s">
        <v>3881</v>
      </c>
      <c r="E1792" s="32" t="s">
        <v>3882</v>
      </c>
      <c r="F1792" s="32" t="s">
        <v>3858</v>
      </c>
      <c r="G1792" s="33">
        <v>402.5</v>
      </c>
      <c r="H1792" s="34">
        <v>2.5419999999999998</v>
      </c>
      <c r="I1792" s="31">
        <v>227800</v>
      </c>
      <c r="J1792" s="35" t="s">
        <v>668</v>
      </c>
      <c r="K1792" s="36">
        <v>2023</v>
      </c>
    </row>
    <row r="1793" spans="1:11" ht="15" customHeight="1" x14ac:dyDescent="0.3">
      <c r="A1793" s="37">
        <v>1788</v>
      </c>
      <c r="B1793" s="38" t="s">
        <v>2404</v>
      </c>
      <c r="C1793" s="38" t="s">
        <v>3883</v>
      </c>
      <c r="D1793" s="38" t="s">
        <v>3884</v>
      </c>
      <c r="E1793" s="38" t="s">
        <v>37</v>
      </c>
      <c r="F1793" s="38" t="s">
        <v>3831</v>
      </c>
      <c r="G1793" s="39">
        <v>486</v>
      </c>
      <c r="H1793" s="40">
        <v>0.96</v>
      </c>
      <c r="I1793" s="37">
        <v>145800</v>
      </c>
      <c r="J1793" s="41" t="s">
        <v>668</v>
      </c>
      <c r="K1793" s="42">
        <v>2023</v>
      </c>
    </row>
    <row r="1794" spans="1:11" ht="15" customHeight="1" x14ac:dyDescent="0.3">
      <c r="A1794" s="31">
        <v>1789</v>
      </c>
      <c r="B1794" s="32" t="s">
        <v>2404</v>
      </c>
      <c r="C1794" s="32" t="s">
        <v>3885</v>
      </c>
      <c r="D1794" s="32" t="s">
        <v>848</v>
      </c>
      <c r="E1794" s="32" t="s">
        <v>3886</v>
      </c>
      <c r="F1794" s="32" t="s">
        <v>373</v>
      </c>
      <c r="G1794" s="33">
        <v>1335</v>
      </c>
      <c r="H1794" s="34">
        <v>4.399</v>
      </c>
      <c r="I1794" s="31">
        <v>225000</v>
      </c>
      <c r="J1794" s="35" t="s">
        <v>668</v>
      </c>
      <c r="K1794" s="36">
        <v>2023</v>
      </c>
    </row>
    <row r="1795" spans="1:11" ht="15" customHeight="1" x14ac:dyDescent="0.3">
      <c r="A1795" s="37">
        <v>1790</v>
      </c>
      <c r="B1795" s="38" t="s">
        <v>2404</v>
      </c>
      <c r="C1795" s="38" t="s">
        <v>3887</v>
      </c>
      <c r="D1795" s="38" t="s">
        <v>42</v>
      </c>
      <c r="E1795" s="38" t="s">
        <v>35</v>
      </c>
      <c r="F1795" s="38" t="s">
        <v>406</v>
      </c>
      <c r="G1795" s="39">
        <v>139</v>
      </c>
      <c r="H1795" s="40">
        <v>0.85399999999999998</v>
      </c>
      <c r="I1795" s="37">
        <v>145800</v>
      </c>
      <c r="J1795" s="41" t="s">
        <v>668</v>
      </c>
      <c r="K1795" s="42">
        <v>2023</v>
      </c>
    </row>
    <row r="1796" spans="1:11" ht="15" customHeight="1" x14ac:dyDescent="0.3">
      <c r="A1796" s="31">
        <v>1791</v>
      </c>
      <c r="B1796" s="32" t="s">
        <v>2404</v>
      </c>
      <c r="C1796" s="32" t="s">
        <v>3888</v>
      </c>
      <c r="D1796" s="32" t="s">
        <v>3889</v>
      </c>
      <c r="E1796" s="32" t="s">
        <v>3890</v>
      </c>
      <c r="F1796" s="32" t="s">
        <v>316</v>
      </c>
      <c r="G1796" s="33">
        <v>1778.0820000000001</v>
      </c>
      <c r="H1796" s="34">
        <v>3.3980000000000001</v>
      </c>
      <c r="I1796" s="31">
        <v>199800</v>
      </c>
      <c r="J1796" s="35" t="s">
        <v>668</v>
      </c>
      <c r="K1796" s="36">
        <v>2023</v>
      </c>
    </row>
    <row r="1797" spans="1:11" ht="15" customHeight="1" x14ac:dyDescent="0.3">
      <c r="A1797" s="37">
        <v>1792</v>
      </c>
      <c r="B1797" s="38" t="s">
        <v>2404</v>
      </c>
      <c r="C1797" s="38" t="s">
        <v>3891</v>
      </c>
      <c r="D1797" s="38" t="s">
        <v>3892</v>
      </c>
      <c r="E1797" s="38" t="s">
        <v>35</v>
      </c>
      <c r="F1797" s="38" t="s">
        <v>335</v>
      </c>
      <c r="G1797" s="39">
        <v>649</v>
      </c>
      <c r="H1797" s="40">
        <v>1.7070000000000001</v>
      </c>
      <c r="I1797" s="37">
        <v>171800</v>
      </c>
      <c r="J1797" s="41" t="s">
        <v>668</v>
      </c>
      <c r="K1797" s="42">
        <v>2023</v>
      </c>
    </row>
    <row r="1798" spans="1:11" ht="15" customHeight="1" x14ac:dyDescent="0.3">
      <c r="A1798" s="31">
        <v>1793</v>
      </c>
      <c r="B1798" s="32" t="s">
        <v>2404</v>
      </c>
      <c r="C1798" s="32" t="s">
        <v>3893</v>
      </c>
      <c r="D1798" s="32" t="s">
        <v>3894</v>
      </c>
      <c r="E1798" s="32" t="s">
        <v>3895</v>
      </c>
      <c r="F1798" s="32" t="s">
        <v>937</v>
      </c>
      <c r="G1798" s="33">
        <v>2006</v>
      </c>
      <c r="H1798" s="34">
        <v>7.5030000000000001</v>
      </c>
      <c r="I1798" s="31">
        <v>331800</v>
      </c>
      <c r="J1798" s="35" t="s">
        <v>668</v>
      </c>
      <c r="K1798" s="36">
        <v>2023</v>
      </c>
    </row>
    <row r="1799" spans="1:11" ht="15" customHeight="1" x14ac:dyDescent="0.3">
      <c r="A1799" s="37">
        <v>1794</v>
      </c>
      <c r="B1799" s="38" t="s">
        <v>2404</v>
      </c>
      <c r="C1799" s="38" t="s">
        <v>3896</v>
      </c>
      <c r="D1799" s="38" t="s">
        <v>3897</v>
      </c>
      <c r="E1799" s="38" t="s">
        <v>39</v>
      </c>
      <c r="F1799" s="38" t="s">
        <v>316</v>
      </c>
      <c r="G1799" s="39">
        <v>407</v>
      </c>
      <c r="H1799" s="40">
        <v>2.1459999999999999</v>
      </c>
      <c r="I1799" s="37">
        <v>171800</v>
      </c>
      <c r="J1799" s="41" t="s">
        <v>668</v>
      </c>
      <c r="K1799" s="42">
        <v>2023</v>
      </c>
    </row>
    <row r="1800" spans="1:11" ht="15" customHeight="1" x14ac:dyDescent="0.3">
      <c r="A1800" s="31">
        <v>1795</v>
      </c>
      <c r="B1800" s="32" t="s">
        <v>2404</v>
      </c>
      <c r="C1800" s="32" t="s">
        <v>3898</v>
      </c>
      <c r="D1800" s="32" t="s">
        <v>467</v>
      </c>
      <c r="E1800" s="32" t="s">
        <v>35</v>
      </c>
      <c r="F1800" s="32" t="s">
        <v>406</v>
      </c>
      <c r="G1800" s="33">
        <v>1827</v>
      </c>
      <c r="H1800" s="34">
        <v>2.1920000000000002</v>
      </c>
      <c r="I1800" s="31">
        <v>171800</v>
      </c>
      <c r="J1800" s="35" t="s">
        <v>668</v>
      </c>
      <c r="K1800" s="36">
        <v>2023</v>
      </c>
    </row>
    <row r="1801" spans="1:11" ht="15" customHeight="1" x14ac:dyDescent="0.3">
      <c r="A1801" s="37">
        <v>1796</v>
      </c>
      <c r="B1801" s="38" t="s">
        <v>2404</v>
      </c>
      <c r="C1801" s="38" t="s">
        <v>3899</v>
      </c>
      <c r="D1801" s="38" t="s">
        <v>3900</v>
      </c>
      <c r="E1801" s="38" t="s">
        <v>37</v>
      </c>
      <c r="F1801" s="38" t="s">
        <v>3831</v>
      </c>
      <c r="G1801" s="39">
        <v>645</v>
      </c>
      <c r="H1801" s="40">
        <v>0.90200000000000002</v>
      </c>
      <c r="I1801" s="37">
        <v>145800</v>
      </c>
      <c r="J1801" s="41" t="s">
        <v>668</v>
      </c>
      <c r="K1801" s="42">
        <v>2023</v>
      </c>
    </row>
    <row r="1802" spans="1:11" ht="15" customHeight="1" x14ac:dyDescent="0.3">
      <c r="A1802" s="31">
        <v>1797</v>
      </c>
      <c r="B1802" s="32" t="s">
        <v>2404</v>
      </c>
      <c r="C1802" s="32" t="s">
        <v>3901</v>
      </c>
      <c r="D1802" s="32" t="s">
        <v>91</v>
      </c>
      <c r="E1802" s="32" t="s">
        <v>215</v>
      </c>
      <c r="F1802" s="32" t="s">
        <v>3902</v>
      </c>
      <c r="G1802" s="33">
        <v>160.9</v>
      </c>
      <c r="H1802" s="34">
        <v>0.76800000000000002</v>
      </c>
      <c r="I1802" s="31">
        <v>169000</v>
      </c>
      <c r="J1802" s="35" t="s">
        <v>668</v>
      </c>
      <c r="K1802" s="36">
        <v>2023</v>
      </c>
    </row>
    <row r="1803" spans="1:11" ht="15" customHeight="1" x14ac:dyDescent="0.3">
      <c r="A1803" s="37">
        <v>1798</v>
      </c>
      <c r="B1803" s="38" t="s">
        <v>2404</v>
      </c>
      <c r="C1803" s="38" t="s">
        <v>3903</v>
      </c>
      <c r="D1803" s="38" t="s">
        <v>2781</v>
      </c>
      <c r="E1803" s="38" t="s">
        <v>3904</v>
      </c>
      <c r="F1803" s="38" t="s">
        <v>3831</v>
      </c>
      <c r="G1803" s="39">
        <v>517.5</v>
      </c>
      <c r="H1803" s="40">
        <v>1.133</v>
      </c>
      <c r="I1803" s="37">
        <v>145800</v>
      </c>
      <c r="J1803" s="41" t="s">
        <v>668</v>
      </c>
      <c r="K1803" s="42">
        <v>2023</v>
      </c>
    </row>
    <row r="1804" spans="1:11" ht="15" customHeight="1" x14ac:dyDescent="0.3">
      <c r="A1804" s="31">
        <v>1799</v>
      </c>
      <c r="B1804" s="32" t="s">
        <v>360</v>
      </c>
      <c r="C1804" s="32" t="s">
        <v>3905</v>
      </c>
      <c r="D1804" s="32" t="s">
        <v>413</v>
      </c>
      <c r="E1804" s="32" t="s">
        <v>35</v>
      </c>
      <c r="F1804" s="32" t="s">
        <v>373</v>
      </c>
      <c r="G1804" s="33">
        <v>1772</v>
      </c>
      <c r="H1804" s="34">
        <v>4.9470000000000001</v>
      </c>
      <c r="I1804" s="31">
        <v>283800</v>
      </c>
      <c r="J1804" s="35" t="s">
        <v>805</v>
      </c>
      <c r="K1804" s="36">
        <v>2023</v>
      </c>
    </row>
    <row r="1805" spans="1:11" ht="15" customHeight="1" x14ac:dyDescent="0.3">
      <c r="A1805" s="37">
        <v>1800</v>
      </c>
      <c r="B1805" s="38" t="s">
        <v>360</v>
      </c>
      <c r="C1805" s="38" t="s">
        <v>3906</v>
      </c>
      <c r="D1805" s="38" t="s">
        <v>3907</v>
      </c>
      <c r="E1805" s="38" t="s">
        <v>2614</v>
      </c>
      <c r="F1805" s="38" t="s">
        <v>533</v>
      </c>
      <c r="G1805" s="39">
        <v>2145.0100000000002</v>
      </c>
      <c r="H1805" s="40">
        <v>8.8320000000000007</v>
      </c>
      <c r="I1805" s="37">
        <v>358800</v>
      </c>
      <c r="J1805" s="41" t="s">
        <v>805</v>
      </c>
      <c r="K1805" s="42">
        <v>2023</v>
      </c>
    </row>
    <row r="1806" spans="1:11" ht="15" customHeight="1" x14ac:dyDescent="0.3">
      <c r="A1806" s="31">
        <v>1801</v>
      </c>
      <c r="B1806" s="32" t="s">
        <v>360</v>
      </c>
      <c r="C1806" s="32" t="s">
        <v>3908</v>
      </c>
      <c r="D1806" s="32" t="s">
        <v>52</v>
      </c>
      <c r="E1806" s="32" t="s">
        <v>37</v>
      </c>
      <c r="F1806" s="32" t="s">
        <v>276</v>
      </c>
      <c r="G1806" s="33">
        <v>357</v>
      </c>
      <c r="H1806" s="34">
        <v>0.432</v>
      </c>
      <c r="I1806" s="31">
        <v>145800</v>
      </c>
      <c r="J1806" s="35" t="s">
        <v>805</v>
      </c>
      <c r="K1806" s="36">
        <v>2023</v>
      </c>
    </row>
    <row r="1807" spans="1:11" ht="15" customHeight="1" x14ac:dyDescent="0.3">
      <c r="A1807" s="37">
        <v>1802</v>
      </c>
      <c r="B1807" s="38" t="s">
        <v>360</v>
      </c>
      <c r="C1807" s="38" t="s">
        <v>3909</v>
      </c>
      <c r="D1807" s="38" t="s">
        <v>3910</v>
      </c>
      <c r="E1807" s="38" t="s">
        <v>3911</v>
      </c>
      <c r="F1807" s="38" t="s">
        <v>276</v>
      </c>
      <c r="G1807" s="39">
        <v>386</v>
      </c>
      <c r="H1807" s="40">
        <v>1.5840000000000001</v>
      </c>
      <c r="I1807" s="37">
        <v>171800</v>
      </c>
      <c r="J1807" s="41" t="s">
        <v>805</v>
      </c>
      <c r="K1807" s="42">
        <v>2023</v>
      </c>
    </row>
    <row r="1808" spans="1:11" ht="15" customHeight="1" x14ac:dyDescent="0.3">
      <c r="A1808" s="31">
        <v>1803</v>
      </c>
      <c r="B1808" s="32" t="s">
        <v>360</v>
      </c>
      <c r="C1808" s="32" t="s">
        <v>3912</v>
      </c>
      <c r="D1808" s="32" t="s">
        <v>3913</v>
      </c>
      <c r="E1808" s="32" t="s">
        <v>41</v>
      </c>
      <c r="F1808" s="32" t="s">
        <v>312</v>
      </c>
      <c r="G1808" s="33">
        <v>546</v>
      </c>
      <c r="H1808" s="34">
        <v>1.1719999999999999</v>
      </c>
      <c r="I1808" s="31">
        <v>145800</v>
      </c>
      <c r="J1808" s="35" t="s">
        <v>805</v>
      </c>
      <c r="K1808" s="36">
        <v>2023</v>
      </c>
    </row>
    <row r="1809" spans="1:11" ht="15" customHeight="1" x14ac:dyDescent="0.3">
      <c r="A1809" s="37">
        <v>1804</v>
      </c>
      <c r="B1809" s="38" t="s">
        <v>360</v>
      </c>
      <c r="C1809" s="38" t="s">
        <v>3914</v>
      </c>
      <c r="D1809" s="38" t="s">
        <v>3913</v>
      </c>
      <c r="E1809" s="38" t="s">
        <v>3915</v>
      </c>
      <c r="F1809" s="38" t="s">
        <v>316</v>
      </c>
      <c r="G1809" s="39">
        <v>621</v>
      </c>
      <c r="H1809" s="40">
        <v>1.786</v>
      </c>
      <c r="I1809" s="37">
        <v>171800</v>
      </c>
      <c r="J1809" s="41" t="s">
        <v>805</v>
      </c>
      <c r="K1809" s="42">
        <v>2023</v>
      </c>
    </row>
    <row r="1810" spans="1:11" ht="15" customHeight="1" x14ac:dyDescent="0.3">
      <c r="A1810" s="31">
        <v>1805</v>
      </c>
      <c r="B1810" s="32" t="s">
        <v>360</v>
      </c>
      <c r="C1810" s="32" t="s">
        <v>3916</v>
      </c>
      <c r="D1810" s="32" t="s">
        <v>3917</v>
      </c>
      <c r="E1810" s="32" t="s">
        <v>2556</v>
      </c>
      <c r="F1810" s="32" t="s">
        <v>386</v>
      </c>
      <c r="G1810" s="33">
        <v>537</v>
      </c>
      <c r="H1810" s="34">
        <v>2.9239999999999999</v>
      </c>
      <c r="I1810" s="31">
        <v>199800</v>
      </c>
      <c r="J1810" s="35" t="s">
        <v>805</v>
      </c>
      <c r="K1810" s="36">
        <v>2023</v>
      </c>
    </row>
    <row r="1811" spans="1:11" ht="15" customHeight="1" x14ac:dyDescent="0.3">
      <c r="A1811" s="37">
        <v>1806</v>
      </c>
      <c r="B1811" s="38" t="s">
        <v>360</v>
      </c>
      <c r="C1811" s="38" t="s">
        <v>3918</v>
      </c>
      <c r="D1811" s="38" t="s">
        <v>3919</v>
      </c>
      <c r="E1811" s="38" t="s">
        <v>2889</v>
      </c>
      <c r="F1811" s="38" t="s">
        <v>316</v>
      </c>
      <c r="G1811" s="39">
        <v>442</v>
      </c>
      <c r="H1811" s="40">
        <v>1.6259999999999999</v>
      </c>
      <c r="I1811" s="37">
        <v>199800</v>
      </c>
      <c r="J1811" s="41" t="s">
        <v>805</v>
      </c>
      <c r="K1811" s="42">
        <v>2023</v>
      </c>
    </row>
    <row r="1812" spans="1:11" ht="15" customHeight="1" x14ac:dyDescent="0.3">
      <c r="A1812" s="31">
        <v>1807</v>
      </c>
      <c r="B1812" s="32" t="s">
        <v>360</v>
      </c>
      <c r="C1812" s="32" t="s">
        <v>3920</v>
      </c>
      <c r="D1812" s="32" t="s">
        <v>48</v>
      </c>
      <c r="E1812" s="32" t="s">
        <v>35</v>
      </c>
      <c r="F1812" s="32" t="s">
        <v>276</v>
      </c>
      <c r="G1812" s="33">
        <v>258</v>
      </c>
      <c r="H1812" s="34">
        <v>0.76800000000000002</v>
      </c>
      <c r="I1812" s="31">
        <v>171800</v>
      </c>
      <c r="J1812" s="35" t="s">
        <v>805</v>
      </c>
      <c r="K1812" s="36">
        <v>2023</v>
      </c>
    </row>
    <row r="1813" spans="1:11" ht="15" customHeight="1" x14ac:dyDescent="0.3">
      <c r="A1813" s="37">
        <v>1808</v>
      </c>
      <c r="B1813" s="38" t="s">
        <v>360</v>
      </c>
      <c r="C1813" s="38" t="s">
        <v>3921</v>
      </c>
      <c r="D1813" s="38" t="s">
        <v>2937</v>
      </c>
      <c r="E1813" s="38" t="s">
        <v>3922</v>
      </c>
      <c r="F1813" s="38" t="s">
        <v>329</v>
      </c>
      <c r="G1813" s="39">
        <v>1260</v>
      </c>
      <c r="H1813" s="40">
        <v>3.3559999999999999</v>
      </c>
      <c r="I1813" s="37">
        <v>227800</v>
      </c>
      <c r="J1813" s="41" t="s">
        <v>805</v>
      </c>
      <c r="K1813" s="42">
        <v>2023</v>
      </c>
    </row>
    <row r="1814" spans="1:11" ht="15" customHeight="1" x14ac:dyDescent="0.3">
      <c r="A1814" s="31">
        <v>1809</v>
      </c>
      <c r="B1814" s="32" t="s">
        <v>3923</v>
      </c>
      <c r="C1814" s="32" t="s">
        <v>3924</v>
      </c>
      <c r="D1814" s="32" t="s">
        <v>2913</v>
      </c>
      <c r="E1814" s="32" t="s">
        <v>35</v>
      </c>
      <c r="F1814" s="32" t="s">
        <v>386</v>
      </c>
      <c r="G1814" s="33">
        <v>5760</v>
      </c>
      <c r="H1814" s="34">
        <v>1.425</v>
      </c>
      <c r="I1814" s="31">
        <v>331800</v>
      </c>
      <c r="J1814" s="35" t="s">
        <v>805</v>
      </c>
      <c r="K1814" s="36">
        <v>2023</v>
      </c>
    </row>
    <row r="1815" spans="1:11" ht="15" customHeight="1" x14ac:dyDescent="0.3">
      <c r="A1815" s="37">
        <v>1810</v>
      </c>
      <c r="B1815" s="38" t="s">
        <v>3923</v>
      </c>
      <c r="C1815" s="38" t="s">
        <v>3925</v>
      </c>
      <c r="D1815" s="38" t="s">
        <v>3579</v>
      </c>
      <c r="E1815" s="38" t="s">
        <v>764</v>
      </c>
      <c r="F1815" s="38" t="s">
        <v>316</v>
      </c>
      <c r="G1815" s="39">
        <v>1173.5999999999999</v>
      </c>
      <c r="H1815" s="40">
        <v>2.3740000000000001</v>
      </c>
      <c r="I1815" s="37">
        <v>169000</v>
      </c>
      <c r="J1815" s="41" t="s">
        <v>805</v>
      </c>
      <c r="K1815" s="42">
        <v>2023</v>
      </c>
    </row>
    <row r="1816" spans="1:11" ht="15" customHeight="1" x14ac:dyDescent="0.3">
      <c r="A1816" s="31">
        <v>1811</v>
      </c>
      <c r="B1816" s="32" t="s">
        <v>3923</v>
      </c>
      <c r="C1816" s="32" t="s">
        <v>3926</v>
      </c>
      <c r="D1816" s="32" t="s">
        <v>3927</v>
      </c>
      <c r="E1816" s="32" t="s">
        <v>3928</v>
      </c>
      <c r="F1816" s="32" t="s">
        <v>569</v>
      </c>
      <c r="G1816" s="33">
        <v>196</v>
      </c>
      <c r="H1816" s="34">
        <v>2.71</v>
      </c>
      <c r="I1816" s="31">
        <v>199800</v>
      </c>
      <c r="J1816" s="35" t="s">
        <v>805</v>
      </c>
      <c r="K1816" s="36">
        <v>2023</v>
      </c>
    </row>
    <row r="1817" spans="1:11" ht="15" customHeight="1" x14ac:dyDescent="0.3">
      <c r="A1817" s="37">
        <v>1812</v>
      </c>
      <c r="B1817" s="38" t="s">
        <v>3923</v>
      </c>
      <c r="C1817" s="38" t="s">
        <v>3929</v>
      </c>
      <c r="D1817" s="38" t="s">
        <v>3930</v>
      </c>
      <c r="E1817" s="38" t="s">
        <v>3931</v>
      </c>
      <c r="F1817" s="38" t="s">
        <v>312</v>
      </c>
      <c r="G1817" s="39">
        <v>250</v>
      </c>
      <c r="H1817" s="40">
        <v>2.9159999999999999</v>
      </c>
      <c r="I1817" s="37">
        <v>197000</v>
      </c>
      <c r="J1817" s="41" t="s">
        <v>805</v>
      </c>
      <c r="K1817" s="42">
        <v>2023</v>
      </c>
    </row>
    <row r="1818" spans="1:11" ht="15" customHeight="1" x14ac:dyDescent="0.3">
      <c r="A1818" s="31">
        <v>1813</v>
      </c>
      <c r="B1818" s="32" t="s">
        <v>3923</v>
      </c>
      <c r="C1818" s="32" t="s">
        <v>3932</v>
      </c>
      <c r="D1818" s="32" t="s">
        <v>470</v>
      </c>
      <c r="E1818" s="32" t="s">
        <v>471</v>
      </c>
      <c r="F1818" s="32" t="s">
        <v>3933</v>
      </c>
      <c r="G1818" s="33">
        <v>376</v>
      </c>
      <c r="H1818" s="34">
        <v>1.3160000000000001</v>
      </c>
      <c r="I1818" s="31">
        <v>145800</v>
      </c>
      <c r="J1818" s="35" t="s">
        <v>805</v>
      </c>
      <c r="K1818" s="36">
        <v>2023</v>
      </c>
    </row>
    <row r="1819" spans="1:11" ht="15" customHeight="1" x14ac:dyDescent="0.3">
      <c r="A1819" s="37">
        <v>1814</v>
      </c>
      <c r="B1819" s="38" t="s">
        <v>3923</v>
      </c>
      <c r="C1819" s="38" t="s">
        <v>3934</v>
      </c>
      <c r="D1819" s="38" t="s">
        <v>50</v>
      </c>
      <c r="E1819" s="38" t="s">
        <v>3084</v>
      </c>
      <c r="F1819" s="38" t="s">
        <v>306</v>
      </c>
      <c r="G1819" s="39">
        <v>54</v>
      </c>
      <c r="H1819" s="40">
        <v>0.14399999999999999</v>
      </c>
      <c r="I1819" s="37">
        <v>143000</v>
      </c>
      <c r="J1819" s="41" t="s">
        <v>805</v>
      </c>
      <c r="K1819" s="42">
        <v>2023</v>
      </c>
    </row>
    <row r="1820" spans="1:11" ht="15" customHeight="1" x14ac:dyDescent="0.3">
      <c r="A1820" s="31">
        <v>1815</v>
      </c>
      <c r="B1820" s="32" t="s">
        <v>3923</v>
      </c>
      <c r="C1820" s="32" t="s">
        <v>3935</v>
      </c>
      <c r="D1820" s="32" t="s">
        <v>50</v>
      </c>
      <c r="E1820" s="32" t="s">
        <v>3084</v>
      </c>
      <c r="F1820" s="32" t="s">
        <v>3933</v>
      </c>
      <c r="G1820" s="33">
        <v>2000</v>
      </c>
      <c r="H1820" s="34">
        <v>3.12</v>
      </c>
      <c r="I1820" s="31">
        <v>199800</v>
      </c>
      <c r="J1820" s="35" t="s">
        <v>805</v>
      </c>
      <c r="K1820" s="36">
        <v>2023</v>
      </c>
    </row>
    <row r="1821" spans="1:11" ht="15" customHeight="1" x14ac:dyDescent="0.3">
      <c r="A1821" s="37">
        <v>1816</v>
      </c>
      <c r="B1821" s="38" t="s">
        <v>3923</v>
      </c>
      <c r="C1821" s="38" t="s">
        <v>3936</v>
      </c>
      <c r="D1821" s="38" t="s">
        <v>36</v>
      </c>
      <c r="E1821" s="38" t="s">
        <v>37</v>
      </c>
      <c r="F1821" s="38" t="s">
        <v>306</v>
      </c>
      <c r="G1821" s="39">
        <v>1175</v>
      </c>
      <c r="H1821" s="40">
        <v>2.37</v>
      </c>
      <c r="I1821" s="37">
        <v>171800</v>
      </c>
      <c r="J1821" s="41" t="s">
        <v>805</v>
      </c>
      <c r="K1821" s="42">
        <v>2023</v>
      </c>
    </row>
    <row r="1822" spans="1:11" ht="15" customHeight="1" x14ac:dyDescent="0.3">
      <c r="A1822" s="31">
        <v>1817</v>
      </c>
      <c r="B1822" s="32" t="s">
        <v>3923</v>
      </c>
      <c r="C1822" s="32" t="s">
        <v>3937</v>
      </c>
      <c r="D1822" s="32" t="s">
        <v>3938</v>
      </c>
      <c r="E1822" s="32" t="s">
        <v>3939</v>
      </c>
      <c r="F1822" s="32" t="s">
        <v>276</v>
      </c>
      <c r="G1822" s="33">
        <v>497.1</v>
      </c>
      <c r="H1822" s="34">
        <v>0.85</v>
      </c>
      <c r="I1822" s="31">
        <v>145800</v>
      </c>
      <c r="J1822" s="35" t="s">
        <v>805</v>
      </c>
      <c r="K1822" s="36">
        <v>2023</v>
      </c>
    </row>
    <row r="1823" spans="1:11" ht="15" customHeight="1" x14ac:dyDescent="0.3">
      <c r="A1823" s="37">
        <v>1818</v>
      </c>
      <c r="B1823" s="38" t="s">
        <v>2488</v>
      </c>
      <c r="C1823" s="38" t="s">
        <v>3940</v>
      </c>
      <c r="D1823" s="38" t="s">
        <v>3941</v>
      </c>
      <c r="E1823" s="38" t="s">
        <v>2820</v>
      </c>
      <c r="F1823" s="38" t="s">
        <v>3942</v>
      </c>
      <c r="G1823" s="39">
        <v>8704.2000000000007</v>
      </c>
      <c r="H1823" s="40">
        <v>16.082000000000001</v>
      </c>
      <c r="I1823" s="37">
        <v>383000</v>
      </c>
      <c r="J1823" s="41" t="s">
        <v>805</v>
      </c>
      <c r="K1823" s="42">
        <v>2023</v>
      </c>
    </row>
    <row r="1824" spans="1:11" ht="15" customHeight="1" x14ac:dyDescent="0.3">
      <c r="A1824" s="31">
        <v>1819</v>
      </c>
      <c r="B1824" s="32" t="s">
        <v>2488</v>
      </c>
      <c r="C1824" s="32" t="s">
        <v>3943</v>
      </c>
      <c r="D1824" s="32" t="s">
        <v>3944</v>
      </c>
      <c r="E1824" s="32" t="s">
        <v>3647</v>
      </c>
      <c r="F1824" s="32" t="s">
        <v>276</v>
      </c>
      <c r="G1824" s="33">
        <v>67</v>
      </c>
      <c r="H1824" s="34">
        <v>0.70599999999999996</v>
      </c>
      <c r="I1824" s="31">
        <v>145800</v>
      </c>
      <c r="J1824" s="35" t="s">
        <v>805</v>
      </c>
      <c r="K1824" s="36">
        <v>2023</v>
      </c>
    </row>
    <row r="1825" spans="1:11" ht="15" customHeight="1" x14ac:dyDescent="0.3">
      <c r="A1825" s="37">
        <v>1820</v>
      </c>
      <c r="B1825" s="38" t="s">
        <v>2488</v>
      </c>
      <c r="C1825" s="38" t="s">
        <v>3945</v>
      </c>
      <c r="D1825" s="38" t="s">
        <v>3946</v>
      </c>
      <c r="E1825" s="38" t="s">
        <v>818</v>
      </c>
      <c r="F1825" s="38" t="s">
        <v>386</v>
      </c>
      <c r="G1825" s="39">
        <v>1280</v>
      </c>
      <c r="H1825" s="40">
        <v>3.1680000000000001</v>
      </c>
      <c r="I1825" s="37">
        <v>199800</v>
      </c>
      <c r="J1825" s="41" t="s">
        <v>805</v>
      </c>
      <c r="K1825" s="42">
        <v>2023</v>
      </c>
    </row>
    <row r="1826" spans="1:11" ht="15" customHeight="1" x14ac:dyDescent="0.3">
      <c r="A1826" s="31">
        <v>1821</v>
      </c>
      <c r="B1826" s="32" t="s">
        <v>2488</v>
      </c>
      <c r="C1826" s="32" t="s">
        <v>3947</v>
      </c>
      <c r="D1826" s="32" t="s">
        <v>3948</v>
      </c>
      <c r="E1826" s="32" t="s">
        <v>3298</v>
      </c>
      <c r="F1826" s="32" t="s">
        <v>312</v>
      </c>
      <c r="G1826" s="33">
        <v>119</v>
      </c>
      <c r="H1826" s="34">
        <v>0.748</v>
      </c>
      <c r="I1826" s="31">
        <v>169000</v>
      </c>
      <c r="J1826" s="35" t="s">
        <v>805</v>
      </c>
      <c r="K1826" s="36">
        <v>2023</v>
      </c>
    </row>
    <row r="1827" spans="1:11" ht="15" customHeight="1" x14ac:dyDescent="0.3">
      <c r="A1827" s="37">
        <v>1822</v>
      </c>
      <c r="B1827" s="38" t="s">
        <v>2488</v>
      </c>
      <c r="C1827" s="38" t="s">
        <v>3949</v>
      </c>
      <c r="D1827" s="38" t="s">
        <v>2415</v>
      </c>
      <c r="E1827" s="38" t="s">
        <v>3298</v>
      </c>
      <c r="F1827" s="38" t="s">
        <v>316</v>
      </c>
      <c r="G1827" s="39">
        <v>594</v>
      </c>
      <c r="H1827" s="40">
        <v>2.266</v>
      </c>
      <c r="I1827" s="37">
        <v>171800</v>
      </c>
      <c r="J1827" s="41" t="s">
        <v>805</v>
      </c>
      <c r="K1827" s="42">
        <v>2023</v>
      </c>
    </row>
    <row r="1828" spans="1:11" ht="15" customHeight="1" x14ac:dyDescent="0.3">
      <c r="A1828" s="31">
        <v>1823</v>
      </c>
      <c r="B1828" s="32" t="s">
        <v>2488</v>
      </c>
      <c r="C1828" s="32" t="s">
        <v>3950</v>
      </c>
      <c r="D1828" s="32" t="s">
        <v>3951</v>
      </c>
      <c r="E1828" s="32" t="s">
        <v>3952</v>
      </c>
      <c r="F1828" s="32" t="s">
        <v>316</v>
      </c>
      <c r="G1828" s="33">
        <v>1288</v>
      </c>
      <c r="H1828" s="34">
        <v>2.1120000000000001</v>
      </c>
      <c r="I1828" s="31">
        <v>169000</v>
      </c>
      <c r="J1828" s="35" t="s">
        <v>805</v>
      </c>
      <c r="K1828" s="36">
        <v>2023</v>
      </c>
    </row>
    <row r="1829" spans="1:11" ht="15" customHeight="1" x14ac:dyDescent="0.3">
      <c r="A1829" s="37">
        <v>1824</v>
      </c>
      <c r="B1829" s="38" t="s">
        <v>3801</v>
      </c>
      <c r="C1829" s="38" t="s">
        <v>3953</v>
      </c>
      <c r="D1829" s="38" t="s">
        <v>3954</v>
      </c>
      <c r="E1829" s="38" t="s">
        <v>35</v>
      </c>
      <c r="F1829" s="38" t="s">
        <v>3955</v>
      </c>
      <c r="G1829" s="39">
        <v>14040</v>
      </c>
      <c r="H1829" s="40">
        <v>2.9670000000000001</v>
      </c>
      <c r="I1829" s="37">
        <v>493800</v>
      </c>
      <c r="J1829" s="41" t="s">
        <v>920</v>
      </c>
      <c r="K1829" s="42">
        <v>2023</v>
      </c>
    </row>
    <row r="1830" spans="1:11" ht="15" customHeight="1" x14ac:dyDescent="0.3">
      <c r="A1830" s="31">
        <v>1825</v>
      </c>
      <c r="B1830" s="32" t="s">
        <v>3801</v>
      </c>
      <c r="C1830" s="32" t="s">
        <v>3956</v>
      </c>
      <c r="D1830" s="32" t="s">
        <v>3957</v>
      </c>
      <c r="E1830" s="32" t="s">
        <v>3958</v>
      </c>
      <c r="F1830" s="32" t="s">
        <v>287</v>
      </c>
      <c r="G1830" s="33">
        <v>591.99900000000002</v>
      </c>
      <c r="H1830" s="34">
        <v>5.6849999999999996</v>
      </c>
      <c r="I1830" s="31">
        <v>283800</v>
      </c>
      <c r="J1830" s="35" t="s">
        <v>920</v>
      </c>
      <c r="K1830" s="36">
        <v>2023</v>
      </c>
    </row>
    <row r="1831" spans="1:11" ht="15" customHeight="1" x14ac:dyDescent="0.3">
      <c r="A1831" s="37">
        <v>1826</v>
      </c>
      <c r="B1831" s="38" t="s">
        <v>3801</v>
      </c>
      <c r="C1831" s="38" t="s">
        <v>3959</v>
      </c>
      <c r="D1831" s="38" t="s">
        <v>3960</v>
      </c>
      <c r="E1831" s="38" t="s">
        <v>3961</v>
      </c>
      <c r="F1831" s="38" t="s">
        <v>316</v>
      </c>
      <c r="G1831" s="39">
        <v>1370.5</v>
      </c>
      <c r="H1831" s="40">
        <v>2.79</v>
      </c>
      <c r="I1831" s="37">
        <v>199800</v>
      </c>
      <c r="J1831" s="41" t="s">
        <v>920</v>
      </c>
      <c r="K1831" s="42">
        <v>2023</v>
      </c>
    </row>
    <row r="1832" spans="1:11" ht="15" customHeight="1" x14ac:dyDescent="0.3">
      <c r="A1832" s="31">
        <v>1827</v>
      </c>
      <c r="B1832" s="32" t="s">
        <v>3801</v>
      </c>
      <c r="C1832" s="32" t="s">
        <v>3962</v>
      </c>
      <c r="D1832" s="32" t="s">
        <v>3963</v>
      </c>
      <c r="E1832" s="32" t="s">
        <v>35</v>
      </c>
      <c r="F1832" s="32" t="s">
        <v>287</v>
      </c>
      <c r="G1832" s="33">
        <v>1900</v>
      </c>
      <c r="H1832" s="34">
        <v>4.3949999999999996</v>
      </c>
      <c r="I1832" s="31">
        <v>283800</v>
      </c>
      <c r="J1832" s="35" t="s">
        <v>920</v>
      </c>
      <c r="K1832" s="36">
        <v>2023</v>
      </c>
    </row>
    <row r="1833" spans="1:11" ht="15" customHeight="1" x14ac:dyDescent="0.3">
      <c r="A1833" s="37">
        <v>1828</v>
      </c>
      <c r="B1833" s="38" t="s">
        <v>3801</v>
      </c>
      <c r="C1833" s="38" t="s">
        <v>3964</v>
      </c>
      <c r="D1833" s="38" t="s">
        <v>2552</v>
      </c>
      <c r="E1833" s="38" t="s">
        <v>3447</v>
      </c>
      <c r="F1833" s="38" t="s">
        <v>3831</v>
      </c>
      <c r="G1833" s="39">
        <v>665</v>
      </c>
      <c r="H1833" s="40">
        <v>1.4630000000000001</v>
      </c>
      <c r="I1833" s="37">
        <v>143000</v>
      </c>
      <c r="J1833" s="41" t="s">
        <v>920</v>
      </c>
      <c r="K1833" s="42">
        <v>2023</v>
      </c>
    </row>
    <row r="1834" spans="1:11" ht="15" customHeight="1" x14ac:dyDescent="0.3">
      <c r="A1834" s="31">
        <v>1829</v>
      </c>
      <c r="B1834" s="32" t="s">
        <v>3801</v>
      </c>
      <c r="C1834" s="32" t="s">
        <v>3965</v>
      </c>
      <c r="D1834" s="32" t="s">
        <v>3966</v>
      </c>
      <c r="E1834" s="32" t="s">
        <v>2614</v>
      </c>
      <c r="F1834" s="32" t="s">
        <v>287</v>
      </c>
      <c r="G1834" s="33">
        <v>960</v>
      </c>
      <c r="H1834" s="34">
        <v>4.7809999999999997</v>
      </c>
      <c r="I1834" s="31">
        <v>255800</v>
      </c>
      <c r="J1834" s="35" t="s">
        <v>920</v>
      </c>
      <c r="K1834" s="36">
        <v>2023</v>
      </c>
    </row>
    <row r="1835" spans="1:11" ht="15" customHeight="1" x14ac:dyDescent="0.3">
      <c r="A1835" s="37">
        <v>1830</v>
      </c>
      <c r="B1835" s="38" t="s">
        <v>3801</v>
      </c>
      <c r="C1835" s="38" t="s">
        <v>3967</v>
      </c>
      <c r="D1835" s="38" t="s">
        <v>3968</v>
      </c>
      <c r="E1835" s="38" t="s">
        <v>3969</v>
      </c>
      <c r="F1835" s="38" t="s">
        <v>3831</v>
      </c>
      <c r="G1835" s="39">
        <v>200</v>
      </c>
      <c r="H1835" s="40">
        <v>1.704</v>
      </c>
      <c r="I1835" s="37">
        <v>169000</v>
      </c>
      <c r="J1835" s="41" t="s">
        <v>920</v>
      </c>
      <c r="K1835" s="42">
        <v>2023</v>
      </c>
    </row>
    <row r="1836" spans="1:11" ht="15" customHeight="1" x14ac:dyDescent="0.3">
      <c r="A1836" s="31">
        <v>1831</v>
      </c>
      <c r="B1836" s="32" t="s">
        <v>2404</v>
      </c>
      <c r="C1836" s="32" t="s">
        <v>3970</v>
      </c>
      <c r="D1836" s="32" t="s">
        <v>3971</v>
      </c>
      <c r="E1836" s="32" t="s">
        <v>55</v>
      </c>
      <c r="F1836" s="32" t="s">
        <v>287</v>
      </c>
      <c r="G1836" s="33">
        <v>1388</v>
      </c>
      <c r="H1836" s="34">
        <v>4.6079999999999997</v>
      </c>
      <c r="I1836" s="31">
        <v>281000</v>
      </c>
      <c r="J1836" s="35" t="s">
        <v>920</v>
      </c>
      <c r="K1836" s="36">
        <v>2023</v>
      </c>
    </row>
    <row r="1837" spans="1:11" ht="15" customHeight="1" x14ac:dyDescent="0.3">
      <c r="A1837" s="37">
        <v>1832</v>
      </c>
      <c r="B1837" s="38" t="s">
        <v>2404</v>
      </c>
      <c r="C1837" s="38" t="s">
        <v>3972</v>
      </c>
      <c r="D1837" s="38" t="s">
        <v>3973</v>
      </c>
      <c r="E1837" s="38" t="s">
        <v>37</v>
      </c>
      <c r="F1837" s="38" t="s">
        <v>3831</v>
      </c>
      <c r="G1837" s="39">
        <v>394</v>
      </c>
      <c r="H1837" s="40">
        <v>1.363</v>
      </c>
      <c r="I1837" s="37">
        <v>145800</v>
      </c>
      <c r="J1837" s="41" t="s">
        <v>920</v>
      </c>
      <c r="K1837" s="42">
        <v>2023</v>
      </c>
    </row>
    <row r="1838" spans="1:11" ht="15" customHeight="1" x14ac:dyDescent="0.3">
      <c r="A1838" s="31">
        <v>1833</v>
      </c>
      <c r="B1838" s="32" t="s">
        <v>2404</v>
      </c>
      <c r="C1838" s="32" t="s">
        <v>3974</v>
      </c>
      <c r="D1838" s="32" t="s">
        <v>3975</v>
      </c>
      <c r="E1838" s="32" t="s">
        <v>3976</v>
      </c>
      <c r="F1838" s="32" t="s">
        <v>2126</v>
      </c>
      <c r="G1838" s="33">
        <v>1449.2</v>
      </c>
      <c r="H1838" s="34">
        <v>0.78100000000000003</v>
      </c>
      <c r="I1838" s="31">
        <v>169000</v>
      </c>
      <c r="J1838" s="35" t="s">
        <v>920</v>
      </c>
      <c r="K1838" s="36">
        <v>2023</v>
      </c>
    </row>
    <row r="1839" spans="1:11" ht="15" customHeight="1" x14ac:dyDescent="0.3">
      <c r="A1839" s="37">
        <v>1834</v>
      </c>
      <c r="B1839" s="38" t="s">
        <v>2404</v>
      </c>
      <c r="C1839" s="38" t="s">
        <v>3977</v>
      </c>
      <c r="D1839" s="38" t="s">
        <v>3941</v>
      </c>
      <c r="E1839" s="38" t="s">
        <v>63</v>
      </c>
      <c r="F1839" s="38" t="s">
        <v>2159</v>
      </c>
      <c r="G1839" s="39">
        <v>8604.2000000000007</v>
      </c>
      <c r="H1839" s="40">
        <v>16.632000000000001</v>
      </c>
      <c r="I1839" s="37">
        <v>383000</v>
      </c>
      <c r="J1839" s="41" t="s">
        <v>920</v>
      </c>
      <c r="K1839" s="42">
        <v>2023</v>
      </c>
    </row>
    <row r="1840" spans="1:11" ht="15" customHeight="1" x14ac:dyDescent="0.3">
      <c r="A1840" s="31">
        <v>1835</v>
      </c>
      <c r="B1840" s="32" t="s">
        <v>2404</v>
      </c>
      <c r="C1840" s="32" t="s">
        <v>3978</v>
      </c>
      <c r="D1840" s="32" t="s">
        <v>3979</v>
      </c>
      <c r="E1840" s="32" t="s">
        <v>45</v>
      </c>
      <c r="F1840" s="32" t="s">
        <v>3831</v>
      </c>
      <c r="G1840" s="33">
        <v>102.06</v>
      </c>
      <c r="H1840" s="34">
        <v>0.79300000000000004</v>
      </c>
      <c r="I1840" s="31">
        <v>169000</v>
      </c>
      <c r="J1840" s="35" t="s">
        <v>920</v>
      </c>
      <c r="K1840" s="36">
        <v>2023</v>
      </c>
    </row>
    <row r="1841" spans="1:11" ht="15" customHeight="1" x14ac:dyDescent="0.3">
      <c r="A1841" s="37">
        <v>1836</v>
      </c>
      <c r="B1841" s="38" t="s">
        <v>2404</v>
      </c>
      <c r="C1841" s="38" t="s">
        <v>3980</v>
      </c>
      <c r="D1841" s="38" t="s">
        <v>3981</v>
      </c>
      <c r="E1841" s="38" t="s">
        <v>3982</v>
      </c>
      <c r="F1841" s="38" t="s">
        <v>3831</v>
      </c>
      <c r="G1841" s="39">
        <v>402</v>
      </c>
      <c r="H1841" s="40">
        <v>1.44</v>
      </c>
      <c r="I1841" s="37">
        <v>145800</v>
      </c>
      <c r="J1841" s="41" t="s">
        <v>920</v>
      </c>
      <c r="K1841" s="42">
        <v>2023</v>
      </c>
    </row>
    <row r="1842" spans="1:11" ht="15" customHeight="1" x14ac:dyDescent="0.3">
      <c r="A1842" s="31">
        <v>1837</v>
      </c>
      <c r="B1842" s="32" t="s">
        <v>2404</v>
      </c>
      <c r="C1842" s="32" t="s">
        <v>3983</v>
      </c>
      <c r="D1842" s="32" t="s">
        <v>3984</v>
      </c>
      <c r="E1842" s="32" t="s">
        <v>37</v>
      </c>
      <c r="F1842" s="32" t="s">
        <v>316</v>
      </c>
      <c r="G1842" s="33">
        <v>556</v>
      </c>
      <c r="H1842" s="34">
        <v>1.444</v>
      </c>
      <c r="I1842" s="31">
        <v>145800</v>
      </c>
      <c r="J1842" s="35" t="s">
        <v>920</v>
      </c>
      <c r="K1842" s="36">
        <v>2023</v>
      </c>
    </row>
    <row r="1843" spans="1:11" ht="15" customHeight="1" x14ac:dyDescent="0.3">
      <c r="A1843" s="37">
        <v>1838</v>
      </c>
      <c r="B1843" s="38" t="s">
        <v>2404</v>
      </c>
      <c r="C1843" s="38" t="s">
        <v>3985</v>
      </c>
      <c r="D1843" s="38" t="s">
        <v>3986</v>
      </c>
      <c r="E1843" s="38" t="s">
        <v>35</v>
      </c>
      <c r="F1843" s="38" t="s">
        <v>335</v>
      </c>
      <c r="G1843" s="39">
        <v>1602.5</v>
      </c>
      <c r="H1843" s="40">
        <v>6.4733000000000001</v>
      </c>
      <c r="I1843" s="37">
        <v>331800</v>
      </c>
      <c r="J1843" s="41" t="s">
        <v>920</v>
      </c>
      <c r="K1843" s="42">
        <v>2023</v>
      </c>
    </row>
    <row r="1844" spans="1:11" ht="15" customHeight="1" x14ac:dyDescent="0.3">
      <c r="A1844" s="31">
        <v>1839</v>
      </c>
      <c r="B1844" s="32" t="s">
        <v>2404</v>
      </c>
      <c r="C1844" s="32" t="s">
        <v>3987</v>
      </c>
      <c r="D1844" s="32" t="s">
        <v>3988</v>
      </c>
      <c r="E1844" s="32" t="s">
        <v>3989</v>
      </c>
      <c r="F1844" s="32" t="s">
        <v>2738</v>
      </c>
      <c r="G1844" s="33">
        <v>3180</v>
      </c>
      <c r="H1844" s="34">
        <v>3.8159999999999998</v>
      </c>
      <c r="I1844" s="31">
        <v>225000</v>
      </c>
      <c r="J1844" s="35" t="s">
        <v>920</v>
      </c>
      <c r="K1844" s="36">
        <v>2023</v>
      </c>
    </row>
    <row r="1845" spans="1:11" ht="15" customHeight="1" x14ac:dyDescent="0.3">
      <c r="A1845" s="37">
        <v>1840</v>
      </c>
      <c r="B1845" s="38" t="s">
        <v>2404</v>
      </c>
      <c r="C1845" s="38" t="s">
        <v>3990</v>
      </c>
      <c r="D1845" s="38" t="s">
        <v>2811</v>
      </c>
      <c r="E1845" s="38" t="s">
        <v>2935</v>
      </c>
      <c r="F1845" s="38" t="s">
        <v>316</v>
      </c>
      <c r="G1845" s="39">
        <v>134</v>
      </c>
      <c r="H1845" s="40">
        <v>1.0620000000000001</v>
      </c>
      <c r="I1845" s="37">
        <v>145800</v>
      </c>
      <c r="J1845" s="41" t="s">
        <v>920</v>
      </c>
      <c r="K1845" s="42">
        <v>2023</v>
      </c>
    </row>
    <row r="1846" spans="1:11" ht="15" customHeight="1" x14ac:dyDescent="0.3">
      <c r="A1846" s="31">
        <v>1841</v>
      </c>
      <c r="B1846" s="32" t="s">
        <v>2404</v>
      </c>
      <c r="C1846" s="32" t="s">
        <v>3991</v>
      </c>
      <c r="D1846" s="32" t="s">
        <v>3992</v>
      </c>
      <c r="E1846" s="32" t="s">
        <v>1975</v>
      </c>
      <c r="F1846" s="32" t="s">
        <v>323</v>
      </c>
      <c r="G1846" s="33">
        <v>6</v>
      </c>
      <c r="H1846" s="34">
        <v>2.4E-2</v>
      </c>
      <c r="I1846" s="31">
        <v>143000</v>
      </c>
      <c r="J1846" s="35" t="s">
        <v>920</v>
      </c>
      <c r="K1846" s="36">
        <v>2023</v>
      </c>
    </row>
    <row r="1847" spans="1:11" ht="15" customHeight="1" x14ac:dyDescent="0.3">
      <c r="A1847" s="37">
        <v>1842</v>
      </c>
      <c r="B1847" s="38" t="s">
        <v>2404</v>
      </c>
      <c r="C1847" s="38" t="s">
        <v>3993</v>
      </c>
      <c r="D1847" s="38" t="s">
        <v>3994</v>
      </c>
      <c r="E1847" s="38" t="s">
        <v>3084</v>
      </c>
      <c r="F1847" s="38" t="s">
        <v>689</v>
      </c>
      <c r="G1847" s="39">
        <v>3000.33</v>
      </c>
      <c r="H1847" s="40">
        <v>9.0289999999999999</v>
      </c>
      <c r="I1847" s="37">
        <v>356000</v>
      </c>
      <c r="J1847" s="41" t="s">
        <v>920</v>
      </c>
      <c r="K1847" s="42">
        <v>2023</v>
      </c>
    </row>
    <row r="1848" spans="1:11" ht="15" customHeight="1" x14ac:dyDescent="0.3">
      <c r="A1848" s="31">
        <v>1843</v>
      </c>
      <c r="B1848" s="32" t="s">
        <v>2404</v>
      </c>
      <c r="C1848" s="32" t="s">
        <v>3995</v>
      </c>
      <c r="D1848" s="32" t="s">
        <v>3996</v>
      </c>
      <c r="E1848" s="32" t="s">
        <v>39</v>
      </c>
      <c r="F1848" s="32" t="s">
        <v>312</v>
      </c>
      <c r="G1848" s="33">
        <v>400</v>
      </c>
      <c r="H1848" s="34">
        <v>1.8009999999999999</v>
      </c>
      <c r="I1848" s="31">
        <v>199800</v>
      </c>
      <c r="J1848" s="35" t="s">
        <v>920</v>
      </c>
      <c r="K1848" s="36">
        <v>2023</v>
      </c>
    </row>
    <row r="1849" spans="1:11" ht="15" customHeight="1" x14ac:dyDescent="0.3">
      <c r="A1849" s="37">
        <v>1844</v>
      </c>
      <c r="B1849" s="38" t="s">
        <v>2404</v>
      </c>
      <c r="C1849" s="38" t="s">
        <v>3997</v>
      </c>
      <c r="D1849" s="38" t="s">
        <v>3998</v>
      </c>
      <c r="E1849" s="38" t="s">
        <v>35</v>
      </c>
      <c r="F1849" s="38" t="s">
        <v>316</v>
      </c>
      <c r="G1849" s="39">
        <v>2326</v>
      </c>
      <c r="H1849" s="40">
        <v>2.04</v>
      </c>
      <c r="I1849" s="37">
        <v>255800</v>
      </c>
      <c r="J1849" s="41" t="s">
        <v>920</v>
      </c>
      <c r="K1849" s="42">
        <v>2023</v>
      </c>
    </row>
    <row r="1850" spans="1:11" ht="15" customHeight="1" x14ac:dyDescent="0.3">
      <c r="A1850" s="31">
        <v>1845</v>
      </c>
      <c r="B1850" s="32" t="s">
        <v>2404</v>
      </c>
      <c r="C1850" s="32" t="s">
        <v>3999</v>
      </c>
      <c r="D1850" s="32" t="s">
        <v>3752</v>
      </c>
      <c r="E1850" s="32" t="s">
        <v>3418</v>
      </c>
      <c r="F1850" s="32" t="s">
        <v>3831</v>
      </c>
      <c r="G1850" s="33">
        <v>585.6</v>
      </c>
      <c r="H1850" s="34">
        <v>1.61</v>
      </c>
      <c r="I1850" s="31">
        <v>199800</v>
      </c>
      <c r="J1850" s="35" t="s">
        <v>920</v>
      </c>
      <c r="K1850" s="36">
        <v>2023</v>
      </c>
    </row>
    <row r="1851" spans="1:11" ht="15" customHeight="1" x14ac:dyDescent="0.3">
      <c r="A1851" s="37">
        <v>1846</v>
      </c>
      <c r="B1851" s="38" t="s">
        <v>3133</v>
      </c>
      <c r="C1851" s="38" t="s">
        <v>4000</v>
      </c>
      <c r="D1851" s="38" t="s">
        <v>4001</v>
      </c>
      <c r="E1851" s="38" t="s">
        <v>35</v>
      </c>
      <c r="F1851" s="38" t="s">
        <v>312</v>
      </c>
      <c r="G1851" s="39">
        <v>1305</v>
      </c>
      <c r="H1851" s="40">
        <v>1.1299999999999999</v>
      </c>
      <c r="I1851" s="37">
        <v>311800</v>
      </c>
      <c r="J1851" s="41" t="s">
        <v>1006</v>
      </c>
      <c r="K1851" s="42">
        <v>2023</v>
      </c>
    </row>
    <row r="1852" spans="1:11" ht="15" customHeight="1" x14ac:dyDescent="0.3">
      <c r="A1852" s="31">
        <v>1847</v>
      </c>
      <c r="B1852" s="32" t="s">
        <v>3133</v>
      </c>
      <c r="C1852" s="32" t="s">
        <v>4002</v>
      </c>
      <c r="D1852" s="32" t="s">
        <v>4003</v>
      </c>
      <c r="E1852" s="32" t="s">
        <v>4004</v>
      </c>
      <c r="F1852" s="32" t="s">
        <v>316</v>
      </c>
      <c r="G1852" s="33">
        <v>1489</v>
      </c>
      <c r="H1852" s="34">
        <v>3.512</v>
      </c>
      <c r="I1852" s="31">
        <v>227800</v>
      </c>
      <c r="J1852" s="35" t="s">
        <v>1006</v>
      </c>
      <c r="K1852" s="36">
        <v>2023</v>
      </c>
    </row>
    <row r="1853" spans="1:11" ht="15" customHeight="1" x14ac:dyDescent="0.3">
      <c r="A1853" s="37">
        <v>1848</v>
      </c>
      <c r="B1853" s="38" t="s">
        <v>3133</v>
      </c>
      <c r="C1853" s="38" t="s">
        <v>4005</v>
      </c>
      <c r="D1853" s="38" t="s">
        <v>4006</v>
      </c>
      <c r="E1853" s="38" t="s">
        <v>477</v>
      </c>
      <c r="F1853" s="38" t="s">
        <v>1388</v>
      </c>
      <c r="G1853" s="39">
        <v>28</v>
      </c>
      <c r="H1853" s="40">
        <v>9.8000000000000004E-2</v>
      </c>
      <c r="I1853" s="37">
        <v>145800</v>
      </c>
      <c r="J1853" s="41" t="s">
        <v>1006</v>
      </c>
      <c r="K1853" s="42">
        <v>2023</v>
      </c>
    </row>
    <row r="1854" spans="1:11" ht="15" customHeight="1" x14ac:dyDescent="0.3">
      <c r="A1854" s="31">
        <v>1849</v>
      </c>
      <c r="B1854" s="32" t="s">
        <v>3133</v>
      </c>
      <c r="C1854" s="32" t="s">
        <v>4007</v>
      </c>
      <c r="D1854" s="32" t="s">
        <v>4008</v>
      </c>
      <c r="E1854" s="32" t="s">
        <v>4009</v>
      </c>
      <c r="F1854" s="32" t="s">
        <v>4010</v>
      </c>
      <c r="G1854" s="33">
        <v>1009.63</v>
      </c>
      <c r="H1854" s="34">
        <v>2.778</v>
      </c>
      <c r="I1854" s="31">
        <v>199800</v>
      </c>
      <c r="J1854" s="35" t="s">
        <v>1006</v>
      </c>
      <c r="K1854" s="36">
        <v>2023</v>
      </c>
    </row>
    <row r="1855" spans="1:11" ht="15" customHeight="1" x14ac:dyDescent="0.3">
      <c r="A1855" s="37">
        <v>1850</v>
      </c>
      <c r="B1855" s="38" t="s">
        <v>3133</v>
      </c>
      <c r="C1855" s="38" t="s">
        <v>4011</v>
      </c>
      <c r="D1855" s="38" t="s">
        <v>3701</v>
      </c>
      <c r="E1855" s="38" t="s">
        <v>35</v>
      </c>
      <c r="F1855" s="38" t="s">
        <v>276</v>
      </c>
      <c r="G1855" s="39">
        <v>173</v>
      </c>
      <c r="H1855" s="40">
        <v>0.192</v>
      </c>
      <c r="I1855" s="37">
        <v>199800</v>
      </c>
      <c r="J1855" s="41" t="s">
        <v>1006</v>
      </c>
      <c r="K1855" s="42">
        <v>2023</v>
      </c>
    </row>
    <row r="1856" spans="1:11" ht="15" customHeight="1" x14ac:dyDescent="0.3">
      <c r="A1856" s="31">
        <v>1851</v>
      </c>
      <c r="B1856" s="32" t="s">
        <v>3133</v>
      </c>
      <c r="C1856" s="32" t="s">
        <v>4012</v>
      </c>
      <c r="D1856" s="32" t="s">
        <v>2608</v>
      </c>
      <c r="E1856" s="32" t="s">
        <v>55</v>
      </c>
      <c r="F1856" s="32" t="s">
        <v>287</v>
      </c>
      <c r="G1856" s="33">
        <v>1431.3420000000001</v>
      </c>
      <c r="H1856" s="34">
        <v>2.5049999999999999</v>
      </c>
      <c r="I1856" s="31">
        <v>197000</v>
      </c>
      <c r="J1856" s="35" t="s">
        <v>1006</v>
      </c>
      <c r="K1856" s="36">
        <v>2023</v>
      </c>
    </row>
    <row r="1857" spans="1:11" ht="15" customHeight="1" x14ac:dyDescent="0.3">
      <c r="A1857" s="37">
        <v>1852</v>
      </c>
      <c r="B1857" s="38" t="s">
        <v>3133</v>
      </c>
      <c r="C1857" s="38" t="s">
        <v>4013</v>
      </c>
      <c r="D1857" s="38" t="s">
        <v>4014</v>
      </c>
      <c r="E1857" s="38" t="s">
        <v>35</v>
      </c>
      <c r="F1857" s="38" t="s">
        <v>316</v>
      </c>
      <c r="G1857" s="39">
        <v>1460</v>
      </c>
      <c r="H1857" s="40">
        <v>0.84</v>
      </c>
      <c r="I1857" s="37">
        <v>311800</v>
      </c>
      <c r="J1857" s="41" t="s">
        <v>1006</v>
      </c>
      <c r="K1857" s="42">
        <v>2023</v>
      </c>
    </row>
    <row r="1858" spans="1:11" ht="15" customHeight="1" x14ac:dyDescent="0.3">
      <c r="A1858" s="31">
        <v>1853</v>
      </c>
      <c r="B1858" s="32" t="s">
        <v>3133</v>
      </c>
      <c r="C1858" s="32" t="s">
        <v>4015</v>
      </c>
      <c r="D1858" s="32" t="s">
        <v>4016</v>
      </c>
      <c r="E1858" s="32" t="s">
        <v>448</v>
      </c>
      <c r="F1858" s="32" t="s">
        <v>276</v>
      </c>
      <c r="G1858" s="33">
        <v>565</v>
      </c>
      <c r="H1858" s="34">
        <v>1.42</v>
      </c>
      <c r="I1858" s="31">
        <v>143000</v>
      </c>
      <c r="J1858" s="35" t="s">
        <v>1006</v>
      </c>
      <c r="K1858" s="36">
        <v>2023</v>
      </c>
    </row>
    <row r="1859" spans="1:11" ht="15" customHeight="1" x14ac:dyDescent="0.3">
      <c r="A1859" s="37">
        <v>1854</v>
      </c>
      <c r="B1859" s="38" t="s">
        <v>3133</v>
      </c>
      <c r="C1859" s="38" t="s">
        <v>4017</v>
      </c>
      <c r="D1859" s="38" t="s">
        <v>36</v>
      </c>
      <c r="E1859" s="38" t="s">
        <v>37</v>
      </c>
      <c r="F1859" s="38" t="s">
        <v>312</v>
      </c>
      <c r="G1859" s="39">
        <v>1420</v>
      </c>
      <c r="H1859" s="40">
        <v>1.468</v>
      </c>
      <c r="I1859" s="37">
        <v>145800</v>
      </c>
      <c r="J1859" s="41" t="s">
        <v>1006</v>
      </c>
      <c r="K1859" s="42">
        <v>2023</v>
      </c>
    </row>
    <row r="1860" spans="1:11" ht="15" customHeight="1" x14ac:dyDescent="0.3">
      <c r="A1860" s="31">
        <v>1855</v>
      </c>
      <c r="B1860" s="32" t="s">
        <v>3133</v>
      </c>
      <c r="C1860" s="32" t="s">
        <v>4018</v>
      </c>
      <c r="D1860" s="32" t="s">
        <v>48</v>
      </c>
      <c r="E1860" s="32" t="s">
        <v>35</v>
      </c>
      <c r="F1860" s="32" t="s">
        <v>486</v>
      </c>
      <c r="G1860" s="33">
        <v>4116</v>
      </c>
      <c r="H1860" s="34">
        <v>11.753</v>
      </c>
      <c r="I1860" s="31">
        <v>466800</v>
      </c>
      <c r="J1860" s="35" t="s">
        <v>1006</v>
      </c>
      <c r="K1860" s="36">
        <v>2023</v>
      </c>
    </row>
    <row r="1861" spans="1:11" ht="15" customHeight="1" x14ac:dyDescent="0.3">
      <c r="A1861" s="37">
        <v>1856</v>
      </c>
      <c r="B1861" s="38" t="s">
        <v>3133</v>
      </c>
      <c r="C1861" s="38" t="s">
        <v>4019</v>
      </c>
      <c r="D1861" s="38" t="s">
        <v>48</v>
      </c>
      <c r="E1861" s="38" t="s">
        <v>35</v>
      </c>
      <c r="F1861" s="38" t="s">
        <v>287</v>
      </c>
      <c r="G1861" s="39">
        <v>525</v>
      </c>
      <c r="H1861" s="40">
        <v>0.77800000000000002</v>
      </c>
      <c r="I1861" s="37">
        <v>227800</v>
      </c>
      <c r="J1861" s="41" t="s">
        <v>1006</v>
      </c>
      <c r="K1861" s="42">
        <v>2023</v>
      </c>
    </row>
    <row r="1862" spans="1:11" ht="15" customHeight="1" x14ac:dyDescent="0.3">
      <c r="A1862" s="31">
        <v>1857</v>
      </c>
      <c r="B1862" s="32" t="s">
        <v>3133</v>
      </c>
      <c r="C1862" s="32" t="s">
        <v>4020</v>
      </c>
      <c r="D1862" s="32" t="s">
        <v>453</v>
      </c>
      <c r="E1862" s="32" t="s">
        <v>1746</v>
      </c>
      <c r="F1862" s="32" t="s">
        <v>435</v>
      </c>
      <c r="G1862" s="33">
        <v>3101</v>
      </c>
      <c r="H1862" s="34">
        <v>5.3040000000000003</v>
      </c>
      <c r="I1862" s="31">
        <v>253000</v>
      </c>
      <c r="J1862" s="35" t="s">
        <v>1006</v>
      </c>
      <c r="K1862" s="36">
        <v>2023</v>
      </c>
    </row>
    <row r="1863" spans="1:11" ht="15" customHeight="1" x14ac:dyDescent="0.3">
      <c r="A1863" s="37">
        <v>1858</v>
      </c>
      <c r="B1863" s="38" t="s">
        <v>3133</v>
      </c>
      <c r="C1863" s="38" t="s">
        <v>4021</v>
      </c>
      <c r="D1863" s="38" t="s">
        <v>841</v>
      </c>
      <c r="E1863" s="38" t="s">
        <v>37</v>
      </c>
      <c r="F1863" s="38" t="s">
        <v>4022</v>
      </c>
      <c r="G1863" s="39">
        <v>490</v>
      </c>
      <c r="H1863" s="40">
        <v>1.099</v>
      </c>
      <c r="I1863" s="37">
        <v>145800</v>
      </c>
      <c r="J1863" s="41" t="s">
        <v>1006</v>
      </c>
      <c r="K1863" s="42">
        <v>2023</v>
      </c>
    </row>
    <row r="1864" spans="1:11" ht="15" customHeight="1" x14ac:dyDescent="0.3">
      <c r="A1864" s="31">
        <v>1859</v>
      </c>
      <c r="B1864" s="32" t="s">
        <v>3133</v>
      </c>
      <c r="C1864" s="32" t="s">
        <v>4023</v>
      </c>
      <c r="D1864" s="32" t="s">
        <v>4024</v>
      </c>
      <c r="E1864" s="32" t="s">
        <v>4025</v>
      </c>
      <c r="F1864" s="32" t="s">
        <v>395</v>
      </c>
      <c r="G1864" s="33">
        <v>3580</v>
      </c>
      <c r="H1864" s="34">
        <v>8.6769999999999996</v>
      </c>
      <c r="I1864" s="31">
        <v>356000</v>
      </c>
      <c r="J1864" s="35" t="s">
        <v>1006</v>
      </c>
      <c r="K1864" s="36">
        <v>2023</v>
      </c>
    </row>
    <row r="1865" spans="1:11" ht="15" customHeight="1" x14ac:dyDescent="0.3">
      <c r="A1865" s="37">
        <v>1860</v>
      </c>
      <c r="B1865" s="38" t="s">
        <v>3133</v>
      </c>
      <c r="C1865" s="38" t="s">
        <v>4026</v>
      </c>
      <c r="D1865" s="38" t="s">
        <v>4027</v>
      </c>
      <c r="E1865" s="38" t="s">
        <v>3604</v>
      </c>
      <c r="F1865" s="38" t="s">
        <v>276</v>
      </c>
      <c r="G1865" s="39">
        <v>645</v>
      </c>
      <c r="H1865" s="40">
        <v>0.38400000000000001</v>
      </c>
      <c r="I1865" s="37">
        <v>143000</v>
      </c>
      <c r="J1865" s="41" t="s">
        <v>1006</v>
      </c>
      <c r="K1865" s="42">
        <v>2023</v>
      </c>
    </row>
    <row r="1866" spans="1:11" ht="15" customHeight="1" x14ac:dyDescent="0.3">
      <c r="A1866" s="31">
        <v>1861</v>
      </c>
      <c r="B1866" s="32" t="s">
        <v>3133</v>
      </c>
      <c r="C1866" s="32" t="s">
        <v>4028</v>
      </c>
      <c r="D1866" s="32" t="s">
        <v>4029</v>
      </c>
      <c r="E1866" s="32" t="s">
        <v>4030</v>
      </c>
      <c r="F1866" s="32" t="s">
        <v>287</v>
      </c>
      <c r="G1866" s="33">
        <v>1450</v>
      </c>
      <c r="H1866" s="34">
        <v>6.234</v>
      </c>
      <c r="I1866" s="31">
        <v>281000</v>
      </c>
      <c r="J1866" s="35" t="s">
        <v>1006</v>
      </c>
      <c r="K1866" s="36">
        <v>2023</v>
      </c>
    </row>
    <row r="1867" spans="1:11" ht="15" customHeight="1" x14ac:dyDescent="0.3">
      <c r="A1867" s="37">
        <v>1862</v>
      </c>
      <c r="B1867" s="38" t="s">
        <v>3133</v>
      </c>
      <c r="C1867" s="38" t="s">
        <v>4031</v>
      </c>
      <c r="D1867" s="38" t="s">
        <v>4032</v>
      </c>
      <c r="E1867" s="38" t="s">
        <v>4033</v>
      </c>
      <c r="F1867" s="38" t="s">
        <v>276</v>
      </c>
      <c r="G1867" s="39">
        <v>1046.25</v>
      </c>
      <c r="H1867" s="40">
        <v>2.4300000000000002</v>
      </c>
      <c r="I1867" s="37">
        <v>169000</v>
      </c>
      <c r="J1867" s="41" t="s">
        <v>1006</v>
      </c>
      <c r="K1867" s="42">
        <v>2023</v>
      </c>
    </row>
    <row r="1868" spans="1:11" ht="15" customHeight="1" x14ac:dyDescent="0.3">
      <c r="A1868" s="31">
        <v>1863</v>
      </c>
      <c r="B1868" s="32" t="s">
        <v>3133</v>
      </c>
      <c r="C1868" s="32" t="s">
        <v>4034</v>
      </c>
      <c r="D1868" s="32" t="s">
        <v>4035</v>
      </c>
      <c r="E1868" s="32" t="s">
        <v>4036</v>
      </c>
      <c r="F1868" s="32" t="s">
        <v>312</v>
      </c>
      <c r="G1868" s="33">
        <v>390</v>
      </c>
      <c r="H1868" s="34">
        <v>0.68</v>
      </c>
      <c r="I1868" s="31">
        <v>143000</v>
      </c>
      <c r="J1868" s="35" t="s">
        <v>1006</v>
      </c>
      <c r="K1868" s="36">
        <v>2023</v>
      </c>
    </row>
    <row r="1869" spans="1:11" ht="15" customHeight="1" x14ac:dyDescent="0.3">
      <c r="A1869" s="37">
        <v>1864</v>
      </c>
      <c r="B1869" s="38" t="s">
        <v>2488</v>
      </c>
      <c r="C1869" s="38" t="s">
        <v>4037</v>
      </c>
      <c r="D1869" s="38" t="s">
        <v>4008</v>
      </c>
      <c r="E1869" s="38" t="s">
        <v>4009</v>
      </c>
      <c r="F1869" s="38" t="s">
        <v>386</v>
      </c>
      <c r="G1869" s="39">
        <v>13.94</v>
      </c>
      <c r="H1869" s="40">
        <v>5.8000000000000003E-2</v>
      </c>
      <c r="I1869" s="37">
        <v>145800</v>
      </c>
      <c r="J1869" s="41" t="s">
        <v>1006</v>
      </c>
      <c r="K1869" s="42">
        <v>2023</v>
      </c>
    </row>
    <row r="1870" spans="1:11" ht="15" customHeight="1" x14ac:dyDescent="0.3">
      <c r="A1870" s="31">
        <v>1865</v>
      </c>
      <c r="B1870" s="32" t="s">
        <v>2488</v>
      </c>
      <c r="C1870" s="32" t="s">
        <v>4038</v>
      </c>
      <c r="D1870" s="32" t="s">
        <v>85</v>
      </c>
      <c r="E1870" s="32" t="s">
        <v>4039</v>
      </c>
      <c r="F1870" s="32" t="s">
        <v>402</v>
      </c>
      <c r="G1870" s="33">
        <v>8390</v>
      </c>
      <c r="H1870" s="34">
        <v>4.32</v>
      </c>
      <c r="I1870" s="31">
        <v>383000</v>
      </c>
      <c r="J1870" s="35" t="s">
        <v>1006</v>
      </c>
      <c r="K1870" s="36">
        <v>2023</v>
      </c>
    </row>
    <row r="1871" spans="1:11" ht="15" customHeight="1" x14ac:dyDescent="0.3">
      <c r="A1871" s="37">
        <v>1866</v>
      </c>
      <c r="B1871" s="38" t="s">
        <v>2488</v>
      </c>
      <c r="C1871" s="38" t="s">
        <v>4040</v>
      </c>
      <c r="D1871" s="38" t="s">
        <v>4041</v>
      </c>
      <c r="E1871" s="38" t="s">
        <v>45</v>
      </c>
      <c r="F1871" s="38" t="s">
        <v>276</v>
      </c>
      <c r="G1871" s="39">
        <v>112</v>
      </c>
      <c r="H1871" s="40">
        <v>0.45100000000000001</v>
      </c>
      <c r="I1871" s="37">
        <v>143000</v>
      </c>
      <c r="J1871" s="41" t="s">
        <v>1006</v>
      </c>
      <c r="K1871" s="42">
        <v>2023</v>
      </c>
    </row>
    <row r="1872" spans="1:11" ht="15" customHeight="1" x14ac:dyDescent="0.3">
      <c r="A1872" s="31">
        <v>1867</v>
      </c>
      <c r="B1872" s="32" t="s">
        <v>2488</v>
      </c>
      <c r="C1872" s="32" t="s">
        <v>4042</v>
      </c>
      <c r="D1872" s="32" t="s">
        <v>1559</v>
      </c>
      <c r="E1872" s="32" t="s">
        <v>206</v>
      </c>
      <c r="F1872" s="32" t="s">
        <v>276</v>
      </c>
      <c r="G1872" s="33">
        <v>759.9</v>
      </c>
      <c r="H1872" s="34">
        <v>2.6640000000000001</v>
      </c>
      <c r="I1872" s="31">
        <v>199800</v>
      </c>
      <c r="J1872" s="35" t="s">
        <v>1006</v>
      </c>
      <c r="K1872" s="36">
        <v>2023</v>
      </c>
    </row>
    <row r="1873" spans="1:11" ht="15" customHeight="1" x14ac:dyDescent="0.3">
      <c r="A1873" s="37">
        <v>1868</v>
      </c>
      <c r="B1873" s="38" t="s">
        <v>2488</v>
      </c>
      <c r="C1873" s="38" t="s">
        <v>4043</v>
      </c>
      <c r="D1873" s="38" t="s">
        <v>4044</v>
      </c>
      <c r="E1873" s="38" t="s">
        <v>39</v>
      </c>
      <c r="F1873" s="38" t="s">
        <v>4045</v>
      </c>
      <c r="G1873" s="39">
        <v>2232</v>
      </c>
      <c r="H1873" s="40">
        <v>6.93</v>
      </c>
      <c r="I1873" s="37">
        <v>311800</v>
      </c>
      <c r="J1873" s="41" t="s">
        <v>1006</v>
      </c>
      <c r="K1873" s="42">
        <v>2023</v>
      </c>
    </row>
    <row r="1874" spans="1:11" ht="15" customHeight="1" x14ac:dyDescent="0.3">
      <c r="A1874" s="31">
        <v>1869</v>
      </c>
      <c r="B1874" s="32" t="s">
        <v>2488</v>
      </c>
      <c r="C1874" s="32" t="s">
        <v>4046</v>
      </c>
      <c r="D1874" s="32" t="s">
        <v>4047</v>
      </c>
      <c r="E1874" s="32" t="s">
        <v>4048</v>
      </c>
      <c r="F1874" s="32" t="s">
        <v>276</v>
      </c>
      <c r="G1874" s="33">
        <v>130</v>
      </c>
      <c r="H1874" s="34">
        <v>0.97099999999999997</v>
      </c>
      <c r="I1874" s="31">
        <v>145800</v>
      </c>
      <c r="J1874" s="35" t="s">
        <v>1006</v>
      </c>
      <c r="K1874" s="36">
        <v>2023</v>
      </c>
    </row>
    <row r="1875" spans="1:11" ht="15" customHeight="1" x14ac:dyDescent="0.3">
      <c r="A1875" s="37">
        <v>1870</v>
      </c>
      <c r="B1875" s="38" t="s">
        <v>2488</v>
      </c>
      <c r="C1875" s="38" t="s">
        <v>4049</v>
      </c>
      <c r="D1875" s="38" t="s">
        <v>3392</v>
      </c>
      <c r="E1875" s="38" t="s">
        <v>4050</v>
      </c>
      <c r="F1875" s="38" t="s">
        <v>4051</v>
      </c>
      <c r="G1875" s="39">
        <v>9718</v>
      </c>
      <c r="H1875" s="40">
        <v>9.4339999999999993</v>
      </c>
      <c r="I1875" s="37">
        <v>437000</v>
      </c>
      <c r="J1875" s="41" t="s">
        <v>1006</v>
      </c>
      <c r="K1875" s="42">
        <v>2023</v>
      </c>
    </row>
    <row r="1876" spans="1:11" ht="15" customHeight="1" x14ac:dyDescent="0.3">
      <c r="A1876" s="31">
        <v>1871</v>
      </c>
      <c r="B1876" s="32" t="s">
        <v>360</v>
      </c>
      <c r="C1876" s="32" t="s">
        <v>4052</v>
      </c>
      <c r="D1876" s="32" t="s">
        <v>963</v>
      </c>
      <c r="E1876" s="32" t="s">
        <v>964</v>
      </c>
      <c r="F1876" s="32" t="s">
        <v>3079</v>
      </c>
      <c r="G1876" s="33">
        <v>1963</v>
      </c>
      <c r="H1876" s="34">
        <v>13.462999999999999</v>
      </c>
      <c r="I1876" s="31">
        <v>466800</v>
      </c>
      <c r="J1876" s="35" t="s">
        <v>1006</v>
      </c>
      <c r="K1876" s="36">
        <v>2023</v>
      </c>
    </row>
    <row r="1877" spans="1:11" ht="15" customHeight="1" x14ac:dyDescent="0.3">
      <c r="A1877" s="37">
        <v>1872</v>
      </c>
      <c r="B1877" s="38" t="s">
        <v>360</v>
      </c>
      <c r="C1877" s="38" t="s">
        <v>4053</v>
      </c>
      <c r="D1877" s="38" t="s">
        <v>4054</v>
      </c>
      <c r="E1877" s="38" t="s">
        <v>4055</v>
      </c>
      <c r="F1877" s="38" t="s">
        <v>316</v>
      </c>
      <c r="G1877" s="39">
        <v>499</v>
      </c>
      <c r="H1877" s="40">
        <v>2.5150000000000001</v>
      </c>
      <c r="I1877" s="37">
        <v>199800</v>
      </c>
      <c r="J1877" s="41" t="s">
        <v>1006</v>
      </c>
      <c r="K1877" s="42">
        <v>2023</v>
      </c>
    </row>
    <row r="1878" spans="1:11" ht="15" customHeight="1" x14ac:dyDescent="0.3">
      <c r="A1878" s="31">
        <v>1873</v>
      </c>
      <c r="B1878" s="32" t="s">
        <v>360</v>
      </c>
      <c r="C1878" s="32" t="s">
        <v>4056</v>
      </c>
      <c r="D1878" s="32" t="s">
        <v>85</v>
      </c>
      <c r="E1878" s="32" t="s">
        <v>4057</v>
      </c>
      <c r="F1878" s="32" t="s">
        <v>4058</v>
      </c>
      <c r="G1878" s="33">
        <v>728</v>
      </c>
      <c r="H1878" s="34">
        <v>1.69</v>
      </c>
      <c r="I1878" s="31">
        <v>171800</v>
      </c>
      <c r="J1878" s="35" t="s">
        <v>1006</v>
      </c>
      <c r="K1878" s="36">
        <v>2023</v>
      </c>
    </row>
    <row r="1879" spans="1:11" ht="15" customHeight="1" x14ac:dyDescent="0.3">
      <c r="A1879" s="37">
        <v>1874</v>
      </c>
      <c r="B1879" s="38" t="s">
        <v>360</v>
      </c>
      <c r="C1879" s="38" t="s">
        <v>4059</v>
      </c>
      <c r="D1879" s="38" t="s">
        <v>3295</v>
      </c>
      <c r="E1879" s="38" t="s">
        <v>45</v>
      </c>
      <c r="F1879" s="38" t="s">
        <v>517</v>
      </c>
      <c r="G1879" s="39">
        <v>1121.2919999999999</v>
      </c>
      <c r="H1879" s="40">
        <v>2.8210000000000002</v>
      </c>
      <c r="I1879" s="37">
        <v>197000</v>
      </c>
      <c r="J1879" s="41" t="s">
        <v>1006</v>
      </c>
      <c r="K1879" s="42">
        <v>2023</v>
      </c>
    </row>
    <row r="1880" spans="1:11" ht="15" customHeight="1" x14ac:dyDescent="0.3">
      <c r="A1880" s="31">
        <v>1875</v>
      </c>
      <c r="B1880" s="32" t="s">
        <v>360</v>
      </c>
      <c r="C1880" s="32" t="s">
        <v>4060</v>
      </c>
      <c r="D1880" s="32" t="s">
        <v>2229</v>
      </c>
      <c r="E1880" s="32" t="s">
        <v>4061</v>
      </c>
      <c r="F1880" s="32" t="s">
        <v>4062</v>
      </c>
      <c r="G1880" s="33">
        <v>56</v>
      </c>
      <c r="H1880" s="34">
        <v>0.25</v>
      </c>
      <c r="I1880" s="31">
        <v>143000</v>
      </c>
      <c r="J1880" s="35" t="s">
        <v>1006</v>
      </c>
      <c r="K1880" s="36">
        <v>2023</v>
      </c>
    </row>
    <row r="1881" spans="1:11" ht="15" customHeight="1" x14ac:dyDescent="0.3">
      <c r="A1881" s="37">
        <v>1876</v>
      </c>
      <c r="B1881" s="38" t="s">
        <v>4063</v>
      </c>
      <c r="C1881" s="38" t="s">
        <v>4064</v>
      </c>
      <c r="D1881" s="38" t="s">
        <v>4065</v>
      </c>
      <c r="E1881" s="38" t="s">
        <v>3081</v>
      </c>
      <c r="F1881" s="38" t="s">
        <v>312</v>
      </c>
      <c r="G1881" s="39">
        <v>274</v>
      </c>
      <c r="H1881" s="40">
        <v>0.85199999999999998</v>
      </c>
      <c r="I1881" s="37">
        <v>199800</v>
      </c>
      <c r="J1881" s="41" t="s">
        <v>1006</v>
      </c>
      <c r="K1881" s="42">
        <v>2023</v>
      </c>
    </row>
    <row r="1882" spans="1:11" ht="15" customHeight="1" x14ac:dyDescent="0.3">
      <c r="A1882" s="31">
        <v>1877</v>
      </c>
      <c r="B1882" s="32" t="s">
        <v>360</v>
      </c>
      <c r="C1882" s="32" t="s">
        <v>4066</v>
      </c>
      <c r="D1882" s="32" t="s">
        <v>4067</v>
      </c>
      <c r="E1882" s="32" t="s">
        <v>2614</v>
      </c>
      <c r="F1882" s="32" t="s">
        <v>287</v>
      </c>
      <c r="G1882" s="33">
        <v>186.5</v>
      </c>
      <c r="H1882" s="34">
        <v>2.7709999999999999</v>
      </c>
      <c r="I1882" s="31">
        <v>199800</v>
      </c>
      <c r="J1882" s="35" t="s">
        <v>1006</v>
      </c>
      <c r="K1882" s="36">
        <v>2023</v>
      </c>
    </row>
    <row r="1883" spans="1:11" ht="15" customHeight="1" x14ac:dyDescent="0.3">
      <c r="A1883" s="37">
        <v>1878</v>
      </c>
      <c r="B1883" s="38" t="s">
        <v>360</v>
      </c>
      <c r="C1883" s="38" t="s">
        <v>4068</v>
      </c>
      <c r="D1883" s="38" t="s">
        <v>4069</v>
      </c>
      <c r="E1883" s="38" t="s">
        <v>63</v>
      </c>
      <c r="F1883" s="38" t="s">
        <v>287</v>
      </c>
      <c r="G1883" s="39">
        <v>954</v>
      </c>
      <c r="H1883" s="40">
        <v>3.7440000000000002</v>
      </c>
      <c r="I1883" s="37">
        <v>225000</v>
      </c>
      <c r="J1883" s="41" t="s">
        <v>1006</v>
      </c>
      <c r="K1883" s="42">
        <v>2023</v>
      </c>
    </row>
    <row r="1884" spans="1:11" ht="15" customHeight="1" x14ac:dyDescent="0.3">
      <c r="A1884" s="31">
        <v>1879</v>
      </c>
      <c r="B1884" s="32" t="s">
        <v>360</v>
      </c>
      <c r="C1884" s="32" t="s">
        <v>4070</v>
      </c>
      <c r="D1884" s="32" t="s">
        <v>3597</v>
      </c>
      <c r="E1884" s="32" t="s">
        <v>35</v>
      </c>
      <c r="F1884" s="32" t="s">
        <v>276</v>
      </c>
      <c r="G1884" s="33">
        <v>532</v>
      </c>
      <c r="H1884" s="34">
        <v>1.391</v>
      </c>
      <c r="I1884" s="31">
        <v>227800</v>
      </c>
      <c r="J1884" s="35" t="s">
        <v>1006</v>
      </c>
      <c r="K1884" s="36">
        <v>2023</v>
      </c>
    </row>
    <row r="1885" spans="1:11" ht="15" customHeight="1" x14ac:dyDescent="0.3">
      <c r="A1885" s="37">
        <v>1880</v>
      </c>
      <c r="B1885" s="38" t="s">
        <v>360</v>
      </c>
      <c r="C1885" s="38" t="s">
        <v>4071</v>
      </c>
      <c r="D1885" s="38" t="s">
        <v>4072</v>
      </c>
      <c r="E1885" s="38" t="s">
        <v>35</v>
      </c>
      <c r="F1885" s="38" t="s">
        <v>276</v>
      </c>
      <c r="G1885" s="39">
        <v>133</v>
      </c>
      <c r="H1885" s="40">
        <v>0.49</v>
      </c>
      <c r="I1885" s="37">
        <v>145800</v>
      </c>
      <c r="J1885" s="41" t="s">
        <v>1006</v>
      </c>
      <c r="K1885" s="42">
        <v>2023</v>
      </c>
    </row>
    <row r="1886" spans="1:11" ht="15" customHeight="1" x14ac:dyDescent="0.3">
      <c r="A1886" s="31">
        <v>1881</v>
      </c>
      <c r="B1886" s="32" t="s">
        <v>360</v>
      </c>
      <c r="C1886" s="32" t="s">
        <v>4073</v>
      </c>
      <c r="D1886" s="32" t="s">
        <v>4044</v>
      </c>
      <c r="E1886" s="32" t="s">
        <v>39</v>
      </c>
      <c r="F1886" s="32" t="s">
        <v>276</v>
      </c>
      <c r="G1886" s="33">
        <v>125</v>
      </c>
      <c r="H1886" s="34">
        <v>1.32</v>
      </c>
      <c r="I1886" s="31">
        <v>145800</v>
      </c>
      <c r="J1886" s="35" t="s">
        <v>1006</v>
      </c>
      <c r="K1886" s="36">
        <v>2023</v>
      </c>
    </row>
    <row r="1887" spans="1:11" ht="15" customHeight="1" x14ac:dyDescent="0.3">
      <c r="A1887" s="37">
        <v>1882</v>
      </c>
      <c r="B1887" s="38" t="s">
        <v>360</v>
      </c>
      <c r="C1887" s="38" t="s">
        <v>4074</v>
      </c>
      <c r="D1887" s="38" t="s">
        <v>4075</v>
      </c>
      <c r="E1887" s="38" t="s">
        <v>37</v>
      </c>
      <c r="F1887" s="38" t="s">
        <v>1388</v>
      </c>
      <c r="G1887" s="39">
        <v>102</v>
      </c>
      <c r="H1887" s="40">
        <v>0.32800000000000001</v>
      </c>
      <c r="I1887" s="37">
        <v>145800</v>
      </c>
      <c r="J1887" s="41" t="s">
        <v>1006</v>
      </c>
      <c r="K1887" s="42">
        <v>2023</v>
      </c>
    </row>
    <row r="1888" spans="1:11" ht="15" customHeight="1" x14ac:dyDescent="0.3">
      <c r="A1888" s="31">
        <v>1883</v>
      </c>
      <c r="B1888" s="32" t="s">
        <v>360</v>
      </c>
      <c r="C1888" s="32" t="s">
        <v>4076</v>
      </c>
      <c r="D1888" s="32" t="s">
        <v>1537</v>
      </c>
      <c r="E1888" s="32" t="s">
        <v>4077</v>
      </c>
      <c r="F1888" s="32" t="s">
        <v>276</v>
      </c>
      <c r="G1888" s="33">
        <v>22</v>
      </c>
      <c r="H1888" s="34">
        <v>0.28000000000000003</v>
      </c>
      <c r="I1888" s="31">
        <v>145800</v>
      </c>
      <c r="J1888" s="35" t="s">
        <v>1006</v>
      </c>
      <c r="K1888" s="36">
        <v>2023</v>
      </c>
    </row>
    <row r="1889" spans="1:11" ht="15" customHeight="1" x14ac:dyDescent="0.3">
      <c r="A1889" s="37">
        <v>1884</v>
      </c>
      <c r="B1889" s="38" t="s">
        <v>360</v>
      </c>
      <c r="C1889" s="38" t="s">
        <v>4078</v>
      </c>
      <c r="D1889" s="38" t="s">
        <v>2963</v>
      </c>
      <c r="E1889" s="38" t="s">
        <v>45</v>
      </c>
      <c r="F1889" s="38" t="s">
        <v>312</v>
      </c>
      <c r="G1889" s="39">
        <v>85</v>
      </c>
      <c r="H1889" s="40">
        <v>0.185</v>
      </c>
      <c r="I1889" s="37">
        <v>143000</v>
      </c>
      <c r="J1889" s="41" t="s">
        <v>1006</v>
      </c>
      <c r="K1889" s="42">
        <v>2023</v>
      </c>
    </row>
    <row r="1890" spans="1:11" ht="15" customHeight="1" x14ac:dyDescent="0.3">
      <c r="A1890" s="31">
        <v>1885</v>
      </c>
      <c r="B1890" s="32" t="s">
        <v>360</v>
      </c>
      <c r="C1890" s="32" t="s">
        <v>4079</v>
      </c>
      <c r="D1890" s="32" t="s">
        <v>64</v>
      </c>
      <c r="E1890" s="32" t="s">
        <v>45</v>
      </c>
      <c r="F1890" s="32" t="s">
        <v>386</v>
      </c>
      <c r="G1890" s="33">
        <v>358</v>
      </c>
      <c r="H1890" s="34">
        <v>0.621</v>
      </c>
      <c r="I1890" s="31">
        <v>143000</v>
      </c>
      <c r="J1890" s="35" t="s">
        <v>1006</v>
      </c>
      <c r="K1890" s="36">
        <v>2023</v>
      </c>
    </row>
    <row r="1891" spans="1:11" ht="15" customHeight="1" x14ac:dyDescent="0.3">
      <c r="A1891" s="37">
        <v>1886</v>
      </c>
      <c r="B1891" s="38" t="s">
        <v>360</v>
      </c>
      <c r="C1891" s="38" t="s">
        <v>4080</v>
      </c>
      <c r="D1891" s="38" t="s">
        <v>3998</v>
      </c>
      <c r="E1891" s="38" t="s">
        <v>35</v>
      </c>
      <c r="F1891" s="38" t="s">
        <v>689</v>
      </c>
      <c r="G1891" s="39">
        <v>11350</v>
      </c>
      <c r="H1891" s="40">
        <v>8.7870000000000008</v>
      </c>
      <c r="I1891" s="37">
        <v>412800</v>
      </c>
      <c r="J1891" s="41" t="s">
        <v>1006</v>
      </c>
      <c r="K1891" s="42">
        <v>2023</v>
      </c>
    </row>
    <row r="1892" spans="1:11" ht="15" customHeight="1" x14ac:dyDescent="0.3">
      <c r="A1892" s="31">
        <v>1887</v>
      </c>
      <c r="B1892" s="32" t="s">
        <v>360</v>
      </c>
      <c r="C1892" s="32" t="s">
        <v>4081</v>
      </c>
      <c r="D1892" s="32" t="s">
        <v>4082</v>
      </c>
      <c r="E1892" s="32" t="s">
        <v>3084</v>
      </c>
      <c r="F1892" s="32" t="s">
        <v>287</v>
      </c>
      <c r="G1892" s="33">
        <v>730</v>
      </c>
      <c r="H1892" s="34">
        <v>2.5529999999999999</v>
      </c>
      <c r="I1892" s="31">
        <v>199800</v>
      </c>
      <c r="J1892" s="35" t="s">
        <v>1006</v>
      </c>
      <c r="K1892" s="36">
        <v>2023</v>
      </c>
    </row>
    <row r="1893" spans="1:11" ht="15" customHeight="1" x14ac:dyDescent="0.3">
      <c r="A1893" s="37">
        <v>1888</v>
      </c>
      <c r="B1893" s="38" t="s">
        <v>360</v>
      </c>
      <c r="C1893" s="38" t="s">
        <v>4083</v>
      </c>
      <c r="D1893" s="38" t="s">
        <v>4082</v>
      </c>
      <c r="E1893" s="38" t="s">
        <v>3084</v>
      </c>
      <c r="F1893" s="38" t="s">
        <v>4058</v>
      </c>
      <c r="G1893" s="39">
        <v>855</v>
      </c>
      <c r="H1893" s="40">
        <v>1.4</v>
      </c>
      <c r="I1893" s="37">
        <v>171800</v>
      </c>
      <c r="J1893" s="41" t="s">
        <v>1006</v>
      </c>
      <c r="K1893" s="42">
        <v>2023</v>
      </c>
    </row>
    <row r="1894" spans="1:11" ht="15" customHeight="1" x14ac:dyDescent="0.3">
      <c r="A1894" s="31">
        <v>1889</v>
      </c>
      <c r="B1894" s="32" t="s">
        <v>360</v>
      </c>
      <c r="C1894" s="32" t="s">
        <v>4084</v>
      </c>
      <c r="D1894" s="32" t="s">
        <v>4085</v>
      </c>
      <c r="E1894" s="32" t="s">
        <v>4086</v>
      </c>
      <c r="F1894" s="32" t="s">
        <v>312</v>
      </c>
      <c r="G1894" s="33">
        <v>420</v>
      </c>
      <c r="H1894" s="34">
        <v>0.54600000000000004</v>
      </c>
      <c r="I1894" s="31">
        <v>143000</v>
      </c>
      <c r="J1894" s="35" t="s">
        <v>1006</v>
      </c>
      <c r="K1894" s="36">
        <v>2023</v>
      </c>
    </row>
    <row r="1895" spans="1:11" ht="15" customHeight="1" x14ac:dyDescent="0.3">
      <c r="A1895" s="37">
        <v>1890</v>
      </c>
      <c r="B1895" s="38" t="s">
        <v>360</v>
      </c>
      <c r="C1895" s="38" t="s">
        <v>4087</v>
      </c>
      <c r="D1895" s="38" t="s">
        <v>4088</v>
      </c>
      <c r="E1895" s="38" t="s">
        <v>4089</v>
      </c>
      <c r="F1895" s="38" t="s">
        <v>1191</v>
      </c>
      <c r="G1895" s="39">
        <v>382</v>
      </c>
      <c r="H1895" s="40">
        <v>1.3</v>
      </c>
      <c r="I1895" s="37">
        <v>169000</v>
      </c>
      <c r="J1895" s="41" t="s">
        <v>1006</v>
      </c>
      <c r="K1895" s="42">
        <v>2023</v>
      </c>
    </row>
    <row r="1896" spans="1:11" ht="15" customHeight="1" x14ac:dyDescent="0.3">
      <c r="A1896" s="31">
        <v>1891</v>
      </c>
      <c r="B1896" s="32" t="s">
        <v>360</v>
      </c>
      <c r="C1896" s="32" t="s">
        <v>4090</v>
      </c>
      <c r="D1896" s="32" t="s">
        <v>4091</v>
      </c>
      <c r="E1896" s="32" t="s">
        <v>286</v>
      </c>
      <c r="F1896" s="32" t="s">
        <v>4092</v>
      </c>
      <c r="G1896" s="33">
        <v>39</v>
      </c>
      <c r="H1896" s="34">
        <v>9.0999999999999998E-2</v>
      </c>
      <c r="I1896" s="31">
        <v>145800</v>
      </c>
      <c r="J1896" s="35" t="s">
        <v>1006</v>
      </c>
      <c r="K1896" s="36">
        <v>2023</v>
      </c>
    </row>
    <row r="1897" spans="1:11" ht="15" customHeight="1" x14ac:dyDescent="0.3">
      <c r="A1897" s="37">
        <v>1892</v>
      </c>
      <c r="B1897" s="38" t="s">
        <v>4093</v>
      </c>
      <c r="C1897" s="38" t="s">
        <v>4094</v>
      </c>
      <c r="D1897" s="38" t="s">
        <v>42</v>
      </c>
      <c r="E1897" s="38" t="s">
        <v>35</v>
      </c>
      <c r="F1897" s="38" t="s">
        <v>1044</v>
      </c>
      <c r="G1897" s="39">
        <v>273.12</v>
      </c>
      <c r="H1897" s="40">
        <v>4.0540000000000003</v>
      </c>
      <c r="I1897" s="37">
        <v>227800</v>
      </c>
      <c r="J1897" s="41" t="s">
        <v>1006</v>
      </c>
      <c r="K1897" s="42">
        <v>2023</v>
      </c>
    </row>
    <row r="1898" spans="1:11" ht="15" customHeight="1" x14ac:dyDescent="0.3">
      <c r="A1898" s="31">
        <v>1893</v>
      </c>
      <c r="B1898" s="32" t="s">
        <v>4093</v>
      </c>
      <c r="C1898" s="32" t="s">
        <v>4095</v>
      </c>
      <c r="D1898" s="32" t="s">
        <v>1585</v>
      </c>
      <c r="E1898" s="32" t="s">
        <v>45</v>
      </c>
      <c r="F1898" s="32" t="s">
        <v>406</v>
      </c>
      <c r="G1898" s="33">
        <v>256.10000000000002</v>
      </c>
      <c r="H1898" s="34">
        <v>0.99199999999999999</v>
      </c>
      <c r="I1898" s="31">
        <v>169000</v>
      </c>
      <c r="J1898" s="35" t="s">
        <v>1006</v>
      </c>
      <c r="K1898" s="36">
        <v>2023</v>
      </c>
    </row>
    <row r="1899" spans="1:11" ht="15" customHeight="1" x14ac:dyDescent="0.3">
      <c r="A1899" s="37">
        <v>1894</v>
      </c>
      <c r="B1899" s="38" t="s">
        <v>4093</v>
      </c>
      <c r="C1899" s="38" t="s">
        <v>4096</v>
      </c>
      <c r="D1899" s="38" t="s">
        <v>4097</v>
      </c>
      <c r="E1899" s="38" t="s">
        <v>45</v>
      </c>
      <c r="F1899" s="38" t="s">
        <v>276</v>
      </c>
      <c r="G1899" s="39">
        <v>451</v>
      </c>
      <c r="H1899" s="40">
        <v>0.88200000000000001</v>
      </c>
      <c r="I1899" s="37">
        <v>169000</v>
      </c>
      <c r="J1899" s="41" t="s">
        <v>1006</v>
      </c>
      <c r="K1899" s="42">
        <v>2023</v>
      </c>
    </row>
    <row r="1900" spans="1:11" ht="15" customHeight="1" x14ac:dyDescent="0.3">
      <c r="A1900" s="31">
        <v>1895</v>
      </c>
      <c r="B1900" s="32" t="s">
        <v>4093</v>
      </c>
      <c r="C1900" s="32" t="s">
        <v>4098</v>
      </c>
      <c r="D1900" s="32" t="s">
        <v>4099</v>
      </c>
      <c r="E1900" s="32" t="s">
        <v>4100</v>
      </c>
      <c r="F1900" s="32" t="s">
        <v>406</v>
      </c>
      <c r="G1900" s="33">
        <v>172</v>
      </c>
      <c r="H1900" s="34">
        <v>1.6319999999999999</v>
      </c>
      <c r="I1900" s="31">
        <v>199800</v>
      </c>
      <c r="J1900" s="35" t="s">
        <v>1006</v>
      </c>
      <c r="K1900" s="36">
        <v>2023</v>
      </c>
    </row>
    <row r="1901" spans="1:11" ht="15" customHeight="1" x14ac:dyDescent="0.3">
      <c r="A1901" s="37">
        <v>1896</v>
      </c>
      <c r="B1901" s="38" t="s">
        <v>4093</v>
      </c>
      <c r="C1901" s="38" t="s">
        <v>4101</v>
      </c>
      <c r="D1901" s="38" t="s">
        <v>4102</v>
      </c>
      <c r="E1901" s="38" t="s">
        <v>4103</v>
      </c>
      <c r="F1901" s="38" t="s">
        <v>276</v>
      </c>
      <c r="G1901" s="39">
        <v>232.7</v>
      </c>
      <c r="H1901" s="40">
        <v>1.22</v>
      </c>
      <c r="I1901" s="37">
        <v>145800</v>
      </c>
      <c r="J1901" s="41" t="s">
        <v>1006</v>
      </c>
      <c r="K1901" s="42">
        <v>2023</v>
      </c>
    </row>
    <row r="1902" spans="1:11" ht="15" customHeight="1" x14ac:dyDescent="0.3">
      <c r="A1902" s="31">
        <v>1897</v>
      </c>
      <c r="B1902" s="32" t="s">
        <v>4093</v>
      </c>
      <c r="C1902" s="32" t="s">
        <v>4104</v>
      </c>
      <c r="D1902" s="32" t="s">
        <v>4105</v>
      </c>
      <c r="E1902" s="32" t="s">
        <v>53</v>
      </c>
      <c r="F1902" s="32" t="s">
        <v>937</v>
      </c>
      <c r="G1902" s="33">
        <v>511</v>
      </c>
      <c r="H1902" s="34">
        <v>1.262</v>
      </c>
      <c r="I1902" s="31">
        <v>199800</v>
      </c>
      <c r="J1902" s="35" t="s">
        <v>1006</v>
      </c>
      <c r="K1902" s="36">
        <v>2023</v>
      </c>
    </row>
    <row r="1903" spans="1:11" ht="15" customHeight="1" x14ac:dyDescent="0.3">
      <c r="A1903" s="37">
        <v>1898</v>
      </c>
      <c r="B1903" s="38" t="s">
        <v>4093</v>
      </c>
      <c r="C1903" s="38" t="s">
        <v>4106</v>
      </c>
      <c r="D1903" s="38" t="s">
        <v>4107</v>
      </c>
      <c r="E1903" s="38" t="s">
        <v>45</v>
      </c>
      <c r="F1903" s="38" t="s">
        <v>312</v>
      </c>
      <c r="G1903" s="39">
        <v>105</v>
      </c>
      <c r="H1903" s="40">
        <v>0.35899999999999999</v>
      </c>
      <c r="I1903" s="37">
        <v>143000</v>
      </c>
      <c r="J1903" s="41" t="s">
        <v>1006</v>
      </c>
      <c r="K1903" s="42">
        <v>2023</v>
      </c>
    </row>
    <row r="1904" spans="1:11" ht="15" customHeight="1" x14ac:dyDescent="0.3">
      <c r="A1904" s="31">
        <v>1899</v>
      </c>
      <c r="B1904" s="32" t="s">
        <v>4093</v>
      </c>
      <c r="C1904" s="32" t="s">
        <v>4108</v>
      </c>
      <c r="D1904" s="32" t="s">
        <v>1585</v>
      </c>
      <c r="E1904" s="32" t="s">
        <v>2711</v>
      </c>
      <c r="F1904" s="32" t="s">
        <v>406</v>
      </c>
      <c r="G1904" s="33">
        <v>294.83800000000002</v>
      </c>
      <c r="H1904" s="34">
        <v>2.036</v>
      </c>
      <c r="I1904" s="31">
        <v>199800</v>
      </c>
      <c r="J1904" s="35" t="s">
        <v>1006</v>
      </c>
      <c r="K1904" s="36">
        <v>2023</v>
      </c>
    </row>
    <row r="1905" spans="1:11" ht="15" customHeight="1" x14ac:dyDescent="0.3">
      <c r="A1905" s="37">
        <v>1900</v>
      </c>
      <c r="B1905" s="38" t="s">
        <v>4093</v>
      </c>
      <c r="C1905" s="38" t="s">
        <v>4109</v>
      </c>
      <c r="D1905" s="38" t="s">
        <v>4110</v>
      </c>
      <c r="E1905" s="38" t="s">
        <v>4111</v>
      </c>
      <c r="F1905" s="38" t="s">
        <v>1044</v>
      </c>
      <c r="G1905" s="39">
        <v>1658</v>
      </c>
      <c r="H1905" s="40">
        <v>3.298</v>
      </c>
      <c r="I1905" s="37">
        <v>199800</v>
      </c>
      <c r="J1905" s="41" t="s">
        <v>1006</v>
      </c>
      <c r="K1905" s="42">
        <v>2023</v>
      </c>
    </row>
    <row r="1906" spans="1:11" ht="15" customHeight="1" x14ac:dyDescent="0.3">
      <c r="A1906" s="31">
        <v>1901</v>
      </c>
      <c r="B1906" s="32" t="s">
        <v>4093</v>
      </c>
      <c r="C1906" s="32" t="s">
        <v>4112</v>
      </c>
      <c r="D1906" s="32" t="s">
        <v>4113</v>
      </c>
      <c r="E1906" s="32" t="s">
        <v>4114</v>
      </c>
      <c r="F1906" s="32" t="s">
        <v>276</v>
      </c>
      <c r="G1906" s="33">
        <v>270</v>
      </c>
      <c r="H1906" s="34">
        <v>2.5169999999999999</v>
      </c>
      <c r="I1906" s="31">
        <v>255800</v>
      </c>
      <c r="J1906" s="35" t="s">
        <v>1006</v>
      </c>
      <c r="K1906" s="36">
        <v>2023</v>
      </c>
    </row>
    <row r="1907" spans="1:11" ht="15" customHeight="1" x14ac:dyDescent="0.3">
      <c r="A1907" s="37">
        <v>1902</v>
      </c>
      <c r="B1907" s="38" t="s">
        <v>4093</v>
      </c>
      <c r="C1907" s="38" t="s">
        <v>4115</v>
      </c>
      <c r="D1907" s="38" t="s">
        <v>64</v>
      </c>
      <c r="E1907" s="38" t="s">
        <v>3415</v>
      </c>
      <c r="F1907" s="38" t="s">
        <v>276</v>
      </c>
      <c r="G1907" s="39">
        <v>950</v>
      </c>
      <c r="H1907" s="40">
        <v>1.1040000000000001</v>
      </c>
      <c r="I1907" s="37">
        <v>145800</v>
      </c>
      <c r="J1907" s="41" t="s">
        <v>1006</v>
      </c>
      <c r="K1907" s="42">
        <v>2023</v>
      </c>
    </row>
    <row r="1908" spans="1:11" ht="15" customHeight="1" x14ac:dyDescent="0.3">
      <c r="A1908" s="31">
        <v>1903</v>
      </c>
      <c r="B1908" s="32" t="s">
        <v>4093</v>
      </c>
      <c r="C1908" s="32" t="s">
        <v>4116</v>
      </c>
      <c r="D1908" s="32" t="s">
        <v>85</v>
      </c>
      <c r="E1908" s="32" t="s">
        <v>4117</v>
      </c>
      <c r="F1908" s="32" t="s">
        <v>312</v>
      </c>
      <c r="G1908" s="33">
        <v>239</v>
      </c>
      <c r="H1908" s="34">
        <v>1.5</v>
      </c>
      <c r="I1908" s="31">
        <v>255800</v>
      </c>
      <c r="J1908" s="35" t="s">
        <v>1006</v>
      </c>
      <c r="K1908" s="36">
        <v>2023</v>
      </c>
    </row>
    <row r="1909" spans="1:11" ht="15" customHeight="1" x14ac:dyDescent="0.3">
      <c r="A1909" s="37">
        <v>1904</v>
      </c>
      <c r="B1909" s="38" t="s">
        <v>360</v>
      </c>
      <c r="C1909" s="38" t="s">
        <v>4118</v>
      </c>
      <c r="D1909" s="38" t="s">
        <v>4119</v>
      </c>
      <c r="E1909" s="38" t="s">
        <v>35</v>
      </c>
      <c r="F1909" s="38" t="s">
        <v>3858</v>
      </c>
      <c r="G1909" s="39">
        <v>4023</v>
      </c>
      <c r="H1909" s="40">
        <v>5.93</v>
      </c>
      <c r="I1909" s="37">
        <v>255800</v>
      </c>
      <c r="J1909" s="41" t="s">
        <v>1132</v>
      </c>
      <c r="K1909" s="42">
        <v>2023</v>
      </c>
    </row>
    <row r="1910" spans="1:11" ht="15" customHeight="1" x14ac:dyDescent="0.3">
      <c r="A1910" s="31">
        <v>1905</v>
      </c>
      <c r="B1910" s="32" t="s">
        <v>360</v>
      </c>
      <c r="C1910" s="32" t="s">
        <v>4120</v>
      </c>
      <c r="D1910" s="32" t="s">
        <v>4121</v>
      </c>
      <c r="E1910" s="32" t="s">
        <v>4122</v>
      </c>
      <c r="F1910" s="32" t="s">
        <v>276</v>
      </c>
      <c r="G1910" s="33">
        <v>155</v>
      </c>
      <c r="H1910" s="34">
        <v>1.5840000000000001</v>
      </c>
      <c r="I1910" s="31">
        <v>171800</v>
      </c>
      <c r="J1910" s="35" t="s">
        <v>1132</v>
      </c>
      <c r="K1910" s="36">
        <v>2023</v>
      </c>
    </row>
    <row r="1911" spans="1:11" ht="15" customHeight="1" x14ac:dyDescent="0.3">
      <c r="A1911" s="37">
        <v>1906</v>
      </c>
      <c r="B1911" s="38" t="s">
        <v>360</v>
      </c>
      <c r="C1911" s="38" t="s">
        <v>4123</v>
      </c>
      <c r="D1911" s="38" t="s">
        <v>1477</v>
      </c>
      <c r="E1911" s="38" t="s">
        <v>4124</v>
      </c>
      <c r="F1911" s="38" t="s">
        <v>316</v>
      </c>
      <c r="G1911" s="39">
        <v>2085</v>
      </c>
      <c r="H1911" s="40">
        <v>3.36</v>
      </c>
      <c r="I1911" s="37">
        <v>227800</v>
      </c>
      <c r="J1911" s="41" t="s">
        <v>1132</v>
      </c>
      <c r="K1911" s="42">
        <v>2023</v>
      </c>
    </row>
    <row r="1912" spans="1:11" ht="15" customHeight="1" x14ac:dyDescent="0.3">
      <c r="A1912" s="31">
        <v>1907</v>
      </c>
      <c r="B1912" s="32" t="s">
        <v>360</v>
      </c>
      <c r="C1912" s="32" t="s">
        <v>4125</v>
      </c>
      <c r="D1912" s="32" t="s">
        <v>4126</v>
      </c>
      <c r="E1912" s="32" t="s">
        <v>4127</v>
      </c>
      <c r="F1912" s="32" t="s">
        <v>406</v>
      </c>
      <c r="G1912" s="33">
        <v>2900</v>
      </c>
      <c r="H1912" s="34">
        <v>3.0609999999999999</v>
      </c>
      <c r="I1912" s="31">
        <v>255000</v>
      </c>
      <c r="J1912" s="35" t="s">
        <v>1132</v>
      </c>
      <c r="K1912" s="36">
        <v>2023</v>
      </c>
    </row>
    <row r="1913" spans="1:11" ht="15" customHeight="1" x14ac:dyDescent="0.3">
      <c r="A1913" s="37">
        <v>1908</v>
      </c>
      <c r="B1913" s="38" t="s">
        <v>360</v>
      </c>
      <c r="C1913" s="38" t="s">
        <v>4128</v>
      </c>
      <c r="D1913" s="38" t="s">
        <v>3752</v>
      </c>
      <c r="E1913" s="38" t="s">
        <v>3753</v>
      </c>
      <c r="F1913" s="38" t="s">
        <v>316</v>
      </c>
      <c r="G1913" s="39">
        <v>672.3</v>
      </c>
      <c r="H1913" s="40">
        <v>3.03</v>
      </c>
      <c r="I1913" s="37">
        <v>227800</v>
      </c>
      <c r="J1913" s="41" t="s">
        <v>1132</v>
      </c>
      <c r="K1913" s="42">
        <v>2023</v>
      </c>
    </row>
    <row r="1914" spans="1:11" ht="15" customHeight="1" x14ac:dyDescent="0.3">
      <c r="A1914" s="31">
        <v>1909</v>
      </c>
      <c r="B1914" s="32" t="s">
        <v>2488</v>
      </c>
      <c r="C1914" s="32" t="s">
        <v>4129</v>
      </c>
      <c r="D1914" s="32" t="s">
        <v>4130</v>
      </c>
      <c r="E1914" s="32" t="s">
        <v>2251</v>
      </c>
      <c r="F1914" s="32" t="s">
        <v>312</v>
      </c>
      <c r="G1914" s="33">
        <v>864</v>
      </c>
      <c r="H1914" s="34">
        <v>0.56699999999999995</v>
      </c>
      <c r="I1914" s="31">
        <v>197000</v>
      </c>
      <c r="J1914" s="35" t="s">
        <v>1132</v>
      </c>
      <c r="K1914" s="36">
        <v>2023</v>
      </c>
    </row>
    <row r="1915" spans="1:11" ht="15" customHeight="1" x14ac:dyDescent="0.3">
      <c r="A1915" s="37">
        <v>1910</v>
      </c>
      <c r="B1915" s="38" t="s">
        <v>2488</v>
      </c>
      <c r="C1915" s="38" t="s">
        <v>4131</v>
      </c>
      <c r="D1915" s="38" t="s">
        <v>4132</v>
      </c>
      <c r="E1915" s="38" t="s">
        <v>3293</v>
      </c>
      <c r="F1915" s="38" t="s">
        <v>402</v>
      </c>
      <c r="G1915" s="39">
        <v>1020</v>
      </c>
      <c r="H1915" s="40">
        <v>13.374000000000001</v>
      </c>
      <c r="I1915" s="37">
        <v>493800</v>
      </c>
      <c r="J1915" s="41" t="s">
        <v>1132</v>
      </c>
      <c r="K1915" s="42">
        <v>2023</v>
      </c>
    </row>
    <row r="1916" spans="1:11" ht="15" customHeight="1" x14ac:dyDescent="0.3">
      <c r="A1916" s="31">
        <v>1911</v>
      </c>
      <c r="B1916" s="32" t="s">
        <v>2488</v>
      </c>
      <c r="C1916" s="32" t="s">
        <v>4133</v>
      </c>
      <c r="D1916" s="32" t="s">
        <v>4134</v>
      </c>
      <c r="E1916" s="32" t="s">
        <v>4135</v>
      </c>
      <c r="F1916" s="32" t="s">
        <v>316</v>
      </c>
      <c r="G1916" s="33">
        <v>233</v>
      </c>
      <c r="H1916" s="34">
        <v>1.5</v>
      </c>
      <c r="I1916" s="31">
        <v>199800</v>
      </c>
      <c r="J1916" s="35" t="s">
        <v>1132</v>
      </c>
      <c r="K1916" s="36">
        <v>2023</v>
      </c>
    </row>
    <row r="1917" spans="1:11" ht="15" customHeight="1" x14ac:dyDescent="0.3">
      <c r="A1917" s="37">
        <v>1912</v>
      </c>
      <c r="B1917" s="38" t="s">
        <v>2488</v>
      </c>
      <c r="C1917" s="38" t="s">
        <v>4136</v>
      </c>
      <c r="D1917" s="38" t="s">
        <v>4137</v>
      </c>
      <c r="E1917" s="38" t="s">
        <v>41</v>
      </c>
      <c r="F1917" s="38" t="s">
        <v>435</v>
      </c>
      <c r="G1917" s="39">
        <v>976</v>
      </c>
      <c r="H1917" s="40">
        <v>3.0470000000000002</v>
      </c>
      <c r="I1917" s="37">
        <v>199800</v>
      </c>
      <c r="J1917" s="41" t="s">
        <v>1132</v>
      </c>
      <c r="K1917" s="42">
        <v>2023</v>
      </c>
    </row>
    <row r="1918" spans="1:11" ht="15" customHeight="1" x14ac:dyDescent="0.3">
      <c r="A1918" s="31">
        <v>1913</v>
      </c>
      <c r="B1918" s="32" t="s">
        <v>2488</v>
      </c>
      <c r="C1918" s="32" t="s">
        <v>4138</v>
      </c>
      <c r="D1918" s="32" t="s">
        <v>4139</v>
      </c>
      <c r="E1918" s="32" t="s">
        <v>4140</v>
      </c>
      <c r="F1918" s="32" t="s">
        <v>1095</v>
      </c>
      <c r="G1918" s="33">
        <v>255</v>
      </c>
      <c r="H1918" s="34">
        <v>2.3479999999999999</v>
      </c>
      <c r="I1918" s="31">
        <v>199800</v>
      </c>
      <c r="J1918" s="35" t="s">
        <v>1132</v>
      </c>
      <c r="K1918" s="36">
        <v>2023</v>
      </c>
    </row>
    <row r="1919" spans="1:11" ht="15" customHeight="1" x14ac:dyDescent="0.3">
      <c r="A1919" s="37">
        <v>1914</v>
      </c>
      <c r="B1919" s="38" t="s">
        <v>3923</v>
      </c>
      <c r="C1919" s="38" t="s">
        <v>4141</v>
      </c>
      <c r="D1919" s="38" t="s">
        <v>4142</v>
      </c>
      <c r="E1919" s="38" t="s">
        <v>4143</v>
      </c>
      <c r="F1919" s="38" t="s">
        <v>316</v>
      </c>
      <c r="G1919" s="39">
        <v>807</v>
      </c>
      <c r="H1919" s="40">
        <v>5.3879999999999999</v>
      </c>
      <c r="I1919" s="37">
        <v>255800</v>
      </c>
      <c r="J1919" s="41" t="s">
        <v>1132</v>
      </c>
      <c r="K1919" s="42">
        <v>2023</v>
      </c>
    </row>
    <row r="1920" spans="1:11" ht="15" customHeight="1" x14ac:dyDescent="0.3">
      <c r="A1920" s="31">
        <v>1915</v>
      </c>
      <c r="B1920" s="32" t="s">
        <v>3923</v>
      </c>
      <c r="C1920" s="32" t="s">
        <v>4144</v>
      </c>
      <c r="D1920" s="32" t="s">
        <v>2471</v>
      </c>
      <c r="E1920" s="32" t="s">
        <v>35</v>
      </c>
      <c r="F1920" s="32" t="s">
        <v>312</v>
      </c>
      <c r="G1920" s="33">
        <v>350</v>
      </c>
      <c r="H1920" s="34">
        <v>0.79400000000000004</v>
      </c>
      <c r="I1920" s="31">
        <v>171800</v>
      </c>
      <c r="J1920" s="35" t="s">
        <v>1132</v>
      </c>
      <c r="K1920" s="36">
        <v>2023</v>
      </c>
    </row>
    <row r="1921" spans="1:11" ht="15" customHeight="1" x14ac:dyDescent="0.3">
      <c r="A1921" s="37">
        <v>1916</v>
      </c>
      <c r="B1921" s="38" t="s">
        <v>3923</v>
      </c>
      <c r="C1921" s="38" t="s">
        <v>4145</v>
      </c>
      <c r="D1921" s="38" t="s">
        <v>4146</v>
      </c>
      <c r="E1921" s="38" t="s">
        <v>4147</v>
      </c>
      <c r="F1921" s="38" t="s">
        <v>373</v>
      </c>
      <c r="G1921" s="39">
        <v>386</v>
      </c>
      <c r="H1921" s="40">
        <v>1.3380000000000001</v>
      </c>
      <c r="I1921" s="37">
        <v>199800</v>
      </c>
      <c r="J1921" s="41" t="s">
        <v>1132</v>
      </c>
      <c r="K1921" s="42">
        <v>2023</v>
      </c>
    </row>
    <row r="1922" spans="1:11" ht="15" customHeight="1" x14ac:dyDescent="0.3">
      <c r="A1922" s="31">
        <v>1917</v>
      </c>
      <c r="B1922" s="32" t="s">
        <v>3923</v>
      </c>
      <c r="C1922" s="32" t="s">
        <v>4148</v>
      </c>
      <c r="D1922" s="32" t="s">
        <v>996</v>
      </c>
      <c r="E1922" s="32" t="s">
        <v>35</v>
      </c>
      <c r="F1922" s="32" t="s">
        <v>276</v>
      </c>
      <c r="G1922" s="33">
        <v>260</v>
      </c>
      <c r="H1922" s="34">
        <v>1.286</v>
      </c>
      <c r="I1922" s="31">
        <v>199800</v>
      </c>
      <c r="J1922" s="35" t="s">
        <v>1132</v>
      </c>
      <c r="K1922" s="36">
        <v>2023</v>
      </c>
    </row>
    <row r="1923" spans="1:11" ht="15" customHeight="1" x14ac:dyDescent="0.3">
      <c r="A1923" s="37">
        <v>1918</v>
      </c>
      <c r="B1923" s="38" t="s">
        <v>3923</v>
      </c>
      <c r="C1923" s="38" t="s">
        <v>4149</v>
      </c>
      <c r="D1923" s="38" t="s">
        <v>4150</v>
      </c>
      <c r="E1923" s="38" t="s">
        <v>2556</v>
      </c>
      <c r="F1923" s="38" t="s">
        <v>4151</v>
      </c>
      <c r="G1923" s="39">
        <v>1468</v>
      </c>
      <c r="H1923" s="40">
        <v>13.526</v>
      </c>
      <c r="I1923" s="37">
        <v>493800</v>
      </c>
      <c r="J1923" s="41" t="s">
        <v>1132</v>
      </c>
      <c r="K1923" s="42">
        <v>2023</v>
      </c>
    </row>
    <row r="1924" spans="1:11" ht="15" customHeight="1" x14ac:dyDescent="0.3">
      <c r="A1924" s="31">
        <v>1919</v>
      </c>
      <c r="B1924" s="32" t="s">
        <v>3923</v>
      </c>
      <c r="C1924" s="32" t="s">
        <v>4152</v>
      </c>
      <c r="D1924" s="32" t="s">
        <v>4153</v>
      </c>
      <c r="E1924" s="32" t="s">
        <v>2251</v>
      </c>
      <c r="F1924" s="32" t="s">
        <v>287</v>
      </c>
      <c r="G1924" s="33">
        <v>2185</v>
      </c>
      <c r="H1924" s="34">
        <v>2.69</v>
      </c>
      <c r="I1924" s="31">
        <v>225000</v>
      </c>
      <c r="J1924" s="35" t="s">
        <v>1132</v>
      </c>
      <c r="K1924" s="36">
        <v>2023</v>
      </c>
    </row>
    <row r="1925" spans="1:11" ht="15" customHeight="1" x14ac:dyDescent="0.3">
      <c r="A1925" s="37">
        <v>1920</v>
      </c>
      <c r="B1925" s="38" t="s">
        <v>2404</v>
      </c>
      <c r="C1925" s="38" t="s">
        <v>4154</v>
      </c>
      <c r="D1925" s="38" t="s">
        <v>4155</v>
      </c>
      <c r="E1925" s="38" t="s">
        <v>4156</v>
      </c>
      <c r="F1925" s="38" t="s">
        <v>1095</v>
      </c>
      <c r="G1925" s="39">
        <v>4003</v>
      </c>
      <c r="H1925" s="40">
        <v>6.1440000000000001</v>
      </c>
      <c r="I1925" s="37">
        <v>321000</v>
      </c>
      <c r="J1925" s="41" t="s">
        <v>1132</v>
      </c>
      <c r="K1925" s="42">
        <v>2023</v>
      </c>
    </row>
    <row r="1926" spans="1:11" ht="15" customHeight="1" x14ac:dyDescent="0.3">
      <c r="A1926" s="31">
        <v>1921</v>
      </c>
      <c r="B1926" s="32" t="s">
        <v>2404</v>
      </c>
      <c r="C1926" s="32" t="s">
        <v>4157</v>
      </c>
      <c r="D1926" s="32" t="s">
        <v>4158</v>
      </c>
      <c r="E1926" s="32" t="s">
        <v>4159</v>
      </c>
      <c r="F1926" s="32" t="s">
        <v>316</v>
      </c>
      <c r="G1926" s="33">
        <v>1060</v>
      </c>
      <c r="H1926" s="34">
        <v>4.1349999999999998</v>
      </c>
      <c r="I1926" s="31">
        <v>255800</v>
      </c>
      <c r="J1926" s="35" t="s">
        <v>1132</v>
      </c>
      <c r="K1926" s="36">
        <v>2023</v>
      </c>
    </row>
    <row r="1927" spans="1:11" ht="15" customHeight="1" x14ac:dyDescent="0.3">
      <c r="A1927" s="37">
        <v>1922</v>
      </c>
      <c r="B1927" s="38" t="s">
        <v>2404</v>
      </c>
      <c r="C1927" s="38" t="s">
        <v>4160</v>
      </c>
      <c r="D1927" s="38" t="s">
        <v>2843</v>
      </c>
      <c r="E1927" s="38" t="s">
        <v>37</v>
      </c>
      <c r="F1927" s="38" t="s">
        <v>316</v>
      </c>
      <c r="G1927" s="39">
        <v>4410</v>
      </c>
      <c r="H1927" s="40">
        <v>8.5259999999999998</v>
      </c>
      <c r="I1927" s="37">
        <v>358800</v>
      </c>
      <c r="J1927" s="41" t="s">
        <v>1132</v>
      </c>
      <c r="K1927" s="42">
        <v>2023</v>
      </c>
    </row>
    <row r="1928" spans="1:11" ht="15" customHeight="1" x14ac:dyDescent="0.3">
      <c r="A1928" s="31">
        <v>1923</v>
      </c>
      <c r="B1928" s="32" t="s">
        <v>2404</v>
      </c>
      <c r="C1928" s="32" t="s">
        <v>4161</v>
      </c>
      <c r="D1928" s="32" t="s">
        <v>4162</v>
      </c>
      <c r="E1928" s="32" t="s">
        <v>4163</v>
      </c>
      <c r="F1928" s="32" t="s">
        <v>276</v>
      </c>
      <c r="G1928" s="33">
        <v>230</v>
      </c>
      <c r="H1928" s="34">
        <v>2.0990000000000002</v>
      </c>
      <c r="I1928" s="31">
        <v>199800</v>
      </c>
      <c r="J1928" s="35" t="s">
        <v>1132</v>
      </c>
      <c r="K1928" s="36">
        <v>2023</v>
      </c>
    </row>
    <row r="1929" spans="1:11" ht="15" customHeight="1" x14ac:dyDescent="0.3">
      <c r="A1929" s="37">
        <v>1924</v>
      </c>
      <c r="B1929" s="38" t="s">
        <v>2404</v>
      </c>
      <c r="C1929" s="38" t="s">
        <v>4164</v>
      </c>
      <c r="D1929" s="38" t="s">
        <v>242</v>
      </c>
      <c r="E1929" s="38" t="s">
        <v>243</v>
      </c>
      <c r="F1929" s="38" t="s">
        <v>276</v>
      </c>
      <c r="G1929" s="39">
        <v>287.89999999999998</v>
      </c>
      <c r="H1929" s="40">
        <v>0.76800000000000002</v>
      </c>
      <c r="I1929" s="37">
        <v>169000</v>
      </c>
      <c r="J1929" s="41" t="s">
        <v>1132</v>
      </c>
      <c r="K1929" s="42">
        <v>2023</v>
      </c>
    </row>
    <row r="1930" spans="1:11" ht="15" customHeight="1" x14ac:dyDescent="0.3">
      <c r="A1930" s="31">
        <v>1925</v>
      </c>
      <c r="B1930" s="32" t="s">
        <v>2404</v>
      </c>
      <c r="C1930" s="32" t="s">
        <v>4165</v>
      </c>
      <c r="D1930" s="32" t="s">
        <v>4166</v>
      </c>
      <c r="E1930" s="32" t="s">
        <v>2935</v>
      </c>
      <c r="F1930" s="32" t="s">
        <v>937</v>
      </c>
      <c r="G1930" s="33">
        <v>2263</v>
      </c>
      <c r="H1930" s="34">
        <v>3.8359999999999999</v>
      </c>
      <c r="I1930" s="31">
        <v>255800</v>
      </c>
      <c r="J1930" s="35" t="s">
        <v>1132</v>
      </c>
      <c r="K1930" s="36">
        <v>2023</v>
      </c>
    </row>
    <row r="1931" spans="1:11" ht="15" customHeight="1" x14ac:dyDescent="0.3">
      <c r="A1931" s="37">
        <v>1926</v>
      </c>
      <c r="B1931" s="38" t="s">
        <v>2404</v>
      </c>
      <c r="C1931" s="38" t="s">
        <v>4167</v>
      </c>
      <c r="D1931" s="38" t="s">
        <v>3998</v>
      </c>
      <c r="E1931" s="38" t="s">
        <v>35</v>
      </c>
      <c r="F1931" s="38" t="s">
        <v>4168</v>
      </c>
      <c r="G1931" s="39">
        <v>1740</v>
      </c>
      <c r="H1931" s="40">
        <v>2.2999999999999998</v>
      </c>
      <c r="I1931" s="37">
        <v>283800</v>
      </c>
      <c r="J1931" s="41" t="s">
        <v>1132</v>
      </c>
      <c r="K1931" s="42">
        <v>2023</v>
      </c>
    </row>
    <row r="1932" spans="1:11" ht="15" customHeight="1" x14ac:dyDescent="0.3">
      <c r="A1932" s="31">
        <v>1927</v>
      </c>
      <c r="B1932" s="32" t="s">
        <v>3801</v>
      </c>
      <c r="C1932" s="32" t="s">
        <v>4169</v>
      </c>
      <c r="D1932" s="32" t="s">
        <v>3941</v>
      </c>
      <c r="E1932" s="32" t="s">
        <v>4170</v>
      </c>
      <c r="F1932" s="32" t="s">
        <v>4171</v>
      </c>
      <c r="G1932" s="33">
        <v>4218.6000000000004</v>
      </c>
      <c r="H1932" s="34">
        <v>7.7039999999999997</v>
      </c>
      <c r="I1932" s="31">
        <v>329000</v>
      </c>
      <c r="J1932" s="35" t="s">
        <v>1259</v>
      </c>
      <c r="K1932" s="36">
        <v>2023</v>
      </c>
    </row>
    <row r="1933" spans="1:11" ht="15" customHeight="1" x14ac:dyDescent="0.3">
      <c r="A1933" s="37">
        <v>1928</v>
      </c>
      <c r="B1933" s="38" t="s">
        <v>3801</v>
      </c>
      <c r="C1933" s="38" t="s">
        <v>4172</v>
      </c>
      <c r="D1933" s="38" t="s">
        <v>42</v>
      </c>
      <c r="E1933" s="38" t="s">
        <v>35</v>
      </c>
      <c r="F1933" s="38" t="s">
        <v>2906</v>
      </c>
      <c r="G1933" s="39">
        <v>168</v>
      </c>
      <c r="H1933" s="40">
        <v>0.72</v>
      </c>
      <c r="I1933" s="37">
        <v>199800</v>
      </c>
      <c r="J1933" s="41" t="s">
        <v>1259</v>
      </c>
      <c r="K1933" s="42">
        <v>2023</v>
      </c>
    </row>
    <row r="1934" spans="1:11" ht="15" customHeight="1" x14ac:dyDescent="0.3">
      <c r="A1934" s="31">
        <v>1929</v>
      </c>
      <c r="B1934" s="32" t="s">
        <v>3801</v>
      </c>
      <c r="C1934" s="32" t="s">
        <v>4173</v>
      </c>
      <c r="D1934" s="32" t="s">
        <v>4174</v>
      </c>
      <c r="E1934" s="32" t="s">
        <v>35</v>
      </c>
      <c r="F1934" s="32" t="s">
        <v>658</v>
      </c>
      <c r="G1934" s="33">
        <v>2149</v>
      </c>
      <c r="H1934" s="34">
        <v>1.5780000000000001</v>
      </c>
      <c r="I1934" s="31">
        <v>283800</v>
      </c>
      <c r="J1934" s="35" t="s">
        <v>1259</v>
      </c>
      <c r="K1934" s="36">
        <v>2023</v>
      </c>
    </row>
    <row r="1935" spans="1:11" ht="15" customHeight="1" x14ac:dyDescent="0.3">
      <c r="A1935" s="37">
        <v>1930</v>
      </c>
      <c r="B1935" s="38" t="s">
        <v>3801</v>
      </c>
      <c r="C1935" s="38" t="s">
        <v>4175</v>
      </c>
      <c r="D1935" s="38" t="s">
        <v>4176</v>
      </c>
      <c r="E1935" s="38" t="s">
        <v>4177</v>
      </c>
      <c r="F1935" s="38" t="s">
        <v>312</v>
      </c>
      <c r="G1935" s="39">
        <v>742</v>
      </c>
      <c r="H1935" s="40">
        <v>7.6349999999999998</v>
      </c>
      <c r="I1935" s="37">
        <v>356000</v>
      </c>
      <c r="J1935" s="41" t="s">
        <v>1259</v>
      </c>
      <c r="K1935" s="42">
        <v>2023</v>
      </c>
    </row>
    <row r="1936" spans="1:11" ht="15" customHeight="1" x14ac:dyDescent="0.3">
      <c r="A1936" s="31">
        <v>1931</v>
      </c>
      <c r="B1936" s="32" t="s">
        <v>3801</v>
      </c>
      <c r="C1936" s="32" t="s">
        <v>4178</v>
      </c>
      <c r="D1936" s="32" t="s">
        <v>4107</v>
      </c>
      <c r="E1936" s="32" t="s">
        <v>45</v>
      </c>
      <c r="F1936" s="32" t="s">
        <v>312</v>
      </c>
      <c r="G1936" s="33">
        <v>41</v>
      </c>
      <c r="H1936" s="34">
        <v>0.439</v>
      </c>
      <c r="I1936" s="31">
        <v>143000</v>
      </c>
      <c r="J1936" s="35" t="s">
        <v>1259</v>
      </c>
      <c r="K1936" s="36">
        <v>2023</v>
      </c>
    </row>
    <row r="1937" spans="1:11" ht="15" customHeight="1" x14ac:dyDescent="0.3">
      <c r="A1937" s="37">
        <v>1932</v>
      </c>
      <c r="B1937" s="38" t="s">
        <v>3801</v>
      </c>
      <c r="C1937" s="38" t="s">
        <v>4179</v>
      </c>
      <c r="D1937" s="38" t="s">
        <v>4180</v>
      </c>
      <c r="E1937" s="38" t="s">
        <v>4181</v>
      </c>
      <c r="F1937" s="38" t="s">
        <v>312</v>
      </c>
      <c r="G1937" s="39">
        <v>835</v>
      </c>
      <c r="H1937" s="40">
        <v>6.5590000000000002</v>
      </c>
      <c r="I1937" s="37">
        <v>311800</v>
      </c>
      <c r="J1937" s="41" t="s">
        <v>1259</v>
      </c>
      <c r="K1937" s="42">
        <v>2023</v>
      </c>
    </row>
    <row r="1938" spans="1:11" ht="15" customHeight="1" x14ac:dyDescent="0.3">
      <c r="A1938" s="31">
        <v>1933</v>
      </c>
      <c r="B1938" s="32" t="s">
        <v>3801</v>
      </c>
      <c r="C1938" s="32" t="s">
        <v>4182</v>
      </c>
      <c r="D1938" s="32" t="s">
        <v>4183</v>
      </c>
      <c r="E1938" s="32" t="s">
        <v>4184</v>
      </c>
      <c r="F1938" s="32" t="s">
        <v>4185</v>
      </c>
      <c r="G1938" s="33">
        <v>138</v>
      </c>
      <c r="H1938" s="34">
        <v>0.38900000000000001</v>
      </c>
      <c r="I1938" s="31">
        <v>143000</v>
      </c>
      <c r="J1938" s="35" t="s">
        <v>1259</v>
      </c>
      <c r="K1938" s="36">
        <v>2023</v>
      </c>
    </row>
    <row r="1939" spans="1:11" ht="15" customHeight="1" x14ac:dyDescent="0.3">
      <c r="A1939" s="37">
        <v>1934</v>
      </c>
      <c r="B1939" s="38" t="s">
        <v>3801</v>
      </c>
      <c r="C1939" s="38" t="s">
        <v>4186</v>
      </c>
      <c r="D1939" s="38" t="s">
        <v>4187</v>
      </c>
      <c r="E1939" s="38" t="s">
        <v>4188</v>
      </c>
      <c r="F1939" s="38" t="s">
        <v>373</v>
      </c>
      <c r="G1939" s="39">
        <v>1490</v>
      </c>
      <c r="H1939" s="40">
        <v>11.959</v>
      </c>
      <c r="I1939" s="37">
        <v>439800</v>
      </c>
      <c r="J1939" s="41" t="s">
        <v>1259</v>
      </c>
      <c r="K1939" s="42">
        <v>2023</v>
      </c>
    </row>
    <row r="1940" spans="1:11" ht="15" customHeight="1" x14ac:dyDescent="0.3">
      <c r="A1940" s="31">
        <v>1935</v>
      </c>
      <c r="B1940" s="32" t="s">
        <v>3801</v>
      </c>
      <c r="C1940" s="32" t="s">
        <v>4189</v>
      </c>
      <c r="D1940" s="32" t="s">
        <v>2963</v>
      </c>
      <c r="E1940" s="32" t="s">
        <v>41</v>
      </c>
      <c r="F1940" s="32" t="s">
        <v>312</v>
      </c>
      <c r="G1940" s="33">
        <v>1280</v>
      </c>
      <c r="H1940" s="34">
        <v>4.4550000000000001</v>
      </c>
      <c r="I1940" s="31">
        <v>227800</v>
      </c>
      <c r="J1940" s="35" t="s">
        <v>1259</v>
      </c>
      <c r="K1940" s="36">
        <v>2023</v>
      </c>
    </row>
    <row r="1941" spans="1:11" ht="15" customHeight="1" x14ac:dyDescent="0.3">
      <c r="A1941" s="37">
        <v>1936</v>
      </c>
      <c r="B1941" s="38" t="s">
        <v>3801</v>
      </c>
      <c r="C1941" s="38" t="s">
        <v>4190</v>
      </c>
      <c r="D1941" s="38" t="s">
        <v>1508</v>
      </c>
      <c r="E1941" s="38" t="s">
        <v>45</v>
      </c>
      <c r="F1941" s="38" t="s">
        <v>2126</v>
      </c>
      <c r="G1941" s="39">
        <v>510.19</v>
      </c>
      <c r="H1941" s="40">
        <v>4.2919999999999998</v>
      </c>
      <c r="I1941" s="37">
        <v>225000</v>
      </c>
      <c r="J1941" s="41" t="s">
        <v>1259</v>
      </c>
      <c r="K1941" s="42">
        <v>2023</v>
      </c>
    </row>
    <row r="1942" spans="1:11" ht="15" customHeight="1" x14ac:dyDescent="0.3">
      <c r="A1942" s="31">
        <v>1937</v>
      </c>
      <c r="B1942" s="32" t="s">
        <v>3801</v>
      </c>
      <c r="C1942" s="32" t="s">
        <v>4191</v>
      </c>
      <c r="D1942" s="32" t="s">
        <v>4192</v>
      </c>
      <c r="E1942" s="32" t="s">
        <v>4193</v>
      </c>
      <c r="F1942" s="32" t="s">
        <v>2906</v>
      </c>
      <c r="G1942" s="33">
        <v>950</v>
      </c>
      <c r="H1942" s="34">
        <v>2.72</v>
      </c>
      <c r="I1942" s="31">
        <v>197000</v>
      </c>
      <c r="J1942" s="35" t="s">
        <v>1259</v>
      </c>
      <c r="K1942" s="36">
        <v>2023</v>
      </c>
    </row>
    <row r="1943" spans="1:11" ht="15" customHeight="1" x14ac:dyDescent="0.3">
      <c r="A1943" s="37">
        <v>1938</v>
      </c>
      <c r="B1943" s="38" t="s">
        <v>3801</v>
      </c>
      <c r="C1943" s="38" t="s">
        <v>4194</v>
      </c>
      <c r="D1943" s="38" t="s">
        <v>4195</v>
      </c>
      <c r="E1943" s="38" t="s">
        <v>4196</v>
      </c>
      <c r="F1943" s="38" t="s">
        <v>435</v>
      </c>
      <c r="G1943" s="39">
        <v>1839</v>
      </c>
      <c r="H1943" s="40">
        <v>4.67</v>
      </c>
      <c r="I1943" s="37">
        <v>255800</v>
      </c>
      <c r="J1943" s="41" t="s">
        <v>1259</v>
      </c>
      <c r="K1943" s="42">
        <v>2023</v>
      </c>
    </row>
    <row r="1944" spans="1:11" ht="15" customHeight="1" x14ac:dyDescent="0.3">
      <c r="A1944" s="31">
        <v>1939</v>
      </c>
      <c r="B1944" s="32" t="s">
        <v>360</v>
      </c>
      <c r="C1944" s="32" t="s">
        <v>4197</v>
      </c>
      <c r="D1944" s="32" t="s">
        <v>2050</v>
      </c>
      <c r="E1944" s="32" t="s">
        <v>3374</v>
      </c>
      <c r="F1944" s="32" t="s">
        <v>287</v>
      </c>
      <c r="G1944" s="33">
        <v>875.74</v>
      </c>
      <c r="H1944" s="34">
        <v>5.319</v>
      </c>
      <c r="I1944" s="31">
        <v>311800</v>
      </c>
      <c r="J1944" s="35" t="s">
        <v>1259</v>
      </c>
      <c r="K1944" s="36">
        <v>2023</v>
      </c>
    </row>
    <row r="1945" spans="1:11" ht="15" customHeight="1" x14ac:dyDescent="0.3">
      <c r="A1945" s="37">
        <v>1940</v>
      </c>
      <c r="B1945" s="38" t="s">
        <v>360</v>
      </c>
      <c r="C1945" s="38" t="s">
        <v>4198</v>
      </c>
      <c r="D1945" s="38" t="s">
        <v>4199</v>
      </c>
      <c r="E1945" s="38" t="s">
        <v>2948</v>
      </c>
      <c r="F1945" s="38" t="s">
        <v>316</v>
      </c>
      <c r="G1945" s="39">
        <v>866.4</v>
      </c>
      <c r="H1945" s="40">
        <v>1.498</v>
      </c>
      <c r="I1945" s="37">
        <v>227800</v>
      </c>
      <c r="J1945" s="41" t="s">
        <v>1259</v>
      </c>
      <c r="K1945" s="42">
        <v>2023</v>
      </c>
    </row>
    <row r="1946" spans="1:11" ht="15" customHeight="1" x14ac:dyDescent="0.3">
      <c r="A1946" s="31">
        <v>1941</v>
      </c>
      <c r="B1946" s="32" t="s">
        <v>360</v>
      </c>
      <c r="C1946" s="32" t="s">
        <v>4200</v>
      </c>
      <c r="D1946" s="32" t="s">
        <v>4201</v>
      </c>
      <c r="E1946" s="32" t="s">
        <v>4202</v>
      </c>
      <c r="F1946" s="32" t="s">
        <v>316</v>
      </c>
      <c r="G1946" s="33">
        <v>3360</v>
      </c>
      <c r="H1946" s="34">
        <v>1</v>
      </c>
      <c r="I1946" s="31">
        <v>199800</v>
      </c>
      <c r="J1946" s="35" t="s">
        <v>1259</v>
      </c>
      <c r="K1946" s="36">
        <v>2023</v>
      </c>
    </row>
    <row r="1947" spans="1:11" ht="15" customHeight="1" x14ac:dyDescent="0.3">
      <c r="A1947" s="37">
        <v>1942</v>
      </c>
      <c r="B1947" s="38" t="s">
        <v>360</v>
      </c>
      <c r="C1947" s="38" t="s">
        <v>4203</v>
      </c>
      <c r="D1947" s="38" t="s">
        <v>4204</v>
      </c>
      <c r="E1947" s="38" t="s">
        <v>4205</v>
      </c>
      <c r="F1947" s="38" t="s">
        <v>4171</v>
      </c>
      <c r="G1947" s="39">
        <v>1941.39</v>
      </c>
      <c r="H1947" s="40">
        <v>7.1420000000000003</v>
      </c>
      <c r="I1947" s="37">
        <v>309000</v>
      </c>
      <c r="J1947" s="41" t="s">
        <v>1259</v>
      </c>
      <c r="K1947" s="42">
        <v>2023</v>
      </c>
    </row>
    <row r="1948" spans="1:11" ht="15" customHeight="1" x14ac:dyDescent="0.3">
      <c r="A1948" s="31">
        <v>1943</v>
      </c>
      <c r="B1948" s="32" t="s">
        <v>4206</v>
      </c>
      <c r="C1948" s="32" t="s">
        <v>4207</v>
      </c>
      <c r="D1948" s="32" t="s">
        <v>4208</v>
      </c>
      <c r="E1948" s="32" t="s">
        <v>4209</v>
      </c>
      <c r="F1948" s="32" t="s">
        <v>689</v>
      </c>
      <c r="G1948" s="33">
        <v>1822.4</v>
      </c>
      <c r="H1948" s="34">
        <v>8.16</v>
      </c>
      <c r="I1948" s="31">
        <v>385800</v>
      </c>
      <c r="J1948" s="35" t="s">
        <v>1371</v>
      </c>
      <c r="K1948" s="36">
        <v>2023</v>
      </c>
    </row>
    <row r="1949" spans="1:11" ht="15" customHeight="1" x14ac:dyDescent="0.3">
      <c r="A1949" s="37">
        <v>1944</v>
      </c>
      <c r="B1949" s="38" t="s">
        <v>4206</v>
      </c>
      <c r="C1949" s="38" t="s">
        <v>4210</v>
      </c>
      <c r="D1949" s="38" t="s">
        <v>4211</v>
      </c>
      <c r="E1949" s="38" t="s">
        <v>39</v>
      </c>
      <c r="F1949" s="38" t="s">
        <v>435</v>
      </c>
      <c r="G1949" s="39">
        <v>1600</v>
      </c>
      <c r="H1949" s="40">
        <v>7.452</v>
      </c>
      <c r="I1949" s="37">
        <v>331800</v>
      </c>
      <c r="J1949" s="41" t="s">
        <v>1371</v>
      </c>
      <c r="K1949" s="42">
        <v>2023</v>
      </c>
    </row>
    <row r="1950" spans="1:11" ht="15" customHeight="1" x14ac:dyDescent="0.3">
      <c r="A1950" s="31">
        <v>1945</v>
      </c>
      <c r="B1950" s="32" t="s">
        <v>4206</v>
      </c>
      <c r="C1950" s="32" t="s">
        <v>4212</v>
      </c>
      <c r="D1950" s="32" t="s">
        <v>4213</v>
      </c>
      <c r="E1950" s="32" t="s">
        <v>4214</v>
      </c>
      <c r="F1950" s="32" t="s">
        <v>689</v>
      </c>
      <c r="G1950" s="33">
        <v>3890</v>
      </c>
      <c r="H1950" s="34">
        <v>9.3000000000000007</v>
      </c>
      <c r="I1950" s="31">
        <v>385800</v>
      </c>
      <c r="J1950" s="35" t="s">
        <v>1371</v>
      </c>
      <c r="K1950" s="36">
        <v>2023</v>
      </c>
    </row>
    <row r="1951" spans="1:11" ht="15" customHeight="1" x14ac:dyDescent="0.3">
      <c r="A1951" s="37">
        <v>1946</v>
      </c>
      <c r="B1951" s="38" t="s">
        <v>4206</v>
      </c>
      <c r="C1951" s="38" t="s">
        <v>4215</v>
      </c>
      <c r="D1951" s="38" t="s">
        <v>4067</v>
      </c>
      <c r="E1951" s="38" t="s">
        <v>4216</v>
      </c>
      <c r="F1951" s="38" t="s">
        <v>937</v>
      </c>
      <c r="G1951" s="39">
        <v>2190.41</v>
      </c>
      <c r="H1951" s="40">
        <v>5.1360000000000001</v>
      </c>
      <c r="I1951" s="37">
        <v>311800</v>
      </c>
      <c r="J1951" s="41" t="s">
        <v>1371</v>
      </c>
      <c r="K1951" s="42">
        <v>2023</v>
      </c>
    </row>
    <row r="1952" spans="1:11" ht="15" customHeight="1" x14ac:dyDescent="0.3">
      <c r="A1952" s="31">
        <v>1947</v>
      </c>
      <c r="B1952" s="32" t="s">
        <v>4206</v>
      </c>
      <c r="C1952" s="32" t="s">
        <v>4217</v>
      </c>
      <c r="D1952" s="32" t="s">
        <v>4218</v>
      </c>
      <c r="E1952" s="32" t="s">
        <v>4219</v>
      </c>
      <c r="F1952" s="32" t="s">
        <v>4220</v>
      </c>
      <c r="G1952" s="33">
        <v>293.20699999999999</v>
      </c>
      <c r="H1952" s="34">
        <v>2.476</v>
      </c>
      <c r="I1952" s="31">
        <v>255800</v>
      </c>
      <c r="J1952" s="35" t="s">
        <v>1371</v>
      </c>
      <c r="K1952" s="36">
        <v>2023</v>
      </c>
    </row>
    <row r="1953" spans="1:11" ht="15" customHeight="1" x14ac:dyDescent="0.3">
      <c r="A1953" s="37">
        <v>1948</v>
      </c>
      <c r="B1953" s="38" t="s">
        <v>4206</v>
      </c>
      <c r="C1953" s="38" t="s">
        <v>4221</v>
      </c>
      <c r="D1953" s="38" t="s">
        <v>4222</v>
      </c>
      <c r="E1953" s="38" t="s">
        <v>4223</v>
      </c>
      <c r="F1953" s="38" t="s">
        <v>658</v>
      </c>
      <c r="G1953" s="39">
        <v>12500</v>
      </c>
      <c r="H1953" s="40">
        <v>1.6060000000000001</v>
      </c>
      <c r="I1953" s="37">
        <v>197000</v>
      </c>
      <c r="J1953" s="41" t="s">
        <v>1371</v>
      </c>
      <c r="K1953" s="42">
        <v>2023</v>
      </c>
    </row>
    <row r="1954" spans="1:11" ht="15" customHeight="1" x14ac:dyDescent="0.3">
      <c r="A1954" s="31">
        <v>1949</v>
      </c>
      <c r="B1954" s="32" t="s">
        <v>4206</v>
      </c>
      <c r="C1954" s="32" t="s">
        <v>4224</v>
      </c>
      <c r="D1954" s="32" t="s">
        <v>453</v>
      </c>
      <c r="E1954" s="32" t="s">
        <v>454</v>
      </c>
      <c r="F1954" s="32" t="s">
        <v>316</v>
      </c>
      <c r="G1954" s="33">
        <v>2054</v>
      </c>
      <c r="H1954" s="34">
        <v>2.7120000000000002</v>
      </c>
      <c r="I1954" s="31">
        <v>255800</v>
      </c>
      <c r="J1954" s="35" t="s">
        <v>1371</v>
      </c>
      <c r="K1954" s="36">
        <v>2023</v>
      </c>
    </row>
    <row r="1955" spans="1:11" ht="15" customHeight="1" x14ac:dyDescent="0.3">
      <c r="A1955" s="37">
        <v>1950</v>
      </c>
      <c r="B1955" s="38" t="s">
        <v>4206</v>
      </c>
      <c r="C1955" s="38" t="s">
        <v>4225</v>
      </c>
      <c r="D1955" s="38" t="s">
        <v>3884</v>
      </c>
      <c r="E1955" s="38" t="s">
        <v>35</v>
      </c>
      <c r="F1955" s="38" t="s">
        <v>4226</v>
      </c>
      <c r="G1955" s="39">
        <v>1503</v>
      </c>
      <c r="H1955" s="40">
        <v>3.3650000000000002</v>
      </c>
      <c r="I1955" s="37">
        <v>311800</v>
      </c>
      <c r="J1955" s="41" t="s">
        <v>1371</v>
      </c>
      <c r="K1955" s="42">
        <v>2023</v>
      </c>
    </row>
    <row r="1956" spans="1:11" ht="15" customHeight="1" x14ac:dyDescent="0.3">
      <c r="A1956" s="31">
        <v>1951</v>
      </c>
      <c r="B1956" s="32" t="s">
        <v>4206</v>
      </c>
      <c r="C1956" s="32" t="s">
        <v>4227</v>
      </c>
      <c r="D1956" s="32" t="s">
        <v>4228</v>
      </c>
      <c r="E1956" s="32" t="s">
        <v>3566</v>
      </c>
      <c r="F1956" s="32" t="s">
        <v>316</v>
      </c>
      <c r="G1956" s="33">
        <v>895</v>
      </c>
      <c r="H1956" s="34">
        <v>2.16</v>
      </c>
      <c r="I1956" s="31">
        <v>227800</v>
      </c>
      <c r="J1956" s="35" t="s">
        <v>1371</v>
      </c>
      <c r="K1956" s="36">
        <v>2023</v>
      </c>
    </row>
    <row r="1957" spans="1:11" ht="15" customHeight="1" x14ac:dyDescent="0.3">
      <c r="A1957" s="37">
        <v>1952</v>
      </c>
      <c r="B1957" s="38" t="s">
        <v>4206</v>
      </c>
      <c r="C1957" s="38" t="s">
        <v>4229</v>
      </c>
      <c r="D1957" s="38" t="s">
        <v>4230</v>
      </c>
      <c r="E1957" s="38" t="s">
        <v>4231</v>
      </c>
      <c r="F1957" s="38" t="s">
        <v>4232</v>
      </c>
      <c r="G1957" s="39">
        <v>300</v>
      </c>
      <c r="H1957" s="40">
        <v>1</v>
      </c>
      <c r="I1957" s="37">
        <v>197000</v>
      </c>
      <c r="J1957" s="41" t="s">
        <v>1371</v>
      </c>
      <c r="K1957" s="42">
        <v>2023</v>
      </c>
    </row>
    <row r="1958" spans="1:11" ht="15" customHeight="1" x14ac:dyDescent="0.3">
      <c r="A1958" s="31">
        <v>1953</v>
      </c>
      <c r="B1958" s="32" t="s">
        <v>360</v>
      </c>
      <c r="C1958" s="32" t="s">
        <v>4233</v>
      </c>
      <c r="D1958" s="32" t="s">
        <v>4234</v>
      </c>
      <c r="E1958" s="32" t="s">
        <v>4235</v>
      </c>
      <c r="F1958" s="32" t="s">
        <v>937</v>
      </c>
      <c r="G1958" s="33">
        <v>1562</v>
      </c>
      <c r="H1958" s="34">
        <v>6.8019999999999996</v>
      </c>
      <c r="I1958" s="31">
        <v>281000</v>
      </c>
      <c r="J1958" s="35" t="s">
        <v>1404</v>
      </c>
      <c r="K1958" s="36">
        <v>2023</v>
      </c>
    </row>
    <row r="1959" spans="1:11" ht="15" customHeight="1" x14ac:dyDescent="0.3">
      <c r="A1959" s="37">
        <v>1954</v>
      </c>
      <c r="B1959" s="38" t="s">
        <v>360</v>
      </c>
      <c r="C1959" s="38" t="s">
        <v>4236</v>
      </c>
      <c r="D1959" s="38" t="s">
        <v>54</v>
      </c>
      <c r="E1959" s="38" t="s">
        <v>35</v>
      </c>
      <c r="F1959" s="38" t="s">
        <v>312</v>
      </c>
      <c r="G1959" s="39">
        <v>516</v>
      </c>
      <c r="H1959" s="40">
        <v>1.204</v>
      </c>
      <c r="I1959" s="37">
        <v>227800</v>
      </c>
      <c r="J1959" s="41" t="s">
        <v>1404</v>
      </c>
      <c r="K1959" s="42">
        <v>2023</v>
      </c>
    </row>
    <row r="1960" spans="1:11" ht="15" customHeight="1" x14ac:dyDescent="0.3">
      <c r="A1960" s="31">
        <v>1955</v>
      </c>
      <c r="B1960" s="32" t="s">
        <v>360</v>
      </c>
      <c r="C1960" s="32" t="s">
        <v>4237</v>
      </c>
      <c r="D1960" s="32" t="s">
        <v>4238</v>
      </c>
      <c r="E1960" s="32" t="s">
        <v>4239</v>
      </c>
      <c r="F1960" s="32" t="s">
        <v>406</v>
      </c>
      <c r="G1960" s="33">
        <v>720</v>
      </c>
      <c r="H1960" s="34">
        <v>4.4960000000000004</v>
      </c>
      <c r="I1960" s="31">
        <v>227800</v>
      </c>
      <c r="J1960" s="35" t="s">
        <v>1404</v>
      </c>
      <c r="K1960" s="36">
        <v>2023</v>
      </c>
    </row>
    <row r="1961" spans="1:11" ht="15" customHeight="1" x14ac:dyDescent="0.3">
      <c r="A1961" s="37">
        <v>1956</v>
      </c>
      <c r="B1961" s="38" t="s">
        <v>360</v>
      </c>
      <c r="C1961" s="38" t="s">
        <v>4240</v>
      </c>
      <c r="D1961" s="38" t="s">
        <v>4241</v>
      </c>
      <c r="E1961" s="38" t="s">
        <v>3753</v>
      </c>
      <c r="F1961" s="38" t="s">
        <v>435</v>
      </c>
      <c r="G1961" s="39">
        <v>1660.5</v>
      </c>
      <c r="H1961" s="40">
        <v>7.06</v>
      </c>
      <c r="I1961" s="37">
        <v>358800</v>
      </c>
      <c r="J1961" s="41" t="s">
        <v>1404</v>
      </c>
      <c r="K1961" s="42">
        <v>2023</v>
      </c>
    </row>
    <row r="1962" spans="1:11" ht="15" customHeight="1" x14ac:dyDescent="0.3">
      <c r="A1962" s="31">
        <v>1957</v>
      </c>
      <c r="B1962" s="32" t="s">
        <v>360</v>
      </c>
      <c r="C1962" s="32" t="s">
        <v>4242</v>
      </c>
      <c r="D1962" s="32" t="s">
        <v>4243</v>
      </c>
      <c r="E1962" s="32" t="s">
        <v>4244</v>
      </c>
      <c r="F1962" s="32" t="s">
        <v>306</v>
      </c>
      <c r="G1962" s="33">
        <v>100</v>
      </c>
      <c r="H1962" s="34">
        <v>0.3</v>
      </c>
      <c r="I1962" s="31">
        <v>143000</v>
      </c>
      <c r="J1962" s="35" t="s">
        <v>1404</v>
      </c>
      <c r="K1962" s="36">
        <v>2023</v>
      </c>
    </row>
    <row r="1963" spans="1:11" ht="15" customHeight="1" x14ac:dyDescent="0.3">
      <c r="A1963" s="37">
        <v>1958</v>
      </c>
      <c r="B1963" s="38" t="s">
        <v>4245</v>
      </c>
      <c r="C1963" s="38" t="s">
        <v>4246</v>
      </c>
      <c r="D1963" s="38" t="s">
        <v>4247</v>
      </c>
      <c r="E1963" s="38" t="s">
        <v>2251</v>
      </c>
      <c r="F1963" s="38" t="s">
        <v>276</v>
      </c>
      <c r="G1963" s="39">
        <v>140</v>
      </c>
      <c r="H1963" s="40">
        <v>2.5950000000000002</v>
      </c>
      <c r="I1963" s="37">
        <v>225000</v>
      </c>
      <c r="J1963" s="41" t="s">
        <v>1404</v>
      </c>
      <c r="K1963" s="42">
        <v>2023</v>
      </c>
    </row>
    <row r="1964" spans="1:11" ht="15" customHeight="1" x14ac:dyDescent="0.3">
      <c r="A1964" s="31">
        <v>1959</v>
      </c>
      <c r="B1964" s="32" t="s">
        <v>4245</v>
      </c>
      <c r="C1964" s="32" t="s">
        <v>4248</v>
      </c>
      <c r="D1964" s="32" t="s">
        <v>4249</v>
      </c>
      <c r="E1964" s="32" t="s">
        <v>648</v>
      </c>
      <c r="F1964" s="32" t="s">
        <v>435</v>
      </c>
      <c r="G1964" s="33">
        <v>1404</v>
      </c>
      <c r="H1964" s="34">
        <v>8.52</v>
      </c>
      <c r="I1964" s="31">
        <v>358800</v>
      </c>
      <c r="J1964" s="35" t="s">
        <v>1404</v>
      </c>
      <c r="K1964" s="36">
        <v>2023</v>
      </c>
    </row>
    <row r="1965" spans="1:11" ht="15" customHeight="1" x14ac:dyDescent="0.3">
      <c r="A1965" s="37">
        <v>1960</v>
      </c>
      <c r="B1965" s="38" t="s">
        <v>4245</v>
      </c>
      <c r="C1965" s="38" t="s">
        <v>4250</v>
      </c>
      <c r="D1965" s="38" t="s">
        <v>4251</v>
      </c>
      <c r="E1965" s="38" t="s">
        <v>4252</v>
      </c>
      <c r="F1965" s="38" t="s">
        <v>316</v>
      </c>
      <c r="G1965" s="39">
        <v>520</v>
      </c>
      <c r="H1965" s="40">
        <v>2.16</v>
      </c>
      <c r="I1965" s="37">
        <v>196800</v>
      </c>
      <c r="J1965" s="41" t="s">
        <v>1404</v>
      </c>
      <c r="K1965" s="42">
        <v>2023</v>
      </c>
    </row>
    <row r="1966" spans="1:11" ht="15" customHeight="1" x14ac:dyDescent="0.3">
      <c r="A1966" s="31">
        <v>1961</v>
      </c>
      <c r="B1966" s="32" t="s">
        <v>4245</v>
      </c>
      <c r="C1966" s="32" t="s">
        <v>4253</v>
      </c>
      <c r="D1966" s="32" t="s">
        <v>905</v>
      </c>
      <c r="E1966" s="32" t="s">
        <v>2251</v>
      </c>
      <c r="F1966" s="32" t="s">
        <v>276</v>
      </c>
      <c r="G1966" s="33">
        <v>173</v>
      </c>
      <c r="H1966" s="34">
        <v>0.57599999999999996</v>
      </c>
      <c r="I1966" s="31">
        <v>168000</v>
      </c>
      <c r="J1966" s="35" t="s">
        <v>1404</v>
      </c>
      <c r="K1966" s="36">
        <v>2023</v>
      </c>
    </row>
    <row r="1967" spans="1:11" ht="15" customHeight="1" x14ac:dyDescent="0.3">
      <c r="A1967" s="37">
        <v>1962</v>
      </c>
      <c r="B1967" s="38" t="s">
        <v>4245</v>
      </c>
      <c r="C1967" s="38" t="s">
        <v>4254</v>
      </c>
      <c r="D1967" s="38" t="s">
        <v>2800</v>
      </c>
      <c r="E1967" s="38" t="s">
        <v>3408</v>
      </c>
      <c r="F1967" s="38" t="s">
        <v>4255</v>
      </c>
      <c r="G1967" s="39">
        <v>1253.5</v>
      </c>
      <c r="H1967" s="40">
        <v>11.436999999999999</v>
      </c>
      <c r="I1967" s="37">
        <v>439800</v>
      </c>
      <c r="J1967" s="41" t="s">
        <v>1404</v>
      </c>
      <c r="K1967" s="42">
        <v>2023</v>
      </c>
    </row>
    <row r="1968" spans="1:11" ht="15" customHeight="1" x14ac:dyDescent="0.3">
      <c r="A1968" s="31">
        <v>1963</v>
      </c>
      <c r="B1968" s="32" t="s">
        <v>4245</v>
      </c>
      <c r="C1968" s="32" t="s">
        <v>4256</v>
      </c>
      <c r="D1968" s="32" t="s">
        <v>4257</v>
      </c>
      <c r="E1968" s="32" t="s">
        <v>35</v>
      </c>
      <c r="F1968" s="32" t="s">
        <v>689</v>
      </c>
      <c r="G1968" s="33">
        <v>1297</v>
      </c>
      <c r="H1968" s="34">
        <v>2.0249999999999999</v>
      </c>
      <c r="I1968" s="31">
        <v>255800</v>
      </c>
      <c r="J1968" s="35" t="s">
        <v>1404</v>
      </c>
      <c r="K1968" s="36">
        <v>2023</v>
      </c>
    </row>
    <row r="1969" spans="1:11" ht="15" customHeight="1" x14ac:dyDescent="0.3">
      <c r="A1969" s="37">
        <v>1964</v>
      </c>
      <c r="B1969" s="38" t="s">
        <v>4245</v>
      </c>
      <c r="C1969" s="38" t="s">
        <v>4258</v>
      </c>
      <c r="D1969" s="38" t="s">
        <v>1559</v>
      </c>
      <c r="E1969" s="38" t="s">
        <v>206</v>
      </c>
      <c r="F1969" s="38" t="s">
        <v>276</v>
      </c>
      <c r="G1969" s="39">
        <v>278.46499999999997</v>
      </c>
      <c r="H1969" s="40">
        <v>1</v>
      </c>
      <c r="I1969" s="37">
        <v>170800</v>
      </c>
      <c r="J1969" s="41" t="s">
        <v>1404</v>
      </c>
      <c r="K1969" s="42">
        <v>2023</v>
      </c>
    </row>
    <row r="1970" spans="1:11" ht="15" customHeight="1" x14ac:dyDescent="0.3">
      <c r="A1970" s="31">
        <v>1965</v>
      </c>
      <c r="B1970" s="32" t="s">
        <v>4245</v>
      </c>
      <c r="C1970" s="32" t="s">
        <v>4259</v>
      </c>
      <c r="D1970" s="32" t="s">
        <v>4260</v>
      </c>
      <c r="E1970" s="32" t="s">
        <v>4261</v>
      </c>
      <c r="F1970" s="32" t="s">
        <v>276</v>
      </c>
      <c r="G1970" s="33">
        <v>175</v>
      </c>
      <c r="H1970" s="34">
        <v>1.62</v>
      </c>
      <c r="I1970" s="31">
        <v>171800</v>
      </c>
      <c r="J1970" s="35" t="s">
        <v>1404</v>
      </c>
      <c r="K1970" s="36">
        <v>2023</v>
      </c>
    </row>
    <row r="1971" spans="1:11" ht="15" customHeight="1" x14ac:dyDescent="0.3">
      <c r="A1971" s="37">
        <v>1966</v>
      </c>
      <c r="B1971" s="38" t="s">
        <v>4245</v>
      </c>
      <c r="C1971" s="38" t="s">
        <v>4262</v>
      </c>
      <c r="D1971" s="38" t="s">
        <v>4263</v>
      </c>
      <c r="E1971" s="38" t="s">
        <v>4235</v>
      </c>
      <c r="F1971" s="38" t="s">
        <v>4264</v>
      </c>
      <c r="G1971" s="39">
        <v>3721</v>
      </c>
      <c r="H1971" s="40">
        <v>14.773999999999999</v>
      </c>
      <c r="I1971" s="37">
        <v>560000</v>
      </c>
      <c r="J1971" s="41" t="s">
        <v>1404</v>
      </c>
      <c r="K1971" s="42">
        <v>2023</v>
      </c>
    </row>
    <row r="1972" spans="1:11" ht="15" customHeight="1" x14ac:dyDescent="0.3">
      <c r="A1972" s="31">
        <v>1967</v>
      </c>
      <c r="B1972" s="32" t="s">
        <v>4265</v>
      </c>
      <c r="C1972" s="32" t="s">
        <v>4266</v>
      </c>
      <c r="D1972" s="32" t="s">
        <v>4267</v>
      </c>
      <c r="E1972" s="32" t="s">
        <v>35</v>
      </c>
      <c r="F1972" s="32" t="s">
        <v>276</v>
      </c>
      <c r="G1972" s="33">
        <v>220</v>
      </c>
      <c r="H1972" s="34">
        <v>2.7170000000000001</v>
      </c>
      <c r="I1972" s="31">
        <v>227800</v>
      </c>
      <c r="J1972" s="35" t="s">
        <v>1514</v>
      </c>
      <c r="K1972" s="36">
        <v>2023</v>
      </c>
    </row>
    <row r="1973" spans="1:11" ht="15" customHeight="1" x14ac:dyDescent="0.3">
      <c r="A1973" s="37">
        <v>1968</v>
      </c>
      <c r="B1973" s="38" t="s">
        <v>4265</v>
      </c>
      <c r="C1973" s="38" t="s">
        <v>4268</v>
      </c>
      <c r="D1973" s="38" t="s">
        <v>54</v>
      </c>
      <c r="E1973" s="38" t="s">
        <v>35</v>
      </c>
      <c r="F1973" s="38" t="s">
        <v>4269</v>
      </c>
      <c r="G1973" s="39">
        <v>1024</v>
      </c>
      <c r="H1973" s="40">
        <v>0.36099999999999999</v>
      </c>
      <c r="I1973" s="37">
        <v>255800</v>
      </c>
      <c r="J1973" s="41" t="s">
        <v>1514</v>
      </c>
      <c r="K1973" s="42">
        <v>2023</v>
      </c>
    </row>
    <row r="1974" spans="1:11" ht="15" customHeight="1" x14ac:dyDescent="0.3">
      <c r="A1974" s="31">
        <v>1969</v>
      </c>
      <c r="B1974" s="32" t="s">
        <v>4265</v>
      </c>
      <c r="C1974" s="32" t="s">
        <v>4270</v>
      </c>
      <c r="D1974" s="32" t="s">
        <v>4271</v>
      </c>
      <c r="E1974" s="32" t="s">
        <v>35</v>
      </c>
      <c r="F1974" s="32" t="s">
        <v>312</v>
      </c>
      <c r="G1974" s="33">
        <v>156</v>
      </c>
      <c r="H1974" s="34">
        <v>0.311</v>
      </c>
      <c r="I1974" s="31">
        <v>171800</v>
      </c>
      <c r="J1974" s="35" t="s">
        <v>1514</v>
      </c>
      <c r="K1974" s="36">
        <v>2023</v>
      </c>
    </row>
    <row r="1975" spans="1:11" ht="15" customHeight="1" x14ac:dyDescent="0.3">
      <c r="A1975" s="37">
        <v>1970</v>
      </c>
      <c r="B1975" s="38" t="s">
        <v>4265</v>
      </c>
      <c r="C1975" s="38" t="s">
        <v>4272</v>
      </c>
      <c r="D1975" s="38" t="s">
        <v>4273</v>
      </c>
      <c r="E1975" s="38" t="s">
        <v>2797</v>
      </c>
      <c r="F1975" s="38" t="s">
        <v>316</v>
      </c>
      <c r="G1975" s="39">
        <v>1246.4000000000001</v>
      </c>
      <c r="H1975" s="40">
        <v>2.99</v>
      </c>
      <c r="I1975" s="37">
        <v>255800</v>
      </c>
      <c r="J1975" s="41" t="s">
        <v>1514</v>
      </c>
      <c r="K1975" s="42">
        <v>2023</v>
      </c>
    </row>
    <row r="1976" spans="1:11" ht="15" customHeight="1" x14ac:dyDescent="0.3">
      <c r="A1976" s="31">
        <v>1971</v>
      </c>
      <c r="B1976" s="32" t="s">
        <v>4265</v>
      </c>
      <c r="C1976" s="32" t="s">
        <v>4274</v>
      </c>
      <c r="D1976" s="32" t="s">
        <v>4275</v>
      </c>
      <c r="E1976" s="32" t="s">
        <v>4276</v>
      </c>
      <c r="F1976" s="32" t="s">
        <v>276</v>
      </c>
      <c r="G1976" s="33">
        <v>232</v>
      </c>
      <c r="H1976" s="34">
        <v>1.1519999999999999</v>
      </c>
      <c r="I1976" s="31">
        <v>171800</v>
      </c>
      <c r="J1976" s="35" t="s">
        <v>1514</v>
      </c>
      <c r="K1976" s="36">
        <v>2023</v>
      </c>
    </row>
    <row r="1977" spans="1:11" ht="15" customHeight="1" x14ac:dyDescent="0.3">
      <c r="A1977" s="37">
        <v>1972</v>
      </c>
      <c r="B1977" s="38" t="s">
        <v>4265</v>
      </c>
      <c r="C1977" s="38" t="s">
        <v>4277</v>
      </c>
      <c r="D1977" s="38" t="s">
        <v>4067</v>
      </c>
      <c r="E1977" s="38" t="s">
        <v>4216</v>
      </c>
      <c r="F1977" s="38" t="s">
        <v>335</v>
      </c>
      <c r="G1977" s="39">
        <v>4126</v>
      </c>
      <c r="H1977" s="40">
        <v>5.99</v>
      </c>
      <c r="I1977" s="37">
        <v>280800</v>
      </c>
      <c r="J1977" s="41" t="s">
        <v>1514</v>
      </c>
      <c r="K1977" s="42">
        <v>2023</v>
      </c>
    </row>
    <row r="1978" spans="1:11" ht="15" customHeight="1" x14ac:dyDescent="0.3">
      <c r="A1978" s="31">
        <v>1973</v>
      </c>
      <c r="B1978" s="32" t="s">
        <v>4265</v>
      </c>
      <c r="C1978" s="32" t="s">
        <v>4278</v>
      </c>
      <c r="D1978" s="32" t="s">
        <v>4279</v>
      </c>
      <c r="E1978" s="32" t="s">
        <v>4280</v>
      </c>
      <c r="F1978" s="32" t="s">
        <v>316</v>
      </c>
      <c r="G1978" s="33">
        <v>1732.8</v>
      </c>
      <c r="H1978" s="34">
        <v>3.3980000000000001</v>
      </c>
      <c r="I1978" s="31">
        <v>281000</v>
      </c>
      <c r="J1978" s="35" t="s">
        <v>1514</v>
      </c>
      <c r="K1978" s="36">
        <v>2023</v>
      </c>
    </row>
    <row r="1979" spans="1:11" ht="15" customHeight="1" x14ac:dyDescent="0.3">
      <c r="A1979" s="37">
        <v>1974</v>
      </c>
      <c r="B1979" s="38" t="s">
        <v>4265</v>
      </c>
      <c r="C1979" s="38" t="s">
        <v>4281</v>
      </c>
      <c r="D1979" s="38" t="s">
        <v>4282</v>
      </c>
      <c r="E1979" s="38" t="s">
        <v>37</v>
      </c>
      <c r="F1979" s="38" t="s">
        <v>276</v>
      </c>
      <c r="G1979" s="39">
        <v>25</v>
      </c>
      <c r="H1979" s="40">
        <v>0.56599999999999995</v>
      </c>
      <c r="I1979" s="37">
        <v>145800</v>
      </c>
      <c r="J1979" s="41" t="s">
        <v>1514</v>
      </c>
      <c r="K1979" s="42">
        <v>2023</v>
      </c>
    </row>
    <row r="1980" spans="1:11" ht="15" customHeight="1" x14ac:dyDescent="0.3">
      <c r="A1980" s="31">
        <v>1975</v>
      </c>
      <c r="B1980" s="32" t="s">
        <v>4265</v>
      </c>
      <c r="C1980" s="32" t="s">
        <v>4283</v>
      </c>
      <c r="D1980" s="32" t="s">
        <v>3884</v>
      </c>
      <c r="E1980" s="32" t="s">
        <v>35</v>
      </c>
      <c r="F1980" s="32" t="s">
        <v>435</v>
      </c>
      <c r="G1980" s="33">
        <v>779</v>
      </c>
      <c r="H1980" s="34">
        <v>1.042</v>
      </c>
      <c r="I1980" s="31">
        <v>227800</v>
      </c>
      <c r="J1980" s="35" t="s">
        <v>1514</v>
      </c>
      <c r="K1980" s="36">
        <v>2023</v>
      </c>
    </row>
    <row r="1981" spans="1:11" ht="15" customHeight="1" x14ac:dyDescent="0.3">
      <c r="A1981" s="37">
        <v>1976</v>
      </c>
      <c r="B1981" s="38" t="s">
        <v>4265</v>
      </c>
      <c r="C1981" s="38" t="s">
        <v>4284</v>
      </c>
      <c r="D1981" s="38" t="s">
        <v>505</v>
      </c>
      <c r="E1981" s="38" t="s">
        <v>4202</v>
      </c>
      <c r="F1981" s="38" t="s">
        <v>312</v>
      </c>
      <c r="G1981" s="39">
        <v>104</v>
      </c>
      <c r="H1981" s="40">
        <v>0.159</v>
      </c>
      <c r="I1981" s="37">
        <v>145800</v>
      </c>
      <c r="J1981" s="41" t="s">
        <v>1514</v>
      </c>
      <c r="K1981" s="42">
        <v>2023</v>
      </c>
    </row>
    <row r="1982" spans="1:11" ht="15" customHeight="1" x14ac:dyDescent="0.3">
      <c r="A1982" s="31">
        <v>1977</v>
      </c>
      <c r="B1982" s="32" t="s">
        <v>4265</v>
      </c>
      <c r="C1982" s="32" t="s">
        <v>4285</v>
      </c>
      <c r="D1982" s="32" t="s">
        <v>528</v>
      </c>
      <c r="E1982" s="32" t="s">
        <v>4286</v>
      </c>
      <c r="F1982" s="32" t="s">
        <v>435</v>
      </c>
      <c r="G1982" s="33">
        <v>3200</v>
      </c>
      <c r="H1982" s="34">
        <v>5.5679999999999996</v>
      </c>
      <c r="I1982" s="31">
        <v>358800</v>
      </c>
      <c r="J1982" s="35" t="s">
        <v>1514</v>
      </c>
      <c r="K1982" s="36">
        <v>2023</v>
      </c>
    </row>
    <row r="1983" spans="1:11" ht="15" customHeight="1" x14ac:dyDescent="0.3">
      <c r="A1983" s="37">
        <v>1978</v>
      </c>
      <c r="B1983" s="38" t="s">
        <v>4265</v>
      </c>
      <c r="C1983" s="38" t="s">
        <v>4287</v>
      </c>
      <c r="D1983" s="38" t="s">
        <v>4288</v>
      </c>
      <c r="E1983" s="38" t="s">
        <v>4289</v>
      </c>
      <c r="F1983" s="38" t="s">
        <v>4290</v>
      </c>
      <c r="G1983" s="39">
        <v>789</v>
      </c>
      <c r="H1983" s="40">
        <v>5.1829999999999998</v>
      </c>
      <c r="I1983" s="37">
        <v>255800</v>
      </c>
      <c r="J1983" s="41" t="s">
        <v>1514</v>
      </c>
      <c r="K1983" s="42">
        <v>2023</v>
      </c>
    </row>
    <row r="1984" spans="1:11" ht="15" customHeight="1" x14ac:dyDescent="0.3">
      <c r="A1984" s="31">
        <v>1979</v>
      </c>
      <c r="B1984" s="32" t="s">
        <v>4265</v>
      </c>
      <c r="C1984" s="32" t="s">
        <v>4291</v>
      </c>
      <c r="D1984" s="32" t="s">
        <v>4292</v>
      </c>
      <c r="E1984" s="32" t="s">
        <v>3081</v>
      </c>
      <c r="F1984" s="32" t="s">
        <v>276</v>
      </c>
      <c r="G1984" s="33">
        <v>790</v>
      </c>
      <c r="H1984" s="34">
        <v>0.92400000000000004</v>
      </c>
      <c r="I1984" s="31">
        <v>199800</v>
      </c>
      <c r="J1984" s="35" t="s">
        <v>1514</v>
      </c>
      <c r="K1984" s="36">
        <v>2023</v>
      </c>
    </row>
    <row r="1985" spans="1:11" ht="15" customHeight="1" x14ac:dyDescent="0.3">
      <c r="A1985" s="37">
        <v>1980</v>
      </c>
      <c r="B1985" s="38" t="s">
        <v>4265</v>
      </c>
      <c r="C1985" s="38" t="s">
        <v>4293</v>
      </c>
      <c r="D1985" s="38" t="s">
        <v>3352</v>
      </c>
      <c r="E1985" s="38" t="s">
        <v>45</v>
      </c>
      <c r="F1985" s="38" t="s">
        <v>312</v>
      </c>
      <c r="G1985" s="39">
        <v>160</v>
      </c>
      <c r="H1985" s="40">
        <v>0.67200000000000004</v>
      </c>
      <c r="I1985" s="37">
        <v>143800</v>
      </c>
      <c r="J1985" s="41" t="s">
        <v>1514</v>
      </c>
      <c r="K1985" s="42">
        <v>2023</v>
      </c>
    </row>
    <row r="1986" spans="1:11" ht="15" customHeight="1" x14ac:dyDescent="0.3">
      <c r="A1986" s="31">
        <v>1981</v>
      </c>
      <c r="B1986" s="32" t="s">
        <v>4265</v>
      </c>
      <c r="C1986" s="32" t="s">
        <v>4294</v>
      </c>
      <c r="D1986" s="32" t="s">
        <v>4295</v>
      </c>
      <c r="E1986" s="32" t="s">
        <v>4296</v>
      </c>
      <c r="F1986" s="32" t="s">
        <v>276</v>
      </c>
      <c r="G1986" s="33">
        <v>165</v>
      </c>
      <c r="H1986" s="34">
        <v>0.76800000000000002</v>
      </c>
      <c r="I1986" s="31">
        <v>145000</v>
      </c>
      <c r="J1986" s="35" t="s">
        <v>1514</v>
      </c>
      <c r="K1986" s="36">
        <v>2023</v>
      </c>
    </row>
    <row r="1987" spans="1:11" ht="15" customHeight="1" x14ac:dyDescent="0.3">
      <c r="A1987" s="37">
        <v>1982</v>
      </c>
      <c r="B1987" s="38" t="s">
        <v>4265</v>
      </c>
      <c r="C1987" s="38" t="s">
        <v>4297</v>
      </c>
      <c r="D1987" s="38" t="s">
        <v>4298</v>
      </c>
      <c r="E1987" s="38" t="s">
        <v>4299</v>
      </c>
      <c r="F1987" s="38" t="s">
        <v>316</v>
      </c>
      <c r="G1987" s="39">
        <v>690.15</v>
      </c>
      <c r="H1987" s="40">
        <v>3.9540000000000002</v>
      </c>
      <c r="I1987" s="37">
        <v>283800</v>
      </c>
      <c r="J1987" s="41" t="s">
        <v>1514</v>
      </c>
      <c r="K1987" s="42">
        <v>2023</v>
      </c>
    </row>
    <row r="1988" spans="1:11" ht="15" customHeight="1" x14ac:dyDescent="0.3">
      <c r="A1988" s="31">
        <v>1983</v>
      </c>
      <c r="B1988" s="32" t="s">
        <v>4265</v>
      </c>
      <c r="C1988" s="32" t="s">
        <v>4300</v>
      </c>
      <c r="D1988" s="32" t="s">
        <v>4301</v>
      </c>
      <c r="E1988" s="32" t="s">
        <v>4302</v>
      </c>
      <c r="F1988" s="32" t="s">
        <v>316</v>
      </c>
      <c r="G1988" s="33">
        <v>1005.84</v>
      </c>
      <c r="H1988" s="34">
        <v>2.5870000000000002</v>
      </c>
      <c r="I1988" s="31">
        <v>283800</v>
      </c>
      <c r="J1988" s="35" t="s">
        <v>1514</v>
      </c>
      <c r="K1988" s="36">
        <v>2023</v>
      </c>
    </row>
    <row r="1989" spans="1:11" ht="15" customHeight="1" x14ac:dyDescent="0.3">
      <c r="A1989" s="37">
        <v>1984</v>
      </c>
      <c r="B1989" s="38" t="s">
        <v>4265</v>
      </c>
      <c r="C1989" s="38" t="s">
        <v>4303</v>
      </c>
      <c r="D1989" s="38" t="s">
        <v>3357</v>
      </c>
      <c r="E1989" s="38" t="s">
        <v>35</v>
      </c>
      <c r="F1989" s="38" t="s">
        <v>316</v>
      </c>
      <c r="G1989" s="39">
        <v>1460</v>
      </c>
      <c r="H1989" s="40">
        <v>2.016</v>
      </c>
      <c r="I1989" s="37">
        <v>255800</v>
      </c>
      <c r="J1989" s="41" t="s">
        <v>1514</v>
      </c>
      <c r="K1989" s="42">
        <v>2023</v>
      </c>
    </row>
    <row r="1990" spans="1:11" ht="15" customHeight="1" x14ac:dyDescent="0.3">
      <c r="A1990" s="31">
        <v>1985</v>
      </c>
      <c r="B1990" s="32" t="s">
        <v>4265</v>
      </c>
      <c r="C1990" s="32" t="s">
        <v>4304</v>
      </c>
      <c r="D1990" s="32" t="s">
        <v>4305</v>
      </c>
      <c r="E1990" s="32" t="s">
        <v>4306</v>
      </c>
      <c r="F1990" s="32" t="s">
        <v>287</v>
      </c>
      <c r="G1990" s="33">
        <v>1030</v>
      </c>
      <c r="H1990" s="34">
        <v>3.48</v>
      </c>
      <c r="I1990" s="31">
        <v>306000</v>
      </c>
      <c r="J1990" s="35" t="s">
        <v>1514</v>
      </c>
      <c r="K1990" s="36">
        <v>2023</v>
      </c>
    </row>
    <row r="1991" spans="1:11" ht="15" customHeight="1" x14ac:dyDescent="0.3">
      <c r="A1991" s="37">
        <v>1986</v>
      </c>
      <c r="B1991" s="38" t="s">
        <v>3801</v>
      </c>
      <c r="C1991" s="38" t="s">
        <v>4307</v>
      </c>
      <c r="D1991" s="38" t="s">
        <v>42</v>
      </c>
      <c r="E1991" s="38" t="s">
        <v>35</v>
      </c>
      <c r="F1991" s="38" t="s">
        <v>287</v>
      </c>
      <c r="G1991" s="39">
        <v>355.08</v>
      </c>
      <c r="H1991" s="40">
        <v>0.93899999999999995</v>
      </c>
      <c r="I1991" s="37">
        <v>171800</v>
      </c>
      <c r="J1991" s="41" t="s">
        <v>1514</v>
      </c>
      <c r="K1991" s="42">
        <v>2023</v>
      </c>
    </row>
    <row r="1992" spans="1:11" ht="15" customHeight="1" x14ac:dyDescent="0.3">
      <c r="A1992" s="31">
        <v>1987</v>
      </c>
      <c r="B1992" s="32" t="s">
        <v>3801</v>
      </c>
      <c r="C1992" s="32" t="s">
        <v>4308</v>
      </c>
      <c r="D1992" s="32" t="s">
        <v>4309</v>
      </c>
      <c r="E1992" s="32" t="s">
        <v>35</v>
      </c>
      <c r="F1992" s="32" t="s">
        <v>312</v>
      </c>
      <c r="G1992" s="33">
        <v>675</v>
      </c>
      <c r="H1992" s="34">
        <v>1.47</v>
      </c>
      <c r="I1992" s="31">
        <v>199800</v>
      </c>
      <c r="J1992" s="35" t="s">
        <v>1514</v>
      </c>
      <c r="K1992" s="36">
        <v>2023</v>
      </c>
    </row>
    <row r="1993" spans="1:11" ht="15" customHeight="1" x14ac:dyDescent="0.3">
      <c r="A1993" s="37">
        <v>1988</v>
      </c>
      <c r="B1993" s="38" t="s">
        <v>3801</v>
      </c>
      <c r="C1993" s="38" t="s">
        <v>4310</v>
      </c>
      <c r="D1993" s="38" t="s">
        <v>4311</v>
      </c>
      <c r="E1993" s="38" t="s">
        <v>4312</v>
      </c>
      <c r="F1993" s="38" t="s">
        <v>386</v>
      </c>
      <c r="G1993" s="39">
        <v>524</v>
      </c>
      <c r="H1993" s="40">
        <v>3.8109999999999999</v>
      </c>
      <c r="I1993" s="37">
        <v>227800</v>
      </c>
      <c r="J1993" s="41" t="s">
        <v>1514</v>
      </c>
      <c r="K1993" s="42">
        <v>2023</v>
      </c>
    </row>
    <row r="1994" spans="1:11" ht="15" customHeight="1" x14ac:dyDescent="0.3">
      <c r="A1994" s="31">
        <v>1989</v>
      </c>
      <c r="B1994" s="32" t="s">
        <v>3801</v>
      </c>
      <c r="C1994" s="32" t="s">
        <v>4313</v>
      </c>
      <c r="D1994" s="32" t="s">
        <v>4314</v>
      </c>
      <c r="E1994" s="32" t="s">
        <v>4315</v>
      </c>
      <c r="F1994" s="32" t="s">
        <v>276</v>
      </c>
      <c r="G1994" s="33">
        <v>129</v>
      </c>
      <c r="H1994" s="34">
        <v>1.05</v>
      </c>
      <c r="I1994" s="31">
        <v>145800</v>
      </c>
      <c r="J1994" s="35" t="s">
        <v>1514</v>
      </c>
      <c r="K1994" s="36">
        <v>2023</v>
      </c>
    </row>
    <row r="1995" spans="1:11" ht="15" customHeight="1" x14ac:dyDescent="0.3">
      <c r="A1995" s="37">
        <v>1990</v>
      </c>
      <c r="B1995" s="38" t="s">
        <v>3801</v>
      </c>
      <c r="C1995" s="38" t="s">
        <v>4316</v>
      </c>
      <c r="D1995" s="38" t="s">
        <v>4317</v>
      </c>
      <c r="E1995" s="38" t="s">
        <v>4318</v>
      </c>
      <c r="F1995" s="38" t="s">
        <v>276</v>
      </c>
      <c r="G1995" s="39">
        <v>547</v>
      </c>
      <c r="H1995" s="40">
        <v>3.5840000000000001</v>
      </c>
      <c r="I1995" s="37">
        <v>227800</v>
      </c>
      <c r="J1995" s="41" t="s">
        <v>1514</v>
      </c>
      <c r="K1995" s="42">
        <v>2023</v>
      </c>
    </row>
    <row r="1996" spans="1:11" ht="15" customHeight="1" x14ac:dyDescent="0.3">
      <c r="A1996" s="31">
        <v>1991</v>
      </c>
      <c r="B1996" s="32" t="s">
        <v>3801</v>
      </c>
      <c r="C1996" s="32" t="s">
        <v>4319</v>
      </c>
      <c r="D1996" s="32" t="s">
        <v>4067</v>
      </c>
      <c r="E1996" s="32" t="s">
        <v>4216</v>
      </c>
      <c r="F1996" s="32" t="s">
        <v>533</v>
      </c>
      <c r="G1996" s="33">
        <v>3126</v>
      </c>
      <c r="H1996" s="34">
        <v>8.68</v>
      </c>
      <c r="I1996" s="31">
        <v>358800</v>
      </c>
      <c r="J1996" s="35" t="s">
        <v>1514</v>
      </c>
      <c r="K1996" s="36">
        <v>2023</v>
      </c>
    </row>
    <row r="1997" spans="1:11" ht="15" customHeight="1" x14ac:dyDescent="0.3">
      <c r="A1997" s="37">
        <v>1992</v>
      </c>
      <c r="B1997" s="38" t="s">
        <v>3801</v>
      </c>
      <c r="C1997" s="38" t="s">
        <v>4320</v>
      </c>
      <c r="D1997" s="38" t="s">
        <v>4321</v>
      </c>
      <c r="E1997" s="38" t="s">
        <v>4322</v>
      </c>
      <c r="F1997" s="38" t="s">
        <v>1095</v>
      </c>
      <c r="G1997" s="39">
        <v>464</v>
      </c>
      <c r="H1997" s="40">
        <v>1.6539999999999999</v>
      </c>
      <c r="I1997" s="37">
        <v>169000</v>
      </c>
      <c r="J1997" s="41" t="s">
        <v>1514</v>
      </c>
      <c r="K1997" s="42">
        <v>2023</v>
      </c>
    </row>
    <row r="1998" spans="1:11" ht="15" customHeight="1" x14ac:dyDescent="0.3">
      <c r="A1998" s="31">
        <v>1993</v>
      </c>
      <c r="B1998" s="32" t="s">
        <v>3801</v>
      </c>
      <c r="C1998" s="32" t="s">
        <v>4323</v>
      </c>
      <c r="D1998" s="32" t="s">
        <v>2608</v>
      </c>
      <c r="E1998" s="32" t="s">
        <v>55</v>
      </c>
      <c r="F1998" s="32" t="s">
        <v>435</v>
      </c>
      <c r="G1998" s="33">
        <v>3498.4</v>
      </c>
      <c r="H1998" s="34">
        <v>6.1890000000000001</v>
      </c>
      <c r="I1998" s="31">
        <v>281000</v>
      </c>
      <c r="J1998" s="35" t="s">
        <v>1514</v>
      </c>
      <c r="K1998" s="36">
        <v>2023</v>
      </c>
    </row>
    <row r="1999" spans="1:11" ht="15" customHeight="1" x14ac:dyDescent="0.3">
      <c r="A1999" s="37">
        <v>1994</v>
      </c>
      <c r="B1999" s="38" t="s">
        <v>3801</v>
      </c>
      <c r="C1999" s="38" t="s">
        <v>4324</v>
      </c>
      <c r="D1999" s="38" t="s">
        <v>4325</v>
      </c>
      <c r="E1999" s="38" t="s">
        <v>2280</v>
      </c>
      <c r="F1999" s="38" t="s">
        <v>276</v>
      </c>
      <c r="G1999" s="39">
        <v>900</v>
      </c>
      <c r="H1999" s="40">
        <v>8.6869999999999994</v>
      </c>
      <c r="I1999" s="37">
        <v>358800</v>
      </c>
      <c r="J1999" s="41" t="s">
        <v>1514</v>
      </c>
      <c r="K1999" s="42">
        <v>2023</v>
      </c>
    </row>
    <row r="2000" spans="1:11" ht="15" customHeight="1" x14ac:dyDescent="0.3">
      <c r="A2000" s="31">
        <v>1995</v>
      </c>
      <c r="B2000" s="32" t="s">
        <v>3801</v>
      </c>
      <c r="C2000" s="32" t="s">
        <v>4326</v>
      </c>
      <c r="D2000" s="32" t="s">
        <v>4327</v>
      </c>
      <c r="E2000" s="32" t="s">
        <v>4328</v>
      </c>
      <c r="F2000" s="32" t="s">
        <v>435</v>
      </c>
      <c r="G2000" s="33">
        <v>1305.2</v>
      </c>
      <c r="H2000" s="34">
        <v>3.6</v>
      </c>
      <c r="I2000" s="31">
        <v>225000</v>
      </c>
      <c r="J2000" s="35" t="s">
        <v>1514</v>
      </c>
      <c r="K2000" s="36">
        <v>2023</v>
      </c>
    </row>
    <row r="2001" spans="1:11" ht="15" customHeight="1" x14ac:dyDescent="0.3">
      <c r="A2001" s="37">
        <v>1996</v>
      </c>
      <c r="B2001" s="38" t="s">
        <v>3801</v>
      </c>
      <c r="C2001" s="38" t="s">
        <v>4329</v>
      </c>
      <c r="D2001" s="38" t="s">
        <v>4330</v>
      </c>
      <c r="E2001" s="38" t="s">
        <v>46</v>
      </c>
      <c r="F2001" s="38" t="s">
        <v>335</v>
      </c>
      <c r="G2001" s="39">
        <v>455</v>
      </c>
      <c r="H2001" s="40">
        <v>2.92</v>
      </c>
      <c r="I2001" s="37">
        <v>199800</v>
      </c>
      <c r="J2001" s="41" t="s">
        <v>1514</v>
      </c>
      <c r="K2001" s="42">
        <v>2023</v>
      </c>
    </row>
    <row r="2002" spans="1:11" ht="15" customHeight="1" x14ac:dyDescent="0.3">
      <c r="A2002" s="31">
        <v>1997</v>
      </c>
      <c r="B2002" s="32" t="s">
        <v>3801</v>
      </c>
      <c r="C2002" s="32" t="s">
        <v>4331</v>
      </c>
      <c r="D2002" s="32" t="s">
        <v>2813</v>
      </c>
      <c r="E2002" s="32" t="s">
        <v>4202</v>
      </c>
      <c r="F2002" s="32" t="s">
        <v>373</v>
      </c>
      <c r="G2002" s="33">
        <v>164</v>
      </c>
      <c r="H2002" s="34">
        <v>1.8660000000000001</v>
      </c>
      <c r="I2002" s="31">
        <v>171800</v>
      </c>
      <c r="J2002" s="35" t="s">
        <v>1514</v>
      </c>
      <c r="K2002" s="36">
        <v>2023</v>
      </c>
    </row>
    <row r="2003" spans="1:11" ht="15" customHeight="1" x14ac:dyDescent="0.3">
      <c r="A2003" s="37">
        <v>1998</v>
      </c>
      <c r="B2003" s="38" t="s">
        <v>4332</v>
      </c>
      <c r="C2003" s="38" t="s">
        <v>4333</v>
      </c>
      <c r="D2003" s="38" t="s">
        <v>4334</v>
      </c>
      <c r="E2003" s="38" t="s">
        <v>35</v>
      </c>
      <c r="F2003" s="38" t="s">
        <v>4335</v>
      </c>
      <c r="G2003" s="39">
        <v>237</v>
      </c>
      <c r="H2003" s="40">
        <v>0.67200000000000004</v>
      </c>
      <c r="I2003" s="37">
        <v>145800</v>
      </c>
      <c r="J2003" s="41" t="s">
        <v>78</v>
      </c>
      <c r="K2003" s="42">
        <v>2024</v>
      </c>
    </row>
    <row r="2004" spans="1:11" ht="15" customHeight="1" x14ac:dyDescent="0.3">
      <c r="A2004" s="31">
        <v>1999</v>
      </c>
      <c r="B2004" s="32" t="s">
        <v>4332</v>
      </c>
      <c r="C2004" s="32" t="s">
        <v>4336</v>
      </c>
      <c r="D2004" s="32" t="s">
        <v>52</v>
      </c>
      <c r="E2004" s="32" t="s">
        <v>4337</v>
      </c>
      <c r="F2004" s="32" t="s">
        <v>4335</v>
      </c>
      <c r="G2004" s="33">
        <v>278</v>
      </c>
      <c r="H2004" s="34">
        <v>0.56200000000000006</v>
      </c>
      <c r="I2004" s="31">
        <v>145800</v>
      </c>
      <c r="J2004" s="35" t="s">
        <v>78</v>
      </c>
      <c r="K2004" s="36">
        <v>2024</v>
      </c>
    </row>
    <row r="2005" spans="1:11" ht="15" customHeight="1" x14ac:dyDescent="0.3">
      <c r="A2005" s="37">
        <v>2000</v>
      </c>
      <c r="B2005" s="38" t="s">
        <v>4332</v>
      </c>
      <c r="C2005" s="38" t="s">
        <v>4338</v>
      </c>
      <c r="D2005" s="38" t="s">
        <v>3704</v>
      </c>
      <c r="E2005" s="38" t="s">
        <v>35</v>
      </c>
      <c r="F2005" s="38" t="s">
        <v>4269</v>
      </c>
      <c r="G2005" s="39">
        <v>2105</v>
      </c>
      <c r="H2005" s="40">
        <v>0.79900000000000004</v>
      </c>
      <c r="I2005" s="37">
        <v>255800</v>
      </c>
      <c r="J2005" s="41" t="s">
        <v>78</v>
      </c>
      <c r="K2005" s="42">
        <v>2024</v>
      </c>
    </row>
    <row r="2006" spans="1:11" ht="15" customHeight="1" x14ac:dyDescent="0.3">
      <c r="A2006" s="31">
        <v>2001</v>
      </c>
      <c r="B2006" s="32" t="s">
        <v>4332</v>
      </c>
      <c r="C2006" s="32" t="s">
        <v>4339</v>
      </c>
      <c r="D2006" s="32" t="s">
        <v>4340</v>
      </c>
      <c r="E2006" s="32" t="s">
        <v>35</v>
      </c>
      <c r="F2006" s="32" t="s">
        <v>741</v>
      </c>
      <c r="G2006" s="33">
        <v>178</v>
      </c>
      <c r="H2006" s="34">
        <v>0.62</v>
      </c>
      <c r="I2006" s="31">
        <v>145800</v>
      </c>
      <c r="J2006" s="35" t="s">
        <v>78</v>
      </c>
      <c r="K2006" s="36">
        <v>2024</v>
      </c>
    </row>
    <row r="2007" spans="1:11" ht="15" customHeight="1" x14ac:dyDescent="0.3">
      <c r="A2007" s="37">
        <v>2002</v>
      </c>
      <c r="B2007" s="38" t="s">
        <v>4332</v>
      </c>
      <c r="C2007" s="38" t="s">
        <v>4341</v>
      </c>
      <c r="D2007" s="38" t="s">
        <v>4342</v>
      </c>
      <c r="E2007" s="38" t="s">
        <v>35</v>
      </c>
      <c r="F2007" s="38" t="s">
        <v>4343</v>
      </c>
      <c r="G2007" s="39">
        <v>6335.9</v>
      </c>
      <c r="H2007" s="40">
        <v>16.401</v>
      </c>
      <c r="I2007" s="37">
        <v>547800</v>
      </c>
      <c r="J2007" s="41" t="s">
        <v>78</v>
      </c>
      <c r="K2007" s="42">
        <v>2024</v>
      </c>
    </row>
    <row r="2008" spans="1:11" ht="15" customHeight="1" x14ac:dyDescent="0.3">
      <c r="A2008" s="31">
        <v>2003</v>
      </c>
      <c r="B2008" s="32" t="s">
        <v>4332</v>
      </c>
      <c r="C2008" s="32" t="s">
        <v>4344</v>
      </c>
      <c r="D2008" s="32" t="s">
        <v>4345</v>
      </c>
      <c r="E2008" s="32" t="s">
        <v>3374</v>
      </c>
      <c r="F2008" s="32" t="s">
        <v>276</v>
      </c>
      <c r="G2008" s="33">
        <v>549</v>
      </c>
      <c r="H2008" s="34">
        <v>1.6919999999999999</v>
      </c>
      <c r="I2008" s="31">
        <v>196800</v>
      </c>
      <c r="J2008" s="35" t="s">
        <v>78</v>
      </c>
      <c r="K2008" s="36">
        <v>2024</v>
      </c>
    </row>
    <row r="2009" spans="1:11" ht="15" customHeight="1" x14ac:dyDescent="0.3">
      <c r="A2009" s="37">
        <v>2004</v>
      </c>
      <c r="B2009" s="38" t="s">
        <v>4332</v>
      </c>
      <c r="C2009" s="38" t="s">
        <v>4346</v>
      </c>
      <c r="D2009" s="38" t="s">
        <v>4345</v>
      </c>
      <c r="E2009" s="38" t="s">
        <v>4347</v>
      </c>
      <c r="F2009" s="38" t="s">
        <v>276</v>
      </c>
      <c r="G2009" s="39">
        <v>188</v>
      </c>
      <c r="H2009" s="40">
        <v>0.63400000000000001</v>
      </c>
      <c r="I2009" s="37">
        <v>170800</v>
      </c>
      <c r="J2009" s="41" t="s">
        <v>78</v>
      </c>
      <c r="K2009" s="42">
        <v>2024</v>
      </c>
    </row>
    <row r="2010" spans="1:11" ht="15" customHeight="1" x14ac:dyDescent="0.3">
      <c r="A2010" s="31">
        <v>2005</v>
      </c>
      <c r="B2010" s="32" t="s">
        <v>4332</v>
      </c>
      <c r="C2010" s="32" t="s">
        <v>4348</v>
      </c>
      <c r="D2010" s="32" t="s">
        <v>4349</v>
      </c>
      <c r="E2010" s="32" t="s">
        <v>964</v>
      </c>
      <c r="F2010" s="32" t="s">
        <v>4335</v>
      </c>
      <c r="G2010" s="33">
        <v>530</v>
      </c>
      <c r="H2010" s="34">
        <v>1.448</v>
      </c>
      <c r="I2010" s="31">
        <v>171800</v>
      </c>
      <c r="J2010" s="35" t="s">
        <v>78</v>
      </c>
      <c r="K2010" s="36">
        <v>2024</v>
      </c>
    </row>
    <row r="2011" spans="1:11" ht="15" customHeight="1" x14ac:dyDescent="0.3">
      <c r="A2011" s="37">
        <v>2006</v>
      </c>
      <c r="B2011" s="38" t="s">
        <v>4332</v>
      </c>
      <c r="C2011" s="38" t="s">
        <v>4350</v>
      </c>
      <c r="D2011" s="38" t="s">
        <v>4345</v>
      </c>
      <c r="E2011" s="38" t="s">
        <v>3374</v>
      </c>
      <c r="F2011" s="38" t="s">
        <v>276</v>
      </c>
      <c r="G2011" s="39">
        <v>288</v>
      </c>
      <c r="H2011" s="40">
        <v>2.1309999999999998</v>
      </c>
      <c r="I2011" s="37">
        <v>196800</v>
      </c>
      <c r="J2011" s="41" t="s">
        <v>78</v>
      </c>
      <c r="K2011" s="42">
        <v>2024</v>
      </c>
    </row>
    <row r="2012" spans="1:11" ht="15" customHeight="1" x14ac:dyDescent="0.3">
      <c r="A2012" s="31">
        <v>2007</v>
      </c>
      <c r="B2012" s="32" t="s">
        <v>4332</v>
      </c>
      <c r="C2012" s="32" t="s">
        <v>4351</v>
      </c>
      <c r="D2012" s="32" t="s">
        <v>48</v>
      </c>
      <c r="E2012" s="32" t="s">
        <v>35</v>
      </c>
      <c r="F2012" s="32" t="s">
        <v>4343</v>
      </c>
      <c r="G2012" s="33">
        <v>546</v>
      </c>
      <c r="H2012" s="34">
        <v>2.4580000000000002</v>
      </c>
      <c r="I2012" s="31">
        <v>199800</v>
      </c>
      <c r="J2012" s="35" t="s">
        <v>78</v>
      </c>
      <c r="K2012" s="36">
        <v>2024</v>
      </c>
    </row>
    <row r="2013" spans="1:11" ht="15" customHeight="1" x14ac:dyDescent="0.3">
      <c r="A2013" s="37">
        <v>2008</v>
      </c>
      <c r="B2013" s="38" t="s">
        <v>4332</v>
      </c>
      <c r="C2013" s="38" t="s">
        <v>4352</v>
      </c>
      <c r="D2013" s="38" t="s">
        <v>4353</v>
      </c>
      <c r="E2013" s="38" t="s">
        <v>35</v>
      </c>
      <c r="F2013" s="38" t="s">
        <v>4335</v>
      </c>
      <c r="G2013" s="39">
        <v>237</v>
      </c>
      <c r="H2013" s="40">
        <v>0.36299999999999999</v>
      </c>
      <c r="I2013" s="37">
        <v>145800</v>
      </c>
      <c r="J2013" s="41" t="s">
        <v>78</v>
      </c>
      <c r="K2013" s="42">
        <v>2024</v>
      </c>
    </row>
    <row r="2014" spans="1:11" ht="15" customHeight="1" x14ac:dyDescent="0.3">
      <c r="A2014" s="31">
        <v>2009</v>
      </c>
      <c r="B2014" s="32" t="s">
        <v>4332</v>
      </c>
      <c r="C2014" s="32" t="s">
        <v>4354</v>
      </c>
      <c r="D2014" s="32" t="s">
        <v>4355</v>
      </c>
      <c r="E2014" s="32" t="s">
        <v>63</v>
      </c>
      <c r="F2014" s="32" t="s">
        <v>4343</v>
      </c>
      <c r="G2014" s="33">
        <v>2830.66</v>
      </c>
      <c r="H2014" s="34">
        <v>4.9880000000000004</v>
      </c>
      <c r="I2014" s="31">
        <v>253000</v>
      </c>
      <c r="J2014" s="35" t="s">
        <v>78</v>
      </c>
      <c r="K2014" s="36">
        <v>2024</v>
      </c>
    </row>
    <row r="2015" spans="1:11" ht="15" customHeight="1" x14ac:dyDescent="0.3">
      <c r="A2015" s="37">
        <v>2010</v>
      </c>
      <c r="B2015" s="38" t="s">
        <v>4332</v>
      </c>
      <c r="C2015" s="38" t="s">
        <v>4356</v>
      </c>
      <c r="D2015" s="38" t="s">
        <v>4357</v>
      </c>
      <c r="E2015" s="38" t="s">
        <v>4358</v>
      </c>
      <c r="F2015" s="38" t="s">
        <v>2144</v>
      </c>
      <c r="G2015" s="39">
        <v>1095.46</v>
      </c>
      <c r="H2015" s="40">
        <v>11.153</v>
      </c>
      <c r="I2015" s="37">
        <v>412800</v>
      </c>
      <c r="J2015" s="41" t="s">
        <v>78</v>
      </c>
      <c r="K2015" s="42">
        <v>2024</v>
      </c>
    </row>
    <row r="2016" spans="1:11" ht="15" customHeight="1" x14ac:dyDescent="0.3">
      <c r="A2016" s="31">
        <v>2011</v>
      </c>
      <c r="B2016" s="32" t="s">
        <v>4359</v>
      </c>
      <c r="C2016" s="32" t="s">
        <v>4360</v>
      </c>
      <c r="D2016" s="32" t="s">
        <v>3159</v>
      </c>
      <c r="E2016" s="32" t="s">
        <v>35</v>
      </c>
      <c r="F2016" s="32" t="s">
        <v>276</v>
      </c>
      <c r="G2016" s="33">
        <v>230</v>
      </c>
      <c r="H2016" s="34">
        <v>1.248</v>
      </c>
      <c r="I2016" s="31">
        <v>171800</v>
      </c>
      <c r="J2016" s="35" t="s">
        <v>78</v>
      </c>
      <c r="K2016" s="36">
        <v>2024</v>
      </c>
    </row>
    <row r="2017" spans="1:11" ht="15" customHeight="1" x14ac:dyDescent="0.3">
      <c r="A2017" s="37">
        <v>2012</v>
      </c>
      <c r="B2017" s="38" t="s">
        <v>4359</v>
      </c>
      <c r="C2017" s="38" t="s">
        <v>4361</v>
      </c>
      <c r="D2017" s="38" t="s">
        <v>4362</v>
      </c>
      <c r="E2017" s="38" t="s">
        <v>37</v>
      </c>
      <c r="F2017" s="38" t="s">
        <v>276</v>
      </c>
      <c r="G2017" s="39">
        <v>79</v>
      </c>
      <c r="H2017" s="40">
        <v>0.81599999999999995</v>
      </c>
      <c r="I2017" s="37">
        <v>145800</v>
      </c>
      <c r="J2017" s="41" t="s">
        <v>78</v>
      </c>
      <c r="K2017" s="42">
        <v>2024</v>
      </c>
    </row>
    <row r="2018" spans="1:11" ht="15" customHeight="1" x14ac:dyDescent="0.3">
      <c r="A2018" s="31">
        <v>2013</v>
      </c>
      <c r="B2018" s="32" t="s">
        <v>4359</v>
      </c>
      <c r="C2018" s="32" t="s">
        <v>4363</v>
      </c>
      <c r="D2018" s="32" t="s">
        <v>2640</v>
      </c>
      <c r="E2018" s="32" t="s">
        <v>35</v>
      </c>
      <c r="F2018" s="32" t="s">
        <v>4364</v>
      </c>
      <c r="G2018" s="33">
        <v>6840</v>
      </c>
      <c r="H2018" s="34">
        <v>8.6679999999999993</v>
      </c>
      <c r="I2018" s="31">
        <v>385800</v>
      </c>
      <c r="J2018" s="35" t="s">
        <v>78</v>
      </c>
      <c r="K2018" s="36">
        <v>2024</v>
      </c>
    </row>
    <row r="2019" spans="1:11" ht="15" customHeight="1" x14ac:dyDescent="0.3">
      <c r="A2019" s="37">
        <v>2014</v>
      </c>
      <c r="B2019" s="38" t="s">
        <v>4359</v>
      </c>
      <c r="C2019" s="38" t="s">
        <v>4365</v>
      </c>
      <c r="D2019" s="38" t="s">
        <v>4366</v>
      </c>
      <c r="E2019" s="38" t="s">
        <v>63</v>
      </c>
      <c r="F2019" s="38" t="s">
        <v>316</v>
      </c>
      <c r="G2019" s="39">
        <v>1626.6</v>
      </c>
      <c r="H2019" s="40">
        <v>3.024</v>
      </c>
      <c r="I2019" s="37">
        <v>197000</v>
      </c>
      <c r="J2019" s="41" t="s">
        <v>78</v>
      </c>
      <c r="K2019" s="42">
        <v>2024</v>
      </c>
    </row>
    <row r="2020" spans="1:11" ht="15" customHeight="1" x14ac:dyDescent="0.3">
      <c r="A2020" s="31">
        <v>2015</v>
      </c>
      <c r="B2020" s="32" t="s">
        <v>4359</v>
      </c>
      <c r="C2020" s="32" t="s">
        <v>4350</v>
      </c>
      <c r="D2020" s="32" t="s">
        <v>4367</v>
      </c>
      <c r="E2020" s="32" t="s">
        <v>3577</v>
      </c>
      <c r="F2020" s="32" t="s">
        <v>4368</v>
      </c>
      <c r="G2020" s="33">
        <v>19</v>
      </c>
      <c r="H2020" s="34">
        <v>0.123</v>
      </c>
      <c r="I2020" s="31">
        <v>145800</v>
      </c>
      <c r="J2020" s="35" t="s">
        <v>78</v>
      </c>
      <c r="K2020" s="36">
        <v>2024</v>
      </c>
    </row>
    <row r="2021" spans="1:11" ht="15" customHeight="1" x14ac:dyDescent="0.3">
      <c r="A2021" s="37">
        <v>2016</v>
      </c>
      <c r="B2021" s="38" t="s">
        <v>4359</v>
      </c>
      <c r="C2021" s="38" t="s">
        <v>4369</v>
      </c>
      <c r="D2021" s="38" t="s">
        <v>4370</v>
      </c>
      <c r="E2021" s="38" t="s">
        <v>4371</v>
      </c>
      <c r="F2021" s="38" t="s">
        <v>276</v>
      </c>
      <c r="G2021" s="39">
        <v>54</v>
      </c>
      <c r="H2021" s="40">
        <v>0.28799999999999998</v>
      </c>
      <c r="I2021" s="37">
        <v>145800</v>
      </c>
      <c r="J2021" s="41" t="s">
        <v>78</v>
      </c>
      <c r="K2021" s="42">
        <v>2024</v>
      </c>
    </row>
    <row r="2022" spans="1:11" ht="15" customHeight="1" x14ac:dyDescent="0.3">
      <c r="A2022" s="31">
        <v>2017</v>
      </c>
      <c r="B2022" s="32" t="s">
        <v>4359</v>
      </c>
      <c r="C2022" s="32" t="s">
        <v>4372</v>
      </c>
      <c r="D2022" s="32" t="s">
        <v>2963</v>
      </c>
      <c r="E2022" s="32" t="s">
        <v>45</v>
      </c>
      <c r="F2022" s="32" t="s">
        <v>4335</v>
      </c>
      <c r="G2022" s="33">
        <v>115</v>
      </c>
      <c r="H2022" s="34">
        <v>0.47199999999999998</v>
      </c>
      <c r="I2022" s="31">
        <v>143000</v>
      </c>
      <c r="J2022" s="35" t="s">
        <v>78</v>
      </c>
      <c r="K2022" s="36">
        <v>2024</v>
      </c>
    </row>
    <row r="2023" spans="1:11" ht="15" customHeight="1" x14ac:dyDescent="0.3">
      <c r="A2023" s="37">
        <v>2018</v>
      </c>
      <c r="B2023" s="38" t="s">
        <v>4359</v>
      </c>
      <c r="C2023" s="38" t="s">
        <v>4373</v>
      </c>
      <c r="D2023" s="38" t="s">
        <v>1832</v>
      </c>
      <c r="E2023" s="38" t="s">
        <v>4374</v>
      </c>
      <c r="F2023" s="38" t="s">
        <v>4343</v>
      </c>
      <c r="G2023" s="39">
        <v>2086</v>
      </c>
      <c r="H2023" s="40">
        <v>3.6859999999999999</v>
      </c>
      <c r="I2023" s="37">
        <v>227800</v>
      </c>
      <c r="J2023" s="41" t="s">
        <v>78</v>
      </c>
      <c r="K2023" s="42">
        <v>2024</v>
      </c>
    </row>
    <row r="2024" spans="1:11" ht="15" customHeight="1" x14ac:dyDescent="0.3">
      <c r="A2024" s="31">
        <v>2019</v>
      </c>
      <c r="B2024" s="32" t="s">
        <v>4359</v>
      </c>
      <c r="C2024" s="32" t="s">
        <v>4375</v>
      </c>
      <c r="D2024" s="32" t="s">
        <v>4376</v>
      </c>
      <c r="E2024" s="32" t="s">
        <v>35</v>
      </c>
      <c r="F2024" s="32" t="s">
        <v>4377</v>
      </c>
      <c r="G2024" s="33">
        <v>460</v>
      </c>
      <c r="H2024" s="34">
        <v>0.78800000000000003</v>
      </c>
      <c r="I2024" s="31">
        <v>255800</v>
      </c>
      <c r="J2024" s="35" t="s">
        <v>78</v>
      </c>
      <c r="K2024" s="36">
        <v>2024</v>
      </c>
    </row>
    <row r="2025" spans="1:11" ht="15" customHeight="1" x14ac:dyDescent="0.3">
      <c r="A2025" s="37">
        <v>2020</v>
      </c>
      <c r="B2025" s="38" t="s">
        <v>4359</v>
      </c>
      <c r="C2025" s="38" t="s">
        <v>4378</v>
      </c>
      <c r="D2025" s="38" t="s">
        <v>4379</v>
      </c>
      <c r="E2025" s="38" t="s">
        <v>4380</v>
      </c>
      <c r="F2025" s="38" t="s">
        <v>386</v>
      </c>
      <c r="G2025" s="39">
        <v>241</v>
      </c>
      <c r="H2025" s="40">
        <v>0.87</v>
      </c>
      <c r="I2025" s="37">
        <v>168000</v>
      </c>
      <c r="J2025" s="41" t="s">
        <v>78</v>
      </c>
      <c r="K2025" s="42">
        <v>2024</v>
      </c>
    </row>
    <row r="2026" spans="1:11" ht="15" customHeight="1" x14ac:dyDescent="0.3">
      <c r="A2026" s="31">
        <v>2021</v>
      </c>
      <c r="B2026" s="32" t="s">
        <v>4359</v>
      </c>
      <c r="C2026" s="32" t="s">
        <v>4381</v>
      </c>
      <c r="D2026" s="32" t="s">
        <v>4382</v>
      </c>
      <c r="E2026" s="32" t="s">
        <v>37</v>
      </c>
      <c r="F2026" s="32" t="s">
        <v>849</v>
      </c>
      <c r="G2026" s="33">
        <v>300</v>
      </c>
      <c r="H2026" s="34">
        <v>0.18</v>
      </c>
      <c r="I2026" s="31">
        <v>145800</v>
      </c>
      <c r="J2026" s="35" t="s">
        <v>78</v>
      </c>
      <c r="K2026" s="36">
        <v>2024</v>
      </c>
    </row>
    <row r="2027" spans="1:11" ht="15" customHeight="1" x14ac:dyDescent="0.3">
      <c r="A2027" s="37">
        <v>2022</v>
      </c>
      <c r="B2027" s="38" t="s">
        <v>3801</v>
      </c>
      <c r="C2027" s="38" t="s">
        <v>4383</v>
      </c>
      <c r="D2027" s="38" t="s">
        <v>4384</v>
      </c>
      <c r="E2027" s="38" t="s">
        <v>4385</v>
      </c>
      <c r="F2027" s="38" t="s">
        <v>4386</v>
      </c>
      <c r="G2027" s="39">
        <v>539</v>
      </c>
      <c r="H2027" s="40">
        <v>1.21</v>
      </c>
      <c r="I2027" s="37">
        <v>171800</v>
      </c>
      <c r="J2027" s="41" t="s">
        <v>126</v>
      </c>
      <c r="K2027" s="42">
        <v>2024</v>
      </c>
    </row>
    <row r="2028" spans="1:11" ht="15" customHeight="1" x14ac:dyDescent="0.3">
      <c r="A2028" s="31">
        <v>2023</v>
      </c>
      <c r="B2028" s="32" t="s">
        <v>3801</v>
      </c>
      <c r="C2028" s="32" t="s">
        <v>4387</v>
      </c>
      <c r="D2028" s="32" t="s">
        <v>4388</v>
      </c>
      <c r="E2028" s="32" t="s">
        <v>61</v>
      </c>
      <c r="F2028" s="32" t="s">
        <v>316</v>
      </c>
      <c r="G2028" s="33">
        <v>2083</v>
      </c>
      <c r="H2028" s="34">
        <v>4.0209999999999999</v>
      </c>
      <c r="I2028" s="31">
        <v>281000</v>
      </c>
      <c r="J2028" s="35" t="s">
        <v>126</v>
      </c>
      <c r="K2028" s="36">
        <v>2024</v>
      </c>
    </row>
    <row r="2029" spans="1:11" ht="15" customHeight="1" x14ac:dyDescent="0.3">
      <c r="A2029" s="37">
        <v>2024</v>
      </c>
      <c r="B2029" s="38" t="s">
        <v>3801</v>
      </c>
      <c r="C2029" s="38" t="s">
        <v>4389</v>
      </c>
      <c r="D2029" s="38" t="s">
        <v>4390</v>
      </c>
      <c r="E2029" s="38" t="s">
        <v>4391</v>
      </c>
      <c r="F2029" s="38" t="s">
        <v>312</v>
      </c>
      <c r="G2029" s="39">
        <v>149</v>
      </c>
      <c r="H2029" s="40">
        <v>0.89900000000000002</v>
      </c>
      <c r="I2029" s="37">
        <v>145800</v>
      </c>
      <c r="J2029" s="41" t="s">
        <v>126</v>
      </c>
      <c r="K2029" s="42">
        <v>2024</v>
      </c>
    </row>
    <row r="2030" spans="1:11" ht="15" customHeight="1" x14ac:dyDescent="0.3">
      <c r="A2030" s="31">
        <v>2025</v>
      </c>
      <c r="B2030" s="32" t="s">
        <v>3801</v>
      </c>
      <c r="C2030" s="32" t="s">
        <v>4392</v>
      </c>
      <c r="D2030" s="32" t="s">
        <v>1537</v>
      </c>
      <c r="E2030" s="32" t="s">
        <v>4077</v>
      </c>
      <c r="F2030" s="32" t="s">
        <v>435</v>
      </c>
      <c r="G2030" s="33">
        <v>524</v>
      </c>
      <c r="H2030" s="34">
        <v>1.742</v>
      </c>
      <c r="I2030" s="31">
        <v>199800</v>
      </c>
      <c r="J2030" s="35" t="s">
        <v>126</v>
      </c>
      <c r="K2030" s="36">
        <v>2024</v>
      </c>
    </row>
    <row r="2031" spans="1:11" ht="15" customHeight="1" x14ac:dyDescent="0.3">
      <c r="A2031" s="37">
        <v>2026</v>
      </c>
      <c r="B2031" s="38" t="s">
        <v>3801</v>
      </c>
      <c r="C2031" s="38" t="s">
        <v>4393</v>
      </c>
      <c r="D2031" s="38" t="s">
        <v>4394</v>
      </c>
      <c r="E2031" s="38" t="s">
        <v>4395</v>
      </c>
      <c r="F2031" s="38" t="s">
        <v>435</v>
      </c>
      <c r="G2031" s="39">
        <v>2014.08</v>
      </c>
      <c r="H2031" s="40">
        <v>6.3940000000000001</v>
      </c>
      <c r="I2031" s="37">
        <v>331800</v>
      </c>
      <c r="J2031" s="41" t="s">
        <v>126</v>
      </c>
      <c r="K2031" s="42">
        <v>2024</v>
      </c>
    </row>
    <row r="2032" spans="1:11" ht="15" customHeight="1" x14ac:dyDescent="0.3">
      <c r="A2032" s="31">
        <v>2027</v>
      </c>
      <c r="B2032" s="32" t="s">
        <v>3801</v>
      </c>
      <c r="C2032" s="32" t="s">
        <v>4396</v>
      </c>
      <c r="D2032" s="32" t="s">
        <v>1508</v>
      </c>
      <c r="E2032" s="32" t="s">
        <v>2935</v>
      </c>
      <c r="F2032" s="32" t="s">
        <v>4397</v>
      </c>
      <c r="G2032" s="33">
        <v>1866</v>
      </c>
      <c r="H2032" s="34">
        <v>3.6880000000000002</v>
      </c>
      <c r="I2032" s="31">
        <v>227800</v>
      </c>
      <c r="J2032" s="35" t="s">
        <v>126</v>
      </c>
      <c r="K2032" s="36">
        <v>2024</v>
      </c>
    </row>
    <row r="2033" spans="1:11" ht="15" customHeight="1" x14ac:dyDescent="0.3">
      <c r="A2033" s="37">
        <v>2028</v>
      </c>
      <c r="B2033" s="38" t="s">
        <v>3801</v>
      </c>
      <c r="C2033" s="38" t="s">
        <v>4398</v>
      </c>
      <c r="D2033" s="38" t="s">
        <v>4399</v>
      </c>
      <c r="E2033" s="38" t="s">
        <v>4400</v>
      </c>
      <c r="F2033" s="38" t="s">
        <v>4401</v>
      </c>
      <c r="G2033" s="39">
        <v>238</v>
      </c>
      <c r="H2033" s="40">
        <v>1.05</v>
      </c>
      <c r="I2033" s="37">
        <v>171800</v>
      </c>
      <c r="J2033" s="41" t="s">
        <v>126</v>
      </c>
      <c r="K2033" s="42">
        <v>2024</v>
      </c>
    </row>
    <row r="2034" spans="1:11" ht="15" customHeight="1" x14ac:dyDescent="0.3">
      <c r="A2034" s="31">
        <v>2029</v>
      </c>
      <c r="B2034" s="32" t="s">
        <v>4332</v>
      </c>
      <c r="C2034" s="32" t="s">
        <v>4402</v>
      </c>
      <c r="D2034" s="32" t="s">
        <v>4403</v>
      </c>
      <c r="E2034" s="32" t="s">
        <v>348</v>
      </c>
      <c r="F2034" s="32" t="s">
        <v>316</v>
      </c>
      <c r="G2034" s="33">
        <v>772</v>
      </c>
      <c r="H2034" s="34">
        <v>1</v>
      </c>
      <c r="I2034" s="31">
        <v>171800</v>
      </c>
      <c r="J2034" s="35" t="s">
        <v>126</v>
      </c>
      <c r="K2034" s="36">
        <v>2024</v>
      </c>
    </row>
    <row r="2035" spans="1:11" ht="15" customHeight="1" x14ac:dyDescent="0.3">
      <c r="A2035" s="37">
        <v>2030</v>
      </c>
      <c r="B2035" s="38" t="s">
        <v>4332</v>
      </c>
      <c r="C2035" s="38" t="s">
        <v>4404</v>
      </c>
      <c r="D2035" s="38" t="s">
        <v>4405</v>
      </c>
      <c r="E2035" s="38" t="s">
        <v>35</v>
      </c>
      <c r="F2035" s="38" t="s">
        <v>4406</v>
      </c>
      <c r="G2035" s="39">
        <v>175</v>
      </c>
      <c r="H2035" s="40">
        <v>0.42199999999999999</v>
      </c>
      <c r="I2035" s="37">
        <v>171800</v>
      </c>
      <c r="J2035" s="41" t="s">
        <v>126</v>
      </c>
      <c r="K2035" s="42">
        <v>2024</v>
      </c>
    </row>
    <row r="2036" spans="1:11" ht="15" customHeight="1" x14ac:dyDescent="0.3">
      <c r="A2036" s="31">
        <v>2031</v>
      </c>
      <c r="B2036" s="32" t="s">
        <v>4332</v>
      </c>
      <c r="C2036" s="32" t="s">
        <v>4407</v>
      </c>
      <c r="D2036" s="32"/>
      <c r="E2036" s="32" t="s">
        <v>3837</v>
      </c>
      <c r="F2036" s="32" t="s">
        <v>4386</v>
      </c>
      <c r="G2036" s="33">
        <v>74</v>
      </c>
      <c r="H2036" s="34">
        <v>0.32200000000000001</v>
      </c>
      <c r="I2036" s="31">
        <v>145800</v>
      </c>
      <c r="J2036" s="35" t="s">
        <v>126</v>
      </c>
      <c r="K2036" s="36">
        <v>2024</v>
      </c>
    </row>
    <row r="2037" spans="1:11" ht="15" customHeight="1" x14ac:dyDescent="0.3">
      <c r="A2037" s="37">
        <v>2032</v>
      </c>
      <c r="B2037" s="38" t="s">
        <v>4332</v>
      </c>
      <c r="C2037" s="38" t="s">
        <v>4408</v>
      </c>
      <c r="D2037" s="38"/>
      <c r="E2037" s="38" t="s">
        <v>96</v>
      </c>
      <c r="F2037" s="38" t="s">
        <v>306</v>
      </c>
      <c r="G2037" s="39">
        <v>51</v>
      </c>
      <c r="H2037" s="40">
        <v>0.14299999999999999</v>
      </c>
      <c r="I2037" s="37">
        <v>145800</v>
      </c>
      <c r="J2037" s="41" t="s">
        <v>126</v>
      </c>
      <c r="K2037" s="42">
        <v>2024</v>
      </c>
    </row>
    <row r="2038" spans="1:11" ht="15" customHeight="1" x14ac:dyDescent="0.3">
      <c r="A2038" s="31">
        <v>2033</v>
      </c>
      <c r="B2038" s="32" t="s">
        <v>4332</v>
      </c>
      <c r="C2038" s="32" t="s">
        <v>4409</v>
      </c>
      <c r="D2038" s="32" t="s">
        <v>4410</v>
      </c>
      <c r="E2038" s="32" t="s">
        <v>4411</v>
      </c>
      <c r="F2038" s="32" t="s">
        <v>4406</v>
      </c>
      <c r="G2038" s="33">
        <v>51</v>
      </c>
      <c r="H2038" s="34">
        <v>0.55000000000000004</v>
      </c>
      <c r="I2038" s="31">
        <v>145800</v>
      </c>
      <c r="J2038" s="35" t="s">
        <v>126</v>
      </c>
      <c r="K2038" s="36">
        <v>2024</v>
      </c>
    </row>
    <row r="2039" spans="1:11" ht="15" customHeight="1" x14ac:dyDescent="0.3">
      <c r="A2039" s="37">
        <v>2034</v>
      </c>
      <c r="B2039" s="38" t="s">
        <v>4332</v>
      </c>
      <c r="C2039" s="38" t="s">
        <v>4412</v>
      </c>
      <c r="D2039" s="38" t="s">
        <v>4282</v>
      </c>
      <c r="E2039" s="38" t="s">
        <v>3886</v>
      </c>
      <c r="F2039" s="38" t="s">
        <v>316</v>
      </c>
      <c r="G2039" s="39">
        <v>395</v>
      </c>
      <c r="H2039" s="40">
        <v>2.7879999999999998</v>
      </c>
      <c r="I2039" s="37">
        <v>197000</v>
      </c>
      <c r="J2039" s="41" t="s">
        <v>126</v>
      </c>
      <c r="K2039" s="42">
        <v>2024</v>
      </c>
    </row>
    <row r="2040" spans="1:11" ht="15" customHeight="1" x14ac:dyDescent="0.3">
      <c r="A2040" s="31">
        <v>2035</v>
      </c>
      <c r="B2040" s="32" t="s">
        <v>4332</v>
      </c>
      <c r="C2040" s="32" t="s">
        <v>4413</v>
      </c>
      <c r="D2040" s="32" t="s">
        <v>4414</v>
      </c>
      <c r="E2040" s="32" t="s">
        <v>35</v>
      </c>
      <c r="F2040" s="32" t="s">
        <v>4415</v>
      </c>
      <c r="G2040" s="33">
        <v>3510</v>
      </c>
      <c r="H2040" s="34">
        <v>3.6560000000000001</v>
      </c>
      <c r="I2040" s="31">
        <v>331800</v>
      </c>
      <c r="J2040" s="35" t="s">
        <v>126</v>
      </c>
      <c r="K2040" s="36">
        <v>2024</v>
      </c>
    </row>
    <row r="2041" spans="1:11" ht="15" customHeight="1" x14ac:dyDescent="0.3">
      <c r="A2041" s="37">
        <v>2036</v>
      </c>
      <c r="B2041" s="38" t="s">
        <v>4332</v>
      </c>
      <c r="C2041" s="38" t="s">
        <v>4416</v>
      </c>
      <c r="D2041" s="38" t="s">
        <v>4417</v>
      </c>
      <c r="E2041" s="38" t="s">
        <v>4418</v>
      </c>
      <c r="F2041" s="38" t="s">
        <v>4406</v>
      </c>
      <c r="G2041" s="39">
        <v>940</v>
      </c>
      <c r="H2041" s="40">
        <v>0.97899999999999998</v>
      </c>
      <c r="I2041" s="37">
        <v>227800</v>
      </c>
      <c r="J2041" s="41" t="s">
        <v>126</v>
      </c>
      <c r="K2041" s="42">
        <v>2024</v>
      </c>
    </row>
    <row r="2042" spans="1:11" ht="15" customHeight="1" x14ac:dyDescent="0.3">
      <c r="A2042" s="31">
        <v>2037</v>
      </c>
      <c r="B2042" s="32" t="s">
        <v>4332</v>
      </c>
      <c r="C2042" s="32" t="s">
        <v>4419</v>
      </c>
      <c r="D2042" s="32" t="s">
        <v>4420</v>
      </c>
      <c r="E2042" s="32" t="s">
        <v>35</v>
      </c>
      <c r="F2042" s="32" t="s">
        <v>312</v>
      </c>
      <c r="G2042" s="33">
        <v>2200</v>
      </c>
      <c r="H2042" s="34">
        <v>5.6630000000000003</v>
      </c>
      <c r="I2042" s="31">
        <v>358800</v>
      </c>
      <c r="J2042" s="35" t="s">
        <v>126</v>
      </c>
      <c r="K2042" s="36">
        <v>2024</v>
      </c>
    </row>
    <row r="2043" spans="1:11" ht="15" customHeight="1" x14ac:dyDescent="0.3">
      <c r="A2043" s="37">
        <v>2038</v>
      </c>
      <c r="B2043" s="38" t="s">
        <v>4332</v>
      </c>
      <c r="C2043" s="38" t="s">
        <v>4421</v>
      </c>
      <c r="D2043" s="38" t="s">
        <v>3973</v>
      </c>
      <c r="E2043" s="38" t="s">
        <v>35</v>
      </c>
      <c r="F2043" s="38" t="s">
        <v>312</v>
      </c>
      <c r="G2043" s="39">
        <v>45</v>
      </c>
      <c r="H2043" s="40">
        <v>0.443</v>
      </c>
      <c r="I2043" s="37">
        <v>171800</v>
      </c>
      <c r="J2043" s="41" t="s">
        <v>126</v>
      </c>
      <c r="K2043" s="42">
        <v>2024</v>
      </c>
    </row>
    <row r="2044" spans="1:11" ht="15" customHeight="1" x14ac:dyDescent="0.3">
      <c r="A2044" s="31">
        <v>2039</v>
      </c>
      <c r="B2044" s="32" t="s">
        <v>4332</v>
      </c>
      <c r="C2044" s="32" t="s">
        <v>4422</v>
      </c>
      <c r="D2044" s="32" t="s">
        <v>4423</v>
      </c>
      <c r="E2044" s="32" t="s">
        <v>39</v>
      </c>
      <c r="F2044" s="32" t="s">
        <v>1031</v>
      </c>
      <c r="G2044" s="33">
        <v>449</v>
      </c>
      <c r="H2044" s="34">
        <v>0.78400000000000003</v>
      </c>
      <c r="I2044" s="31">
        <v>171800</v>
      </c>
      <c r="J2044" s="35" t="s">
        <v>126</v>
      </c>
      <c r="K2044" s="36">
        <v>2024</v>
      </c>
    </row>
    <row r="2045" spans="1:11" ht="15" customHeight="1" x14ac:dyDescent="0.3">
      <c r="A2045" s="37">
        <v>2040</v>
      </c>
      <c r="B2045" s="38" t="s">
        <v>4332</v>
      </c>
      <c r="C2045" s="38" t="s">
        <v>4424</v>
      </c>
      <c r="D2045" s="38" t="s">
        <v>3183</v>
      </c>
      <c r="E2045" s="38" t="s">
        <v>37</v>
      </c>
      <c r="F2045" s="38" t="s">
        <v>1031</v>
      </c>
      <c r="G2045" s="39">
        <v>339</v>
      </c>
      <c r="H2045" s="40">
        <v>1.3640000000000001</v>
      </c>
      <c r="I2045" s="37">
        <v>145800</v>
      </c>
      <c r="J2045" s="41" t="s">
        <v>126</v>
      </c>
      <c r="K2045" s="42">
        <v>2024</v>
      </c>
    </row>
    <row r="2046" spans="1:11" ht="15" customHeight="1" x14ac:dyDescent="0.3">
      <c r="A2046" s="31">
        <v>2041</v>
      </c>
      <c r="B2046" s="32" t="s">
        <v>4332</v>
      </c>
      <c r="C2046" s="32" t="s">
        <v>4425</v>
      </c>
      <c r="D2046" s="32" t="s">
        <v>4426</v>
      </c>
      <c r="E2046" s="32" t="s">
        <v>4427</v>
      </c>
      <c r="F2046" s="32" t="s">
        <v>4406</v>
      </c>
      <c r="G2046" s="33">
        <v>950</v>
      </c>
      <c r="H2046" s="34">
        <v>1.764</v>
      </c>
      <c r="I2046" s="31">
        <v>227800</v>
      </c>
      <c r="J2046" s="35" t="s">
        <v>126</v>
      </c>
      <c r="K2046" s="36">
        <v>2024</v>
      </c>
    </row>
    <row r="2047" spans="1:11" ht="15" customHeight="1" x14ac:dyDescent="0.3">
      <c r="A2047" s="37">
        <v>2042</v>
      </c>
      <c r="B2047" s="38" t="s">
        <v>4332</v>
      </c>
      <c r="C2047" s="38" t="s">
        <v>4428</v>
      </c>
      <c r="D2047" s="38" t="s">
        <v>4429</v>
      </c>
      <c r="E2047" s="38" t="s">
        <v>4430</v>
      </c>
      <c r="F2047" s="38" t="s">
        <v>316</v>
      </c>
      <c r="G2047" s="39">
        <v>278</v>
      </c>
      <c r="H2047" s="40">
        <v>3.2890000000000001</v>
      </c>
      <c r="I2047" s="37">
        <v>255800</v>
      </c>
      <c r="J2047" s="41" t="s">
        <v>126</v>
      </c>
      <c r="K2047" s="42">
        <v>2024</v>
      </c>
    </row>
    <row r="2048" spans="1:11" ht="15" customHeight="1" x14ac:dyDescent="0.3">
      <c r="A2048" s="31">
        <v>2043</v>
      </c>
      <c r="B2048" s="32" t="s">
        <v>4332</v>
      </c>
      <c r="C2048" s="32" t="s">
        <v>4431</v>
      </c>
      <c r="D2048" s="32" t="s">
        <v>3159</v>
      </c>
      <c r="E2048" s="32" t="s">
        <v>35</v>
      </c>
      <c r="F2048" s="32" t="s">
        <v>674</v>
      </c>
      <c r="G2048" s="33">
        <v>2060</v>
      </c>
      <c r="H2048" s="34">
        <v>2.8319999999999999</v>
      </c>
      <c r="I2048" s="31">
        <v>255800</v>
      </c>
      <c r="J2048" s="35" t="s">
        <v>126</v>
      </c>
      <c r="K2048" s="36">
        <v>2024</v>
      </c>
    </row>
    <row r="2049" spans="1:11" ht="15" customHeight="1" x14ac:dyDescent="0.3">
      <c r="A2049" s="37">
        <v>2044</v>
      </c>
      <c r="B2049" s="38" t="s">
        <v>4332</v>
      </c>
      <c r="C2049" s="38" t="s">
        <v>4432</v>
      </c>
      <c r="D2049" s="38" t="s">
        <v>4433</v>
      </c>
      <c r="E2049" s="38" t="s">
        <v>37</v>
      </c>
      <c r="F2049" s="38" t="s">
        <v>312</v>
      </c>
      <c r="G2049" s="39">
        <v>745</v>
      </c>
      <c r="H2049" s="40">
        <v>0.98299999999999998</v>
      </c>
      <c r="I2049" s="37">
        <v>145800</v>
      </c>
      <c r="J2049" s="41" t="s">
        <v>126</v>
      </c>
      <c r="K2049" s="42">
        <v>2024</v>
      </c>
    </row>
    <row r="2050" spans="1:11" ht="15" customHeight="1" x14ac:dyDescent="0.3">
      <c r="A2050" s="31">
        <v>2045</v>
      </c>
      <c r="B2050" s="32" t="s">
        <v>3160</v>
      </c>
      <c r="C2050" s="32" t="s">
        <v>4434</v>
      </c>
      <c r="D2050" s="32" t="s">
        <v>4435</v>
      </c>
      <c r="E2050" s="32" t="s">
        <v>4436</v>
      </c>
      <c r="F2050" s="32" t="s">
        <v>435</v>
      </c>
      <c r="G2050" s="33">
        <v>1421.5</v>
      </c>
      <c r="H2050" s="34">
        <v>4.234</v>
      </c>
      <c r="I2050" s="31">
        <v>227800</v>
      </c>
      <c r="J2050" s="35" t="s">
        <v>207</v>
      </c>
      <c r="K2050" s="36">
        <v>2024</v>
      </c>
    </row>
    <row r="2051" spans="1:11" ht="15" customHeight="1" x14ac:dyDescent="0.3">
      <c r="A2051" s="37">
        <v>2046</v>
      </c>
      <c r="B2051" s="38" t="s">
        <v>3160</v>
      </c>
      <c r="C2051" s="38" t="s">
        <v>4437</v>
      </c>
      <c r="D2051" s="38" t="s">
        <v>4438</v>
      </c>
      <c r="E2051" s="38" t="s">
        <v>3886</v>
      </c>
      <c r="F2051" s="38" t="s">
        <v>4335</v>
      </c>
      <c r="G2051" s="39">
        <v>1260</v>
      </c>
      <c r="H2051" s="40">
        <v>2.3559999999999999</v>
      </c>
      <c r="I2051" s="37">
        <v>169000</v>
      </c>
      <c r="J2051" s="41" t="s">
        <v>207</v>
      </c>
      <c r="K2051" s="42">
        <v>2024</v>
      </c>
    </row>
    <row r="2052" spans="1:11" ht="15" customHeight="1" x14ac:dyDescent="0.3">
      <c r="A2052" s="31">
        <v>2047</v>
      </c>
      <c r="B2052" s="32" t="s">
        <v>3160</v>
      </c>
      <c r="C2052" s="32" t="s">
        <v>4439</v>
      </c>
      <c r="D2052" s="32" t="s">
        <v>3666</v>
      </c>
      <c r="E2052" s="32" t="s">
        <v>35</v>
      </c>
      <c r="F2052" s="32" t="s">
        <v>435</v>
      </c>
      <c r="G2052" s="33">
        <v>3055</v>
      </c>
      <c r="H2052" s="34">
        <v>4.4390000000000001</v>
      </c>
      <c r="I2052" s="31">
        <v>331800</v>
      </c>
      <c r="J2052" s="35" t="s">
        <v>207</v>
      </c>
      <c r="K2052" s="36">
        <v>2024</v>
      </c>
    </row>
    <row r="2053" spans="1:11" ht="15" customHeight="1" x14ac:dyDescent="0.3">
      <c r="A2053" s="37">
        <v>2048</v>
      </c>
      <c r="B2053" s="38" t="s">
        <v>3160</v>
      </c>
      <c r="C2053" s="38" t="s">
        <v>4440</v>
      </c>
      <c r="D2053" s="38" t="s">
        <v>4441</v>
      </c>
      <c r="E2053" s="38" t="s">
        <v>4442</v>
      </c>
      <c r="F2053" s="38" t="s">
        <v>658</v>
      </c>
      <c r="G2053" s="39">
        <v>324</v>
      </c>
      <c r="H2053" s="40">
        <v>2.86</v>
      </c>
      <c r="I2053" s="37">
        <v>199800</v>
      </c>
      <c r="J2053" s="41" t="s">
        <v>207</v>
      </c>
      <c r="K2053" s="42">
        <v>2024</v>
      </c>
    </row>
    <row r="2054" spans="1:11" ht="15" customHeight="1" x14ac:dyDescent="0.3">
      <c r="A2054" s="31">
        <v>2049</v>
      </c>
      <c r="B2054" s="32" t="s">
        <v>3160</v>
      </c>
      <c r="C2054" s="32" t="s">
        <v>4443</v>
      </c>
      <c r="D2054" s="32" t="s">
        <v>3680</v>
      </c>
      <c r="E2054" s="32" t="s">
        <v>4444</v>
      </c>
      <c r="F2054" s="32" t="s">
        <v>316</v>
      </c>
      <c r="G2054" s="33">
        <v>360</v>
      </c>
      <c r="H2054" s="34">
        <v>2.38</v>
      </c>
      <c r="I2054" s="31">
        <v>196800</v>
      </c>
      <c r="J2054" s="35" t="s">
        <v>207</v>
      </c>
      <c r="K2054" s="36">
        <v>2024</v>
      </c>
    </row>
    <row r="2055" spans="1:11" ht="15" customHeight="1" x14ac:dyDescent="0.3">
      <c r="A2055" s="37">
        <v>2050</v>
      </c>
      <c r="B2055" s="38" t="s">
        <v>3160</v>
      </c>
      <c r="C2055" s="38" t="s">
        <v>4445</v>
      </c>
      <c r="D2055" s="38" t="s">
        <v>4446</v>
      </c>
      <c r="E2055" s="38" t="s">
        <v>4447</v>
      </c>
      <c r="F2055" s="38" t="s">
        <v>276</v>
      </c>
      <c r="G2055" s="39">
        <v>250</v>
      </c>
      <c r="H2055" s="40">
        <v>1.98</v>
      </c>
      <c r="I2055" s="37">
        <v>171800</v>
      </c>
      <c r="J2055" s="41" t="s">
        <v>207</v>
      </c>
      <c r="K2055" s="42">
        <v>2024</v>
      </c>
    </row>
    <row r="2056" spans="1:11" ht="15" customHeight="1" x14ac:dyDescent="0.3">
      <c r="A2056" s="31">
        <v>2051</v>
      </c>
      <c r="B2056" s="32" t="s">
        <v>3160</v>
      </c>
      <c r="C2056" s="32" t="s">
        <v>4448</v>
      </c>
      <c r="D2056" s="32" t="s">
        <v>3966</v>
      </c>
      <c r="E2056" s="32" t="s">
        <v>4216</v>
      </c>
      <c r="F2056" s="32" t="s">
        <v>4449</v>
      </c>
      <c r="G2056" s="33">
        <v>835</v>
      </c>
      <c r="H2056" s="34">
        <v>6.5350000000000001</v>
      </c>
      <c r="I2056" s="31">
        <v>311800</v>
      </c>
      <c r="J2056" s="35" t="s">
        <v>207</v>
      </c>
      <c r="K2056" s="36">
        <v>2024</v>
      </c>
    </row>
    <row r="2057" spans="1:11" ht="15" customHeight="1" x14ac:dyDescent="0.3">
      <c r="A2057" s="37">
        <v>2052</v>
      </c>
      <c r="B2057" s="38" t="s">
        <v>3160</v>
      </c>
      <c r="C2057" s="38" t="s">
        <v>4450</v>
      </c>
      <c r="D2057" s="38" t="s">
        <v>4451</v>
      </c>
      <c r="E2057" s="38" t="s">
        <v>4452</v>
      </c>
      <c r="F2057" s="38" t="s">
        <v>4335</v>
      </c>
      <c r="G2057" s="39">
        <v>835</v>
      </c>
      <c r="H2057" s="40">
        <v>5.4329999999999998</v>
      </c>
      <c r="I2057" s="37">
        <v>255800</v>
      </c>
      <c r="J2057" s="41" t="s">
        <v>207</v>
      </c>
      <c r="K2057" s="42">
        <v>2024</v>
      </c>
    </row>
    <row r="2058" spans="1:11" ht="15" customHeight="1" x14ac:dyDescent="0.3">
      <c r="A2058" s="31">
        <v>2053</v>
      </c>
      <c r="B2058" s="32" t="s">
        <v>3160</v>
      </c>
      <c r="C2058" s="32" t="s">
        <v>4453</v>
      </c>
      <c r="D2058" s="32" t="s">
        <v>3973</v>
      </c>
      <c r="E2058" s="32" t="s">
        <v>35</v>
      </c>
      <c r="F2058" s="32" t="s">
        <v>276</v>
      </c>
      <c r="G2058" s="33">
        <v>205</v>
      </c>
      <c r="H2058" s="34">
        <v>0.54700000000000004</v>
      </c>
      <c r="I2058" s="31">
        <v>199800</v>
      </c>
      <c r="J2058" s="35" t="s">
        <v>207</v>
      </c>
      <c r="K2058" s="36">
        <v>2024</v>
      </c>
    </row>
    <row r="2059" spans="1:11" ht="15" customHeight="1" x14ac:dyDescent="0.3">
      <c r="A2059" s="37">
        <v>2054</v>
      </c>
      <c r="B2059" s="38" t="s">
        <v>3160</v>
      </c>
      <c r="C2059" s="38" t="s">
        <v>4454</v>
      </c>
      <c r="D2059" s="38" t="s">
        <v>4455</v>
      </c>
      <c r="E2059" s="38" t="s">
        <v>4456</v>
      </c>
      <c r="F2059" s="38" t="s">
        <v>1953</v>
      </c>
      <c r="G2059" s="39">
        <v>1150</v>
      </c>
      <c r="H2059" s="40">
        <v>6</v>
      </c>
      <c r="I2059" s="37">
        <v>283800</v>
      </c>
      <c r="J2059" s="41" t="s">
        <v>207</v>
      </c>
      <c r="K2059" s="42">
        <v>2024</v>
      </c>
    </row>
    <row r="2060" spans="1:11" ht="15" customHeight="1" x14ac:dyDescent="0.3">
      <c r="A2060" s="31">
        <v>2055</v>
      </c>
      <c r="B2060" s="32" t="s">
        <v>3160</v>
      </c>
      <c r="C2060" s="32" t="s">
        <v>4457</v>
      </c>
      <c r="D2060" s="32" t="s">
        <v>4458</v>
      </c>
      <c r="E2060" s="32" t="s">
        <v>4459</v>
      </c>
      <c r="F2060" s="32" t="s">
        <v>4460</v>
      </c>
      <c r="G2060" s="33">
        <v>524</v>
      </c>
      <c r="H2060" s="34">
        <v>1.0760000000000001</v>
      </c>
      <c r="I2060" s="31">
        <v>145800</v>
      </c>
      <c r="J2060" s="35" t="s">
        <v>207</v>
      </c>
      <c r="K2060" s="36">
        <v>2024</v>
      </c>
    </row>
    <row r="2061" spans="1:11" ht="15" customHeight="1" x14ac:dyDescent="0.3">
      <c r="A2061" s="37">
        <v>2056</v>
      </c>
      <c r="B2061" s="38" t="s">
        <v>3160</v>
      </c>
      <c r="C2061" s="38" t="s">
        <v>4461</v>
      </c>
      <c r="D2061" s="38" t="s">
        <v>2421</v>
      </c>
      <c r="E2061" s="38" t="s">
        <v>45</v>
      </c>
      <c r="F2061" s="38" t="s">
        <v>1560</v>
      </c>
      <c r="G2061" s="39">
        <v>4511</v>
      </c>
      <c r="H2061" s="40">
        <v>9.4969999999999999</v>
      </c>
      <c r="I2061" s="37">
        <v>381000</v>
      </c>
      <c r="J2061" s="41" t="s">
        <v>207</v>
      </c>
      <c r="K2061" s="42">
        <v>2024</v>
      </c>
    </row>
    <row r="2062" spans="1:11" ht="15" customHeight="1" x14ac:dyDescent="0.3">
      <c r="A2062" s="31">
        <v>2057</v>
      </c>
      <c r="B2062" s="32" t="s">
        <v>4462</v>
      </c>
      <c r="C2062" s="32" t="s">
        <v>4463</v>
      </c>
      <c r="D2062" s="32" t="s">
        <v>3045</v>
      </c>
      <c r="E2062" s="32" t="s">
        <v>4464</v>
      </c>
      <c r="F2062" s="32" t="s">
        <v>4465</v>
      </c>
      <c r="G2062" s="33">
        <v>4330.2</v>
      </c>
      <c r="H2062" s="34">
        <v>8.65</v>
      </c>
      <c r="I2062" s="31">
        <v>356000</v>
      </c>
      <c r="J2062" s="35" t="s">
        <v>207</v>
      </c>
      <c r="K2062" s="36">
        <v>2024</v>
      </c>
    </row>
    <row r="2063" spans="1:11" ht="15" customHeight="1" x14ac:dyDescent="0.3">
      <c r="A2063" s="37">
        <v>2058</v>
      </c>
      <c r="B2063" s="38" t="s">
        <v>4462</v>
      </c>
      <c r="C2063" s="38" t="s">
        <v>4466</v>
      </c>
      <c r="D2063" s="38" t="s">
        <v>2519</v>
      </c>
      <c r="E2063" s="38" t="s">
        <v>2935</v>
      </c>
      <c r="F2063" s="38" t="s">
        <v>276</v>
      </c>
      <c r="G2063" s="39">
        <v>407</v>
      </c>
      <c r="H2063" s="40">
        <v>0.57599999999999996</v>
      </c>
      <c r="I2063" s="37">
        <v>145800</v>
      </c>
      <c r="J2063" s="41" t="s">
        <v>207</v>
      </c>
      <c r="K2063" s="42">
        <v>2024</v>
      </c>
    </row>
    <row r="2064" spans="1:11" ht="15" customHeight="1" x14ac:dyDescent="0.3">
      <c r="A2064" s="31">
        <v>2059</v>
      </c>
      <c r="B2064" s="32" t="s">
        <v>4462</v>
      </c>
      <c r="C2064" s="32" t="s">
        <v>4467</v>
      </c>
      <c r="D2064" s="32" t="s">
        <v>4468</v>
      </c>
      <c r="E2064" s="32" t="s">
        <v>4469</v>
      </c>
      <c r="F2064" s="32" t="s">
        <v>287</v>
      </c>
      <c r="G2064" s="33">
        <v>2655</v>
      </c>
      <c r="H2064" s="34">
        <v>5.54</v>
      </c>
      <c r="I2064" s="31">
        <v>283800</v>
      </c>
      <c r="J2064" s="35" t="s">
        <v>207</v>
      </c>
      <c r="K2064" s="36">
        <v>2024</v>
      </c>
    </row>
    <row r="2065" spans="1:11" ht="15" customHeight="1" x14ac:dyDescent="0.3">
      <c r="A2065" s="37">
        <v>2060</v>
      </c>
      <c r="B2065" s="38" t="s">
        <v>4462</v>
      </c>
      <c r="C2065" s="38" t="s">
        <v>4470</v>
      </c>
      <c r="D2065" s="38" t="s">
        <v>4471</v>
      </c>
      <c r="E2065" s="38" t="s">
        <v>4472</v>
      </c>
      <c r="F2065" s="38" t="s">
        <v>276</v>
      </c>
      <c r="G2065" s="39">
        <v>30</v>
      </c>
      <c r="H2065" s="40">
        <v>0.35599999999999998</v>
      </c>
      <c r="I2065" s="37">
        <v>143000</v>
      </c>
      <c r="J2065" s="41" t="s">
        <v>207</v>
      </c>
      <c r="K2065" s="42">
        <v>2024</v>
      </c>
    </row>
    <row r="2066" spans="1:11" ht="15" customHeight="1" x14ac:dyDescent="0.3">
      <c r="A2066" s="31">
        <v>2061</v>
      </c>
      <c r="B2066" s="32" t="s">
        <v>4462</v>
      </c>
      <c r="C2066" s="32" t="s">
        <v>4473</v>
      </c>
      <c r="D2066" s="32" t="s">
        <v>4474</v>
      </c>
      <c r="E2066" s="32" t="s">
        <v>4475</v>
      </c>
      <c r="F2066" s="32" t="s">
        <v>4335</v>
      </c>
      <c r="G2066" s="33">
        <v>216</v>
      </c>
      <c r="H2066" s="34">
        <v>0.876</v>
      </c>
      <c r="I2066" s="31">
        <v>145800</v>
      </c>
      <c r="J2066" s="35" t="s">
        <v>207</v>
      </c>
      <c r="K2066" s="36">
        <v>2024</v>
      </c>
    </row>
    <row r="2067" spans="1:11" ht="15" customHeight="1" x14ac:dyDescent="0.3">
      <c r="A2067" s="37">
        <v>2062</v>
      </c>
      <c r="B2067" s="38" t="s">
        <v>4462</v>
      </c>
      <c r="C2067" s="38" t="s">
        <v>4476</v>
      </c>
      <c r="D2067" s="38" t="s">
        <v>1832</v>
      </c>
      <c r="E2067" s="38" t="s">
        <v>4477</v>
      </c>
      <c r="F2067" s="38" t="s">
        <v>287</v>
      </c>
      <c r="G2067" s="39">
        <v>1625</v>
      </c>
      <c r="H2067" s="40">
        <v>3.149</v>
      </c>
      <c r="I2067" s="37">
        <v>199800</v>
      </c>
      <c r="J2067" s="41" t="s">
        <v>207</v>
      </c>
      <c r="K2067" s="42">
        <v>2024</v>
      </c>
    </row>
    <row r="2068" spans="1:11" ht="15" customHeight="1" x14ac:dyDescent="0.3">
      <c r="A2068" s="31">
        <v>2063</v>
      </c>
      <c r="B2068" s="32" t="s">
        <v>4462</v>
      </c>
      <c r="C2068" s="32" t="s">
        <v>4478</v>
      </c>
      <c r="D2068" s="32" t="s">
        <v>2937</v>
      </c>
      <c r="E2068" s="32" t="s">
        <v>4479</v>
      </c>
      <c r="F2068" s="32" t="s">
        <v>4480</v>
      </c>
      <c r="G2068" s="33">
        <v>1295</v>
      </c>
      <c r="H2068" s="34">
        <v>2.028</v>
      </c>
      <c r="I2068" s="31">
        <v>169000</v>
      </c>
      <c r="J2068" s="35" t="s">
        <v>207</v>
      </c>
      <c r="K2068" s="36">
        <v>2024</v>
      </c>
    </row>
    <row r="2069" spans="1:11" ht="15" customHeight="1" x14ac:dyDescent="0.3">
      <c r="A2069" s="37">
        <v>2064</v>
      </c>
      <c r="B2069" s="38" t="s">
        <v>4462</v>
      </c>
      <c r="C2069" s="38" t="s">
        <v>4481</v>
      </c>
      <c r="D2069" s="38" t="s">
        <v>3354</v>
      </c>
      <c r="E2069" s="38" t="s">
        <v>45</v>
      </c>
      <c r="F2069" s="38" t="s">
        <v>4449</v>
      </c>
      <c r="G2069" s="39">
        <v>1870</v>
      </c>
      <c r="H2069" s="40">
        <v>6.1849999999999996</v>
      </c>
      <c r="I2069" s="37">
        <v>281000</v>
      </c>
      <c r="J2069" s="41" t="s">
        <v>207</v>
      </c>
      <c r="K2069" s="42">
        <v>2024</v>
      </c>
    </row>
    <row r="2070" spans="1:11" ht="15" customHeight="1" x14ac:dyDescent="0.3">
      <c r="A2070" s="31">
        <v>2065</v>
      </c>
      <c r="B2070" s="32" t="s">
        <v>4482</v>
      </c>
      <c r="C2070" s="32" t="s">
        <v>4483</v>
      </c>
      <c r="D2070" s="32" t="s">
        <v>4484</v>
      </c>
      <c r="E2070" s="32" t="s">
        <v>35</v>
      </c>
      <c r="F2070" s="32" t="s">
        <v>1031</v>
      </c>
      <c r="G2070" s="33">
        <v>430</v>
      </c>
      <c r="H2070" s="34">
        <v>1.9890000000000001</v>
      </c>
      <c r="I2070" s="31">
        <v>227800</v>
      </c>
      <c r="J2070" s="35" t="s">
        <v>207</v>
      </c>
      <c r="K2070" s="36">
        <v>2024</v>
      </c>
    </row>
    <row r="2071" spans="1:11" ht="15" customHeight="1" x14ac:dyDescent="0.3">
      <c r="A2071" s="37">
        <v>2066</v>
      </c>
      <c r="B2071" s="38" t="s">
        <v>4482</v>
      </c>
      <c r="C2071" s="38" t="s">
        <v>4485</v>
      </c>
      <c r="D2071" s="38" t="s">
        <v>4484</v>
      </c>
      <c r="E2071" s="38" t="s">
        <v>35</v>
      </c>
      <c r="F2071" s="38" t="s">
        <v>1031</v>
      </c>
      <c r="G2071" s="39">
        <v>690</v>
      </c>
      <c r="H2071" s="40">
        <v>3.4689999999999999</v>
      </c>
      <c r="I2071" s="37">
        <v>283800</v>
      </c>
      <c r="J2071" s="41" t="s">
        <v>207</v>
      </c>
      <c r="K2071" s="42">
        <v>2024</v>
      </c>
    </row>
    <row r="2072" spans="1:11" ht="15" customHeight="1" x14ac:dyDescent="0.3">
      <c r="A2072" s="31">
        <v>2067</v>
      </c>
      <c r="B2072" s="32" t="s">
        <v>4482</v>
      </c>
      <c r="C2072" s="32" t="s">
        <v>4434</v>
      </c>
      <c r="D2072" s="32" t="s">
        <v>4484</v>
      </c>
      <c r="E2072" s="32" t="s">
        <v>35</v>
      </c>
      <c r="F2072" s="32" t="s">
        <v>1031</v>
      </c>
      <c r="G2072" s="33">
        <v>835</v>
      </c>
      <c r="H2072" s="34">
        <v>4.5789999999999997</v>
      </c>
      <c r="I2072" s="31">
        <v>311800</v>
      </c>
      <c r="J2072" s="35" t="s">
        <v>207</v>
      </c>
      <c r="K2072" s="36">
        <v>2024</v>
      </c>
    </row>
    <row r="2073" spans="1:11" ht="15" customHeight="1" x14ac:dyDescent="0.3">
      <c r="A2073" s="37">
        <v>2068</v>
      </c>
      <c r="B2073" s="38" t="s">
        <v>4482</v>
      </c>
      <c r="C2073" s="38" t="s">
        <v>4486</v>
      </c>
      <c r="D2073" s="38" t="s">
        <v>3104</v>
      </c>
      <c r="E2073" s="38" t="s">
        <v>4487</v>
      </c>
      <c r="F2073" s="38" t="s">
        <v>316</v>
      </c>
      <c r="G2073" s="39">
        <v>587</v>
      </c>
      <c r="H2073" s="40">
        <v>2.5059999999999998</v>
      </c>
      <c r="I2073" s="37">
        <v>199800</v>
      </c>
      <c r="J2073" s="41" t="s">
        <v>207</v>
      </c>
      <c r="K2073" s="42">
        <v>2024</v>
      </c>
    </row>
    <row r="2074" spans="1:11" ht="15" customHeight="1" x14ac:dyDescent="0.3">
      <c r="A2074" s="31">
        <v>2069</v>
      </c>
      <c r="B2074" s="32" t="s">
        <v>4482</v>
      </c>
      <c r="C2074" s="32" t="s">
        <v>4488</v>
      </c>
      <c r="D2074" s="32" t="s">
        <v>4489</v>
      </c>
      <c r="E2074" s="32" t="s">
        <v>4490</v>
      </c>
      <c r="F2074" s="32" t="s">
        <v>316</v>
      </c>
      <c r="G2074" s="33">
        <v>2244</v>
      </c>
      <c r="H2074" s="34">
        <v>2.15</v>
      </c>
      <c r="I2074" s="31">
        <v>169000</v>
      </c>
      <c r="J2074" s="35" t="s">
        <v>207</v>
      </c>
      <c r="K2074" s="36">
        <v>2024</v>
      </c>
    </row>
    <row r="2075" spans="1:11" ht="15" customHeight="1" x14ac:dyDescent="0.3">
      <c r="A2075" s="37">
        <v>2070</v>
      </c>
      <c r="B2075" s="38" t="s">
        <v>4482</v>
      </c>
      <c r="C2075" s="38" t="s">
        <v>4491</v>
      </c>
      <c r="D2075" s="38" t="s">
        <v>429</v>
      </c>
      <c r="E2075" s="38" t="s">
        <v>35</v>
      </c>
      <c r="F2075" s="38" t="s">
        <v>276</v>
      </c>
      <c r="G2075" s="39">
        <v>60</v>
      </c>
      <c r="H2075" s="40">
        <v>0.26400000000000001</v>
      </c>
      <c r="I2075" s="37">
        <v>145000</v>
      </c>
      <c r="J2075" s="41" t="s">
        <v>207</v>
      </c>
      <c r="K2075" s="42">
        <v>2024</v>
      </c>
    </row>
    <row r="2076" spans="1:11" ht="15" customHeight="1" x14ac:dyDescent="0.3">
      <c r="A2076" s="31">
        <v>2071</v>
      </c>
      <c r="B2076" s="32" t="s">
        <v>4482</v>
      </c>
      <c r="C2076" s="32" t="s">
        <v>4492</v>
      </c>
      <c r="D2076" s="32" t="s">
        <v>1913</v>
      </c>
      <c r="E2076" s="32" t="s">
        <v>35</v>
      </c>
      <c r="F2076" s="32" t="s">
        <v>306</v>
      </c>
      <c r="G2076" s="33">
        <v>11</v>
      </c>
      <c r="H2076" s="34">
        <v>3.5999999999999997E-2</v>
      </c>
      <c r="I2076" s="31">
        <v>145000</v>
      </c>
      <c r="J2076" s="35" t="s">
        <v>207</v>
      </c>
      <c r="K2076" s="36">
        <v>2024</v>
      </c>
    </row>
    <row r="2077" spans="1:11" ht="15" customHeight="1" x14ac:dyDescent="0.3">
      <c r="A2077" s="37">
        <v>2072</v>
      </c>
      <c r="B2077" s="38" t="s">
        <v>4482</v>
      </c>
      <c r="C2077" s="38" t="s">
        <v>4493</v>
      </c>
      <c r="D2077" s="38" t="s">
        <v>4494</v>
      </c>
      <c r="E2077" s="38" t="s">
        <v>4371</v>
      </c>
      <c r="F2077" s="38" t="s">
        <v>1728</v>
      </c>
      <c r="G2077" s="39">
        <v>1650</v>
      </c>
      <c r="H2077" s="40">
        <v>4.0039999999999996</v>
      </c>
      <c r="I2077" s="37">
        <v>227800</v>
      </c>
      <c r="J2077" s="41" t="s">
        <v>207</v>
      </c>
      <c r="K2077" s="42">
        <v>2024</v>
      </c>
    </row>
    <row r="2078" spans="1:11" ht="15" customHeight="1" x14ac:dyDescent="0.3">
      <c r="A2078" s="31">
        <v>2073</v>
      </c>
      <c r="B2078" s="32" t="s">
        <v>272</v>
      </c>
      <c r="C2078" s="32" t="s">
        <v>4495</v>
      </c>
      <c r="D2078" s="32" t="s">
        <v>4496</v>
      </c>
      <c r="E2078" s="32" t="s">
        <v>35</v>
      </c>
      <c r="F2078" s="32" t="s">
        <v>276</v>
      </c>
      <c r="G2078" s="33">
        <v>382</v>
      </c>
      <c r="H2078" s="34">
        <v>0.63400000000000001</v>
      </c>
      <c r="I2078" s="31">
        <v>199800</v>
      </c>
      <c r="J2078" s="35" t="s">
        <v>207</v>
      </c>
      <c r="K2078" s="36">
        <v>2024</v>
      </c>
    </row>
    <row r="2079" spans="1:11" ht="15" customHeight="1" x14ac:dyDescent="0.3">
      <c r="A2079" s="37">
        <v>2074</v>
      </c>
      <c r="B2079" s="38" t="s">
        <v>272</v>
      </c>
      <c r="C2079" s="38" t="s">
        <v>4497</v>
      </c>
      <c r="D2079" s="38" t="s">
        <v>4496</v>
      </c>
      <c r="E2079" s="38" t="s">
        <v>35</v>
      </c>
      <c r="F2079" s="38" t="s">
        <v>316</v>
      </c>
      <c r="G2079" s="39">
        <v>2000</v>
      </c>
      <c r="H2079" s="40">
        <v>1.405</v>
      </c>
      <c r="I2079" s="37">
        <v>255800</v>
      </c>
      <c r="J2079" s="41" t="s">
        <v>207</v>
      </c>
      <c r="K2079" s="42">
        <v>2024</v>
      </c>
    </row>
    <row r="2080" spans="1:11" ht="15" customHeight="1" x14ac:dyDescent="0.3">
      <c r="A2080" s="31">
        <v>2075</v>
      </c>
      <c r="B2080" s="32" t="s">
        <v>272</v>
      </c>
      <c r="C2080" s="32" t="s">
        <v>4498</v>
      </c>
      <c r="D2080" s="32" t="s">
        <v>4499</v>
      </c>
      <c r="E2080" s="32" t="s">
        <v>4500</v>
      </c>
      <c r="F2080" s="32" t="s">
        <v>4501</v>
      </c>
      <c r="G2080" s="33">
        <v>378780</v>
      </c>
      <c r="H2080" s="34">
        <v>1.2230000000000001</v>
      </c>
      <c r="I2080" s="31">
        <v>145800</v>
      </c>
      <c r="J2080" s="35" t="s">
        <v>207</v>
      </c>
      <c r="K2080" s="36">
        <v>2024</v>
      </c>
    </row>
    <row r="2081" spans="1:11" ht="15" customHeight="1" x14ac:dyDescent="0.3">
      <c r="A2081" s="37">
        <v>2076</v>
      </c>
      <c r="B2081" s="38" t="s">
        <v>272</v>
      </c>
      <c r="C2081" s="38" t="s">
        <v>4502</v>
      </c>
      <c r="D2081" s="38" t="s">
        <v>413</v>
      </c>
      <c r="E2081" s="38" t="s">
        <v>35</v>
      </c>
      <c r="F2081" s="38" t="s">
        <v>4335</v>
      </c>
      <c r="G2081" s="39">
        <v>159</v>
      </c>
      <c r="H2081" s="40">
        <v>0.35</v>
      </c>
      <c r="I2081" s="37">
        <v>171800</v>
      </c>
      <c r="J2081" s="41" t="s">
        <v>207</v>
      </c>
      <c r="K2081" s="42">
        <v>2024</v>
      </c>
    </row>
    <row r="2082" spans="1:11" ht="15" customHeight="1" x14ac:dyDescent="0.3">
      <c r="A2082" s="31">
        <v>2077</v>
      </c>
      <c r="B2082" s="32" t="s">
        <v>272</v>
      </c>
      <c r="C2082" s="32" t="s">
        <v>4503</v>
      </c>
      <c r="D2082" s="32" t="s">
        <v>4504</v>
      </c>
      <c r="E2082" s="32" t="s">
        <v>35</v>
      </c>
      <c r="F2082" s="32" t="s">
        <v>4335</v>
      </c>
      <c r="G2082" s="33">
        <v>903.1</v>
      </c>
      <c r="H2082" s="34">
        <v>4.4489999999999998</v>
      </c>
      <c r="I2082" s="31">
        <v>255800</v>
      </c>
      <c r="J2082" s="35" t="s">
        <v>207</v>
      </c>
      <c r="K2082" s="36">
        <v>2024</v>
      </c>
    </row>
    <row r="2083" spans="1:11" ht="15" customHeight="1" x14ac:dyDescent="0.3">
      <c r="A2083" s="37">
        <v>2078</v>
      </c>
      <c r="B2083" s="38" t="s">
        <v>272</v>
      </c>
      <c r="C2083" s="38" t="s">
        <v>4505</v>
      </c>
      <c r="D2083" s="38" t="s">
        <v>4504</v>
      </c>
      <c r="E2083" s="38" t="s">
        <v>35</v>
      </c>
      <c r="F2083" s="38" t="s">
        <v>4335</v>
      </c>
      <c r="G2083" s="39">
        <v>690</v>
      </c>
      <c r="H2083" s="40">
        <v>2.819</v>
      </c>
      <c r="I2083" s="37">
        <v>227800</v>
      </c>
      <c r="J2083" s="41" t="s">
        <v>207</v>
      </c>
      <c r="K2083" s="42">
        <v>2024</v>
      </c>
    </row>
    <row r="2084" spans="1:11" ht="15" customHeight="1" x14ac:dyDescent="0.3">
      <c r="A2084" s="31">
        <v>2079</v>
      </c>
      <c r="B2084" s="32" t="s">
        <v>272</v>
      </c>
      <c r="C2084" s="32" t="s">
        <v>4506</v>
      </c>
      <c r="D2084" s="32" t="s">
        <v>4507</v>
      </c>
      <c r="E2084" s="32" t="s">
        <v>4508</v>
      </c>
      <c r="F2084" s="32" t="s">
        <v>316</v>
      </c>
      <c r="G2084" s="33">
        <v>490</v>
      </c>
      <c r="H2084" s="34">
        <v>4.1529999999999996</v>
      </c>
      <c r="I2084" s="31">
        <v>283800</v>
      </c>
      <c r="J2084" s="35" t="s">
        <v>207</v>
      </c>
      <c r="K2084" s="36">
        <v>2024</v>
      </c>
    </row>
    <row r="2085" spans="1:11" ht="15" customHeight="1" x14ac:dyDescent="0.3">
      <c r="A2085" s="37">
        <v>2080</v>
      </c>
      <c r="B2085" s="38" t="s">
        <v>272</v>
      </c>
      <c r="C2085" s="38" t="s">
        <v>4509</v>
      </c>
      <c r="D2085" s="38" t="s">
        <v>4510</v>
      </c>
      <c r="E2085" s="38" t="s">
        <v>35</v>
      </c>
      <c r="F2085" s="38" t="s">
        <v>276</v>
      </c>
      <c r="G2085" s="39">
        <v>150</v>
      </c>
      <c r="H2085" s="40">
        <v>0.154</v>
      </c>
      <c r="I2085" s="37">
        <v>171800</v>
      </c>
      <c r="J2085" s="41" t="s">
        <v>207</v>
      </c>
      <c r="K2085" s="42">
        <v>2024</v>
      </c>
    </row>
    <row r="2086" spans="1:11" ht="15" customHeight="1" x14ac:dyDescent="0.3">
      <c r="A2086" s="31">
        <v>2081</v>
      </c>
      <c r="B2086" s="32" t="s">
        <v>272</v>
      </c>
      <c r="C2086" s="32" t="s">
        <v>4511</v>
      </c>
      <c r="D2086" s="32" t="s">
        <v>4512</v>
      </c>
      <c r="E2086" s="32" t="s">
        <v>4513</v>
      </c>
      <c r="F2086" s="32" t="s">
        <v>276</v>
      </c>
      <c r="G2086" s="33">
        <v>390</v>
      </c>
      <c r="H2086" s="34">
        <v>3.0579999999999998</v>
      </c>
      <c r="I2086" s="31">
        <v>255800</v>
      </c>
      <c r="J2086" s="35" t="s">
        <v>207</v>
      </c>
      <c r="K2086" s="36">
        <v>2024</v>
      </c>
    </row>
    <row r="2087" spans="1:11" ht="15" customHeight="1" x14ac:dyDescent="0.3">
      <c r="A2087" s="37">
        <v>2082</v>
      </c>
      <c r="B2087" s="38" t="s">
        <v>272</v>
      </c>
      <c r="C2087" s="38" t="s">
        <v>4514</v>
      </c>
      <c r="D2087" s="38" t="s">
        <v>4515</v>
      </c>
      <c r="E2087" s="38" t="s">
        <v>4516</v>
      </c>
      <c r="F2087" s="38" t="s">
        <v>4517</v>
      </c>
      <c r="G2087" s="39">
        <v>274</v>
      </c>
      <c r="H2087" s="40">
        <v>0.46200000000000002</v>
      </c>
      <c r="I2087" s="37">
        <v>145000</v>
      </c>
      <c r="J2087" s="41" t="s">
        <v>207</v>
      </c>
      <c r="K2087" s="42">
        <v>2024</v>
      </c>
    </row>
    <row r="2088" spans="1:11" ht="15" customHeight="1" x14ac:dyDescent="0.3">
      <c r="A2088" s="31">
        <v>2083</v>
      </c>
      <c r="B2088" s="32" t="s">
        <v>272</v>
      </c>
      <c r="C2088" s="32" t="s">
        <v>4518</v>
      </c>
      <c r="D2088" s="32" t="s">
        <v>4519</v>
      </c>
      <c r="E2088" s="32" t="s">
        <v>3465</v>
      </c>
      <c r="F2088" s="32" t="s">
        <v>276</v>
      </c>
      <c r="G2088" s="33">
        <v>356.42</v>
      </c>
      <c r="H2088" s="34">
        <v>0.88600000000000001</v>
      </c>
      <c r="I2088" s="31">
        <v>199800</v>
      </c>
      <c r="J2088" s="35" t="s">
        <v>207</v>
      </c>
      <c r="K2088" s="36">
        <v>2024</v>
      </c>
    </row>
    <row r="2089" spans="1:11" ht="15" customHeight="1" x14ac:dyDescent="0.3">
      <c r="A2089" s="37">
        <v>2084</v>
      </c>
      <c r="B2089" s="38" t="s">
        <v>272</v>
      </c>
      <c r="C2089" s="38" t="s">
        <v>4520</v>
      </c>
      <c r="D2089" s="38" t="s">
        <v>4521</v>
      </c>
      <c r="E2089" s="38" t="s">
        <v>4522</v>
      </c>
      <c r="F2089" s="38" t="s">
        <v>4523</v>
      </c>
      <c r="G2089" s="39">
        <v>896</v>
      </c>
      <c r="H2089" s="40">
        <v>2.1720000000000002</v>
      </c>
      <c r="I2089" s="37">
        <v>1978000</v>
      </c>
      <c r="J2089" s="41" t="s">
        <v>207</v>
      </c>
      <c r="K2089" s="42">
        <v>2024</v>
      </c>
    </row>
    <row r="2090" spans="1:11" ht="15" customHeight="1" x14ac:dyDescent="0.3">
      <c r="A2090" s="31">
        <v>2085</v>
      </c>
      <c r="B2090" s="32" t="s">
        <v>272</v>
      </c>
      <c r="C2090" s="32" t="s">
        <v>4524</v>
      </c>
      <c r="D2090" s="32" t="s">
        <v>4521</v>
      </c>
      <c r="E2090" s="32" t="s">
        <v>4525</v>
      </c>
      <c r="F2090" s="32" t="s">
        <v>4526</v>
      </c>
      <c r="G2090" s="33">
        <v>401</v>
      </c>
      <c r="H2090" s="34">
        <v>0.84</v>
      </c>
      <c r="I2090" s="31">
        <v>225000</v>
      </c>
      <c r="J2090" s="35" t="s">
        <v>207</v>
      </c>
      <c r="K2090" s="36">
        <v>2024</v>
      </c>
    </row>
    <row r="2091" spans="1:11" ht="15" customHeight="1" x14ac:dyDescent="0.3">
      <c r="A2091" s="37">
        <v>2086</v>
      </c>
      <c r="B2091" s="38" t="s">
        <v>272</v>
      </c>
      <c r="C2091" s="38" t="s">
        <v>4527</v>
      </c>
      <c r="D2091" s="38" t="s">
        <v>4528</v>
      </c>
      <c r="E2091" s="38" t="s">
        <v>4529</v>
      </c>
      <c r="F2091" s="38" t="s">
        <v>658</v>
      </c>
      <c r="G2091" s="39">
        <v>450</v>
      </c>
      <c r="H2091" s="40">
        <v>1.1000000000000001</v>
      </c>
      <c r="I2091" s="37">
        <v>171800</v>
      </c>
      <c r="J2091" s="41" t="s">
        <v>207</v>
      </c>
      <c r="K2091" s="42">
        <v>2024</v>
      </c>
    </row>
    <row r="2092" spans="1:11" ht="15" customHeight="1" x14ac:dyDescent="0.3">
      <c r="A2092" s="31">
        <v>2087</v>
      </c>
      <c r="B2092" s="32" t="s">
        <v>272</v>
      </c>
      <c r="C2092" s="32" t="s">
        <v>4530</v>
      </c>
      <c r="D2092" s="32" t="s">
        <v>4531</v>
      </c>
      <c r="E2092" s="32" t="s">
        <v>1975</v>
      </c>
      <c r="F2092" s="32" t="s">
        <v>316</v>
      </c>
      <c r="G2092" s="33">
        <v>551</v>
      </c>
      <c r="H2092" s="34">
        <v>0.94599999999999995</v>
      </c>
      <c r="I2092" s="31">
        <v>169000</v>
      </c>
      <c r="J2092" s="35" t="s">
        <v>207</v>
      </c>
      <c r="K2092" s="36">
        <v>2024</v>
      </c>
    </row>
    <row r="2093" spans="1:11" ht="15" customHeight="1" x14ac:dyDescent="0.3">
      <c r="A2093" s="37">
        <v>2088</v>
      </c>
      <c r="B2093" s="38" t="s">
        <v>272</v>
      </c>
      <c r="C2093" s="38" t="s">
        <v>4532</v>
      </c>
      <c r="D2093" s="38" t="s">
        <v>4263</v>
      </c>
      <c r="E2093" s="38" t="s">
        <v>4235</v>
      </c>
      <c r="F2093" s="38" t="s">
        <v>693</v>
      </c>
      <c r="G2093" s="39">
        <v>4260</v>
      </c>
      <c r="H2093" s="40">
        <v>4.923</v>
      </c>
      <c r="I2093" s="37">
        <v>253000</v>
      </c>
      <c r="J2093" s="41" t="s">
        <v>207</v>
      </c>
      <c r="K2093" s="42">
        <v>2024</v>
      </c>
    </row>
    <row r="2094" spans="1:11" ht="15" customHeight="1" x14ac:dyDescent="0.3">
      <c r="A2094" s="31">
        <v>2089</v>
      </c>
      <c r="B2094" s="32" t="s">
        <v>4332</v>
      </c>
      <c r="C2094" s="32" t="s">
        <v>4533</v>
      </c>
      <c r="D2094" s="32" t="s">
        <v>371</v>
      </c>
      <c r="E2094" s="32" t="s">
        <v>4337</v>
      </c>
      <c r="F2094" s="32" t="s">
        <v>4534</v>
      </c>
      <c r="G2094" s="33">
        <v>2230</v>
      </c>
      <c r="H2094" s="34">
        <v>6.6719999999999997</v>
      </c>
      <c r="I2094" s="31">
        <v>336800</v>
      </c>
      <c r="J2094" s="35" t="s">
        <v>668</v>
      </c>
      <c r="K2094" s="36">
        <v>2024</v>
      </c>
    </row>
    <row r="2095" spans="1:11" ht="15" customHeight="1" x14ac:dyDescent="0.3">
      <c r="A2095" s="37">
        <v>2090</v>
      </c>
      <c r="B2095" s="38" t="s">
        <v>4332</v>
      </c>
      <c r="C2095" s="38" t="s">
        <v>4535</v>
      </c>
      <c r="D2095" s="38" t="s">
        <v>52</v>
      </c>
      <c r="E2095" s="38" t="s">
        <v>35</v>
      </c>
      <c r="F2095" s="38" t="s">
        <v>386</v>
      </c>
      <c r="G2095" s="39">
        <v>381</v>
      </c>
      <c r="H2095" s="40">
        <v>0.85399999999999998</v>
      </c>
      <c r="I2095" s="37">
        <v>199800</v>
      </c>
      <c r="J2095" s="41" t="s">
        <v>668</v>
      </c>
      <c r="K2095" s="42">
        <v>2024</v>
      </c>
    </row>
    <row r="2096" spans="1:11" ht="15" customHeight="1" x14ac:dyDescent="0.3">
      <c r="A2096" s="31">
        <v>2091</v>
      </c>
      <c r="B2096" s="32" t="s">
        <v>4332</v>
      </c>
      <c r="C2096" s="32" t="s">
        <v>4536</v>
      </c>
      <c r="D2096" s="32" t="s">
        <v>42</v>
      </c>
      <c r="E2096" s="32" t="s">
        <v>35</v>
      </c>
      <c r="F2096" s="32" t="s">
        <v>316</v>
      </c>
      <c r="G2096" s="33">
        <v>251</v>
      </c>
      <c r="H2096" s="34">
        <v>1.163</v>
      </c>
      <c r="I2096" s="31">
        <v>171800</v>
      </c>
      <c r="J2096" s="35" t="s">
        <v>668</v>
      </c>
      <c r="K2096" s="36">
        <v>2024</v>
      </c>
    </row>
    <row r="2097" spans="1:11" ht="15" customHeight="1" x14ac:dyDescent="0.3">
      <c r="A2097" s="37">
        <v>2092</v>
      </c>
      <c r="B2097" s="38" t="s">
        <v>4332</v>
      </c>
      <c r="C2097" s="38" t="s">
        <v>4537</v>
      </c>
      <c r="D2097" s="38" t="s">
        <v>4538</v>
      </c>
      <c r="E2097" s="38" t="s">
        <v>39</v>
      </c>
      <c r="F2097" s="38" t="s">
        <v>4539</v>
      </c>
      <c r="G2097" s="39">
        <v>5076</v>
      </c>
      <c r="H2097" s="40">
        <v>6.0590000000000002</v>
      </c>
      <c r="I2097" s="37">
        <v>331800</v>
      </c>
      <c r="J2097" s="41" t="s">
        <v>668</v>
      </c>
      <c r="K2097" s="42">
        <v>2024</v>
      </c>
    </row>
    <row r="2098" spans="1:11" ht="15" customHeight="1" x14ac:dyDescent="0.3">
      <c r="A2098" s="31">
        <v>2093</v>
      </c>
      <c r="B2098" s="32" t="s">
        <v>4332</v>
      </c>
      <c r="C2098" s="32" t="s">
        <v>4540</v>
      </c>
      <c r="D2098" s="32" t="s">
        <v>4541</v>
      </c>
      <c r="E2098" s="32" t="s">
        <v>61</v>
      </c>
      <c r="F2098" s="32" t="s">
        <v>2537</v>
      </c>
      <c r="G2098" s="33">
        <v>2714.4</v>
      </c>
      <c r="H2098" s="34">
        <v>2.8079999999999998</v>
      </c>
      <c r="I2098" s="31">
        <v>197000</v>
      </c>
      <c r="J2098" s="35" t="s">
        <v>668</v>
      </c>
      <c r="K2098" s="36">
        <v>2024</v>
      </c>
    </row>
    <row r="2099" spans="1:11" ht="15" customHeight="1" x14ac:dyDescent="0.3">
      <c r="A2099" s="37">
        <v>2094</v>
      </c>
      <c r="B2099" s="38" t="s">
        <v>4332</v>
      </c>
      <c r="C2099" s="38" t="s">
        <v>4542</v>
      </c>
      <c r="D2099" s="38" t="s">
        <v>4174</v>
      </c>
      <c r="E2099" s="38" t="s">
        <v>35</v>
      </c>
      <c r="F2099" s="38" t="s">
        <v>316</v>
      </c>
      <c r="G2099" s="39">
        <v>1915</v>
      </c>
      <c r="H2099" s="40">
        <v>1.8</v>
      </c>
      <c r="I2099" s="37">
        <v>283800</v>
      </c>
      <c r="J2099" s="41" t="s">
        <v>668</v>
      </c>
      <c r="K2099" s="42">
        <v>2024</v>
      </c>
    </row>
    <row r="2100" spans="1:11" ht="15" customHeight="1" x14ac:dyDescent="0.3">
      <c r="A2100" s="31">
        <v>2095</v>
      </c>
      <c r="B2100" s="32" t="s">
        <v>4332</v>
      </c>
      <c r="C2100" s="32" t="s">
        <v>4543</v>
      </c>
      <c r="D2100" s="32" t="s">
        <v>4174</v>
      </c>
      <c r="E2100" s="32" t="s">
        <v>35</v>
      </c>
      <c r="F2100" s="32" t="s">
        <v>287</v>
      </c>
      <c r="G2100" s="33">
        <v>2575</v>
      </c>
      <c r="H2100" s="34">
        <v>1.23</v>
      </c>
      <c r="I2100" s="31">
        <v>311800</v>
      </c>
      <c r="J2100" s="35" t="s">
        <v>668</v>
      </c>
      <c r="K2100" s="36">
        <v>2024</v>
      </c>
    </row>
    <row r="2101" spans="1:11" ht="15" customHeight="1" x14ac:dyDescent="0.3">
      <c r="A2101" s="37">
        <v>2096</v>
      </c>
      <c r="B2101" s="38" t="s">
        <v>4332</v>
      </c>
      <c r="C2101" s="38" t="s">
        <v>4544</v>
      </c>
      <c r="D2101" s="38" t="s">
        <v>4174</v>
      </c>
      <c r="E2101" s="38" t="s">
        <v>35</v>
      </c>
      <c r="F2101" s="38" t="s">
        <v>316</v>
      </c>
      <c r="G2101" s="39">
        <v>1362</v>
      </c>
      <c r="H2101" s="40">
        <v>0.82</v>
      </c>
      <c r="I2101" s="37">
        <v>255800</v>
      </c>
      <c r="J2101" s="41" t="s">
        <v>668</v>
      </c>
      <c r="K2101" s="42">
        <v>2024</v>
      </c>
    </row>
    <row r="2102" spans="1:11" ht="15" customHeight="1" x14ac:dyDescent="0.3">
      <c r="A2102" s="31">
        <v>2097</v>
      </c>
      <c r="B2102" s="32" t="s">
        <v>4332</v>
      </c>
      <c r="C2102" s="32" t="s">
        <v>4545</v>
      </c>
      <c r="D2102" s="32" t="s">
        <v>4546</v>
      </c>
      <c r="E2102" s="32" t="s">
        <v>4547</v>
      </c>
      <c r="F2102" s="32" t="s">
        <v>4548</v>
      </c>
      <c r="G2102" s="33">
        <v>1564</v>
      </c>
      <c r="H2102" s="34">
        <v>7.8970000000000002</v>
      </c>
      <c r="I2102" s="31">
        <v>356800</v>
      </c>
      <c r="J2102" s="35" t="s">
        <v>668</v>
      </c>
      <c r="K2102" s="36">
        <v>2024</v>
      </c>
    </row>
    <row r="2103" spans="1:11" ht="15" customHeight="1" x14ac:dyDescent="0.3">
      <c r="A2103" s="37">
        <v>2098</v>
      </c>
      <c r="B2103" s="38" t="s">
        <v>4332</v>
      </c>
      <c r="C2103" s="38" t="s">
        <v>4549</v>
      </c>
      <c r="D2103" s="38" t="s">
        <v>4550</v>
      </c>
      <c r="E2103" s="38" t="s">
        <v>4551</v>
      </c>
      <c r="F2103" s="38" t="s">
        <v>402</v>
      </c>
      <c r="G2103" s="39">
        <v>3285</v>
      </c>
      <c r="H2103" s="40">
        <v>7.4880000000000004</v>
      </c>
      <c r="I2103" s="37">
        <v>225000</v>
      </c>
      <c r="J2103" s="41" t="s">
        <v>668</v>
      </c>
      <c r="K2103" s="42">
        <v>2024</v>
      </c>
    </row>
    <row r="2104" spans="1:11" ht="15" customHeight="1" x14ac:dyDescent="0.3">
      <c r="A2104" s="31">
        <v>2099</v>
      </c>
      <c r="B2104" s="32" t="s">
        <v>4332</v>
      </c>
      <c r="C2104" s="32" t="s">
        <v>4552</v>
      </c>
      <c r="D2104" s="32" t="s">
        <v>4553</v>
      </c>
      <c r="E2104" s="32" t="s">
        <v>35</v>
      </c>
      <c r="F2104" s="32" t="s">
        <v>2126</v>
      </c>
      <c r="G2104" s="33">
        <v>2870</v>
      </c>
      <c r="H2104" s="34">
        <v>4.72</v>
      </c>
      <c r="I2104" s="31">
        <v>311800</v>
      </c>
      <c r="J2104" s="35" t="s">
        <v>668</v>
      </c>
      <c r="K2104" s="36">
        <v>2024</v>
      </c>
    </row>
    <row r="2105" spans="1:11" ht="15" customHeight="1" x14ac:dyDescent="0.3">
      <c r="A2105" s="37">
        <v>2100</v>
      </c>
      <c r="B2105" s="38" t="s">
        <v>4332</v>
      </c>
      <c r="C2105" s="38" t="s">
        <v>4554</v>
      </c>
      <c r="D2105" s="38" t="s">
        <v>4555</v>
      </c>
      <c r="E2105" s="38" t="s">
        <v>4556</v>
      </c>
      <c r="F2105" s="38" t="s">
        <v>402</v>
      </c>
      <c r="G2105" s="39">
        <v>897.8</v>
      </c>
      <c r="H2105" s="40">
        <v>5.52</v>
      </c>
      <c r="I2105" s="37">
        <v>283800</v>
      </c>
      <c r="J2105" s="41" t="s">
        <v>668</v>
      </c>
      <c r="K2105" s="42">
        <v>2024</v>
      </c>
    </row>
    <row r="2106" spans="1:11" ht="15" customHeight="1" x14ac:dyDescent="0.3">
      <c r="A2106" s="31">
        <v>2101</v>
      </c>
      <c r="B2106" s="32" t="s">
        <v>4462</v>
      </c>
      <c r="C2106" s="32" t="s">
        <v>4557</v>
      </c>
      <c r="D2106" s="32" t="s">
        <v>4558</v>
      </c>
      <c r="E2106" s="32" t="s">
        <v>4559</v>
      </c>
      <c r="F2106" s="32" t="s">
        <v>4560</v>
      </c>
      <c r="G2106" s="33">
        <v>72</v>
      </c>
      <c r="H2106" s="34">
        <v>0.50600000000000001</v>
      </c>
      <c r="I2106" s="31">
        <v>143000</v>
      </c>
      <c r="J2106" s="35" t="s">
        <v>668</v>
      </c>
      <c r="K2106" s="36">
        <v>2024</v>
      </c>
    </row>
    <row r="2107" spans="1:11" ht="15" customHeight="1" x14ac:dyDescent="0.3">
      <c r="A2107" s="37">
        <v>2102</v>
      </c>
      <c r="B2107" s="38" t="s">
        <v>4462</v>
      </c>
      <c r="C2107" s="38" t="s">
        <v>4561</v>
      </c>
      <c r="D2107" s="38" t="s">
        <v>4562</v>
      </c>
      <c r="E2107" s="38" t="s">
        <v>4563</v>
      </c>
      <c r="F2107" s="38" t="s">
        <v>276</v>
      </c>
      <c r="G2107" s="39">
        <v>96</v>
      </c>
      <c r="H2107" s="40">
        <v>1.536</v>
      </c>
      <c r="I2107" s="37">
        <v>171800</v>
      </c>
      <c r="J2107" s="41" t="s">
        <v>668</v>
      </c>
      <c r="K2107" s="42">
        <v>2024</v>
      </c>
    </row>
    <row r="2108" spans="1:11" ht="15" customHeight="1" x14ac:dyDescent="0.3">
      <c r="A2108" s="31">
        <v>2103</v>
      </c>
      <c r="B2108" s="32" t="s">
        <v>4462</v>
      </c>
      <c r="C2108" s="32" t="s">
        <v>4564</v>
      </c>
      <c r="D2108" s="32" t="s">
        <v>3641</v>
      </c>
      <c r="E2108" s="32" t="s">
        <v>35</v>
      </c>
      <c r="F2108" s="32" t="s">
        <v>276</v>
      </c>
      <c r="G2108" s="33">
        <v>760</v>
      </c>
      <c r="H2108" s="34">
        <v>1.387</v>
      </c>
      <c r="I2108" s="31">
        <v>2278000</v>
      </c>
      <c r="J2108" s="35" t="s">
        <v>668</v>
      </c>
      <c r="K2108" s="36">
        <v>2024</v>
      </c>
    </row>
    <row r="2109" spans="1:11" ht="15" customHeight="1" x14ac:dyDescent="0.3">
      <c r="A2109" s="37">
        <v>2104</v>
      </c>
      <c r="B2109" s="38" t="s">
        <v>4462</v>
      </c>
      <c r="C2109" s="38" t="s">
        <v>4565</v>
      </c>
      <c r="D2109" s="38" t="s">
        <v>4566</v>
      </c>
      <c r="E2109" s="38" t="s">
        <v>1975</v>
      </c>
      <c r="F2109" s="38" t="s">
        <v>276</v>
      </c>
      <c r="G2109" s="39">
        <v>53</v>
      </c>
      <c r="H2109" s="40">
        <v>0.38400000000000001</v>
      </c>
      <c r="I2109" s="37">
        <v>143000</v>
      </c>
      <c r="J2109" s="41" t="s">
        <v>668</v>
      </c>
      <c r="K2109" s="42">
        <v>2024</v>
      </c>
    </row>
    <row r="2110" spans="1:11" ht="15" customHeight="1" x14ac:dyDescent="0.3">
      <c r="A2110" s="31">
        <v>2105</v>
      </c>
      <c r="B2110" s="32" t="s">
        <v>4462</v>
      </c>
      <c r="C2110" s="32" t="s">
        <v>4567</v>
      </c>
      <c r="D2110" s="32" t="s">
        <v>4568</v>
      </c>
      <c r="E2110" s="32" t="s">
        <v>2797</v>
      </c>
      <c r="F2110" s="32" t="s">
        <v>4343</v>
      </c>
      <c r="G2110" s="33">
        <v>1652</v>
      </c>
      <c r="H2110" s="34">
        <v>6.4320000000000004</v>
      </c>
      <c r="I2110" s="31">
        <v>283800</v>
      </c>
      <c r="J2110" s="35" t="s">
        <v>668</v>
      </c>
      <c r="K2110" s="36">
        <v>2024</v>
      </c>
    </row>
    <row r="2111" spans="1:11" ht="15" customHeight="1" x14ac:dyDescent="0.3">
      <c r="A2111" s="37">
        <v>2106</v>
      </c>
      <c r="B2111" s="38" t="s">
        <v>4462</v>
      </c>
      <c r="C2111" s="38" t="s">
        <v>4569</v>
      </c>
      <c r="D2111" s="38" t="s">
        <v>4553</v>
      </c>
      <c r="E2111" s="38" t="s">
        <v>35</v>
      </c>
      <c r="F2111" s="38" t="s">
        <v>316</v>
      </c>
      <c r="G2111" s="39">
        <v>6640</v>
      </c>
      <c r="H2111" s="40">
        <v>8.0960000000000001</v>
      </c>
      <c r="I2111" s="37">
        <v>385800</v>
      </c>
      <c r="J2111" s="41" t="s">
        <v>668</v>
      </c>
      <c r="K2111" s="42">
        <v>2024</v>
      </c>
    </row>
    <row r="2112" spans="1:11" ht="15" customHeight="1" x14ac:dyDescent="0.3">
      <c r="A2112" s="31">
        <v>2107</v>
      </c>
      <c r="B2112" s="32" t="s">
        <v>3160</v>
      </c>
      <c r="C2112" s="32" t="s">
        <v>4570</v>
      </c>
      <c r="D2112" s="32" t="s">
        <v>4571</v>
      </c>
      <c r="E2112" s="32" t="s">
        <v>4572</v>
      </c>
      <c r="F2112" s="32" t="s">
        <v>386</v>
      </c>
      <c r="G2112" s="33">
        <v>324</v>
      </c>
      <c r="H2112" s="34">
        <v>2.4769999999999999</v>
      </c>
      <c r="I2112" s="31">
        <v>199800</v>
      </c>
      <c r="J2112" s="35" t="s">
        <v>668</v>
      </c>
      <c r="K2112" s="36">
        <v>2024</v>
      </c>
    </row>
    <row r="2113" spans="1:11" ht="15" customHeight="1" x14ac:dyDescent="0.3">
      <c r="A2113" s="37">
        <v>2108</v>
      </c>
      <c r="B2113" s="38" t="s">
        <v>3160</v>
      </c>
      <c r="C2113" s="38" t="s">
        <v>4573</v>
      </c>
      <c r="D2113" s="38" t="s">
        <v>4574</v>
      </c>
      <c r="E2113" s="38" t="s">
        <v>35</v>
      </c>
      <c r="F2113" s="38" t="s">
        <v>4575</v>
      </c>
      <c r="G2113" s="39">
        <v>5880</v>
      </c>
      <c r="H2113" s="40">
        <v>2.0960000000000001</v>
      </c>
      <c r="I2113" s="37">
        <v>358800</v>
      </c>
      <c r="J2113" s="41" t="s">
        <v>668</v>
      </c>
      <c r="K2113" s="42">
        <v>2024</v>
      </c>
    </row>
    <row r="2114" spans="1:11" ht="15" customHeight="1" x14ac:dyDescent="0.3">
      <c r="A2114" s="31">
        <v>2109</v>
      </c>
      <c r="B2114" s="32" t="s">
        <v>3160</v>
      </c>
      <c r="C2114" s="32" t="s">
        <v>4576</v>
      </c>
      <c r="D2114" s="32" t="s">
        <v>4577</v>
      </c>
      <c r="E2114" s="32" t="s">
        <v>1975</v>
      </c>
      <c r="F2114" s="32" t="s">
        <v>406</v>
      </c>
      <c r="G2114" s="33">
        <v>1109</v>
      </c>
      <c r="H2114" s="34">
        <v>0.94</v>
      </c>
      <c r="I2114" s="31">
        <v>143000</v>
      </c>
      <c r="J2114" s="35" t="s">
        <v>668</v>
      </c>
      <c r="K2114" s="36">
        <v>2024</v>
      </c>
    </row>
    <row r="2115" spans="1:11" ht="15" customHeight="1" x14ac:dyDescent="0.3">
      <c r="A2115" s="37">
        <v>2110</v>
      </c>
      <c r="B2115" s="38" t="s">
        <v>3160</v>
      </c>
      <c r="C2115" s="38" t="s">
        <v>4578</v>
      </c>
      <c r="D2115" s="38" t="s">
        <v>4579</v>
      </c>
      <c r="E2115" s="38" t="s">
        <v>45</v>
      </c>
      <c r="F2115" s="38" t="s">
        <v>4580</v>
      </c>
      <c r="G2115" s="39">
        <v>3890</v>
      </c>
      <c r="H2115" s="40">
        <v>20.972999999999999</v>
      </c>
      <c r="I2115" s="37">
        <v>383000</v>
      </c>
      <c r="J2115" s="41" t="s">
        <v>668</v>
      </c>
      <c r="K2115" s="42">
        <v>2024</v>
      </c>
    </row>
    <row r="2116" spans="1:11" ht="15" customHeight="1" x14ac:dyDescent="0.3">
      <c r="A2116" s="31">
        <v>2111</v>
      </c>
      <c r="B2116" s="32" t="s">
        <v>3160</v>
      </c>
      <c r="C2116" s="32" t="s">
        <v>4581</v>
      </c>
      <c r="D2116" s="32" t="s">
        <v>4582</v>
      </c>
      <c r="E2116" s="32" t="s">
        <v>4583</v>
      </c>
      <c r="F2116" s="32" t="s">
        <v>693</v>
      </c>
      <c r="G2116" s="33">
        <v>2598.9989999999998</v>
      </c>
      <c r="H2116" s="34">
        <v>14.788</v>
      </c>
      <c r="I2116" s="31">
        <v>385800</v>
      </c>
      <c r="J2116" s="35" t="s">
        <v>668</v>
      </c>
      <c r="K2116" s="36">
        <v>2024</v>
      </c>
    </row>
    <row r="2117" spans="1:11" ht="15" customHeight="1" x14ac:dyDescent="0.3">
      <c r="A2117" s="37">
        <v>2112</v>
      </c>
      <c r="B2117" s="38" t="s">
        <v>3160</v>
      </c>
      <c r="C2117" s="38" t="s">
        <v>4584</v>
      </c>
      <c r="D2117" s="38" t="s">
        <v>4585</v>
      </c>
      <c r="E2117" s="38" t="s">
        <v>4586</v>
      </c>
      <c r="F2117" s="38" t="s">
        <v>287</v>
      </c>
      <c r="G2117" s="39">
        <v>708</v>
      </c>
      <c r="H2117" s="40">
        <v>7.83</v>
      </c>
      <c r="I2117" s="37">
        <v>331800</v>
      </c>
      <c r="J2117" s="41" t="s">
        <v>668</v>
      </c>
      <c r="K2117" s="42">
        <v>2024</v>
      </c>
    </row>
    <row r="2118" spans="1:11" ht="15" customHeight="1" x14ac:dyDescent="0.3">
      <c r="A2118" s="31">
        <v>2113</v>
      </c>
      <c r="B2118" s="32" t="s">
        <v>3160</v>
      </c>
      <c r="C2118" s="32" t="s">
        <v>4587</v>
      </c>
      <c r="D2118" s="32" t="s">
        <v>4588</v>
      </c>
      <c r="E2118" s="32" t="s">
        <v>35</v>
      </c>
      <c r="F2118" s="32" t="s">
        <v>2126</v>
      </c>
      <c r="G2118" s="33">
        <v>640</v>
      </c>
      <c r="H2118" s="34">
        <v>1.833</v>
      </c>
      <c r="I2118" s="31">
        <v>227800</v>
      </c>
      <c r="J2118" s="35" t="s">
        <v>668</v>
      </c>
      <c r="K2118" s="36">
        <v>2024</v>
      </c>
    </row>
    <row r="2119" spans="1:11" ht="15" customHeight="1" x14ac:dyDescent="0.3">
      <c r="A2119" s="37">
        <v>2114</v>
      </c>
      <c r="B2119" s="38" t="s">
        <v>3160</v>
      </c>
      <c r="C2119" s="38" t="s">
        <v>4589</v>
      </c>
      <c r="D2119" s="38" t="s">
        <v>4590</v>
      </c>
      <c r="E2119" s="38" t="s">
        <v>4591</v>
      </c>
      <c r="F2119" s="38" t="s">
        <v>276</v>
      </c>
      <c r="G2119" s="39">
        <v>340</v>
      </c>
      <c r="H2119" s="40">
        <v>0.80900000000000005</v>
      </c>
      <c r="I2119" s="37">
        <v>145800</v>
      </c>
      <c r="J2119" s="41" t="s">
        <v>668</v>
      </c>
      <c r="K2119" s="42">
        <v>2024</v>
      </c>
    </row>
    <row r="2120" spans="1:11" ht="15" customHeight="1" x14ac:dyDescent="0.3">
      <c r="A2120" s="31">
        <v>2115</v>
      </c>
      <c r="B2120" s="32" t="s">
        <v>3160</v>
      </c>
      <c r="C2120" s="32" t="s">
        <v>4592</v>
      </c>
      <c r="D2120" s="32" t="s">
        <v>4593</v>
      </c>
      <c r="E2120" s="32" t="s">
        <v>4594</v>
      </c>
      <c r="F2120" s="32" t="s">
        <v>4343</v>
      </c>
      <c r="G2120" s="33">
        <v>1933.2</v>
      </c>
      <c r="H2120" s="34">
        <v>4.8</v>
      </c>
      <c r="I2120" s="31">
        <v>255800</v>
      </c>
      <c r="J2120" s="35" t="s">
        <v>668</v>
      </c>
      <c r="K2120" s="36">
        <v>2024</v>
      </c>
    </row>
    <row r="2121" spans="1:11" ht="15" customHeight="1" x14ac:dyDescent="0.3">
      <c r="A2121" s="37">
        <v>2116</v>
      </c>
      <c r="B2121" s="38" t="s">
        <v>272</v>
      </c>
      <c r="C2121" s="38" t="s">
        <v>4595</v>
      </c>
      <c r="D2121" s="38" t="s">
        <v>4596</v>
      </c>
      <c r="E2121" s="38" t="s">
        <v>4597</v>
      </c>
      <c r="F2121" s="38" t="s">
        <v>287</v>
      </c>
      <c r="G2121" s="39">
        <v>3365</v>
      </c>
      <c r="H2121" s="40">
        <v>5.6959999999999997</v>
      </c>
      <c r="I2121" s="37">
        <v>329000</v>
      </c>
      <c r="J2121" s="41" t="s">
        <v>805</v>
      </c>
      <c r="K2121" s="42">
        <v>2024</v>
      </c>
    </row>
    <row r="2122" spans="1:11" ht="15" customHeight="1" x14ac:dyDescent="0.3">
      <c r="A2122" s="31">
        <v>2117</v>
      </c>
      <c r="B2122" s="32" t="s">
        <v>272</v>
      </c>
      <c r="C2122" s="32" t="s">
        <v>4598</v>
      </c>
      <c r="D2122" s="32" t="s">
        <v>4006</v>
      </c>
      <c r="E2122" s="32" t="s">
        <v>45</v>
      </c>
      <c r="F2122" s="32" t="s">
        <v>312</v>
      </c>
      <c r="G2122" s="33">
        <v>66</v>
      </c>
      <c r="H2122" s="34">
        <v>0.25900000000000001</v>
      </c>
      <c r="I2122" s="31">
        <v>143000</v>
      </c>
      <c r="J2122" s="35" t="s">
        <v>805</v>
      </c>
      <c r="K2122" s="36">
        <v>2024</v>
      </c>
    </row>
    <row r="2123" spans="1:11" ht="15" customHeight="1" x14ac:dyDescent="0.3">
      <c r="A2123" s="37">
        <v>2118</v>
      </c>
      <c r="B2123" s="38" t="s">
        <v>272</v>
      </c>
      <c r="C2123" s="38" t="s">
        <v>4599</v>
      </c>
      <c r="D2123" s="38" t="s">
        <v>4600</v>
      </c>
      <c r="E2123" s="38" t="s">
        <v>4601</v>
      </c>
      <c r="F2123" s="38" t="s">
        <v>276</v>
      </c>
      <c r="G2123" s="39">
        <v>700</v>
      </c>
      <c r="H2123" s="40">
        <v>1.56</v>
      </c>
      <c r="I2123" s="37">
        <v>196800</v>
      </c>
      <c r="J2123" s="41" t="s">
        <v>805</v>
      </c>
      <c r="K2123" s="42">
        <v>2024</v>
      </c>
    </row>
    <row r="2124" spans="1:11" ht="15" customHeight="1" x14ac:dyDescent="0.3">
      <c r="A2124" s="31">
        <v>2119</v>
      </c>
      <c r="B2124" s="32" t="s">
        <v>272</v>
      </c>
      <c r="C2124" s="32" t="s">
        <v>4602</v>
      </c>
      <c r="D2124" s="32" t="s">
        <v>429</v>
      </c>
      <c r="E2124" s="32" t="s">
        <v>4603</v>
      </c>
      <c r="F2124" s="32" t="s">
        <v>312</v>
      </c>
      <c r="G2124" s="33">
        <v>1617</v>
      </c>
      <c r="H2124" s="34">
        <v>4.6479999999999997</v>
      </c>
      <c r="I2124" s="31">
        <v>331800</v>
      </c>
      <c r="J2124" s="35" t="s">
        <v>805</v>
      </c>
      <c r="K2124" s="36">
        <v>2024</v>
      </c>
    </row>
    <row r="2125" spans="1:11" ht="15" customHeight="1" x14ac:dyDescent="0.3">
      <c r="A2125" s="37">
        <v>2120</v>
      </c>
      <c r="B2125" s="38" t="s">
        <v>272</v>
      </c>
      <c r="C2125" s="38" t="s">
        <v>4604</v>
      </c>
      <c r="D2125" s="38" t="s">
        <v>4605</v>
      </c>
      <c r="E2125" s="38" t="s">
        <v>4606</v>
      </c>
      <c r="F2125" s="38" t="s">
        <v>316</v>
      </c>
      <c r="G2125" s="39">
        <v>791.97</v>
      </c>
      <c r="H2125" s="40">
        <v>1.9510000000000001</v>
      </c>
      <c r="I2125" s="37">
        <v>255800</v>
      </c>
      <c r="J2125" s="41" t="s">
        <v>805</v>
      </c>
      <c r="K2125" s="42">
        <v>2024</v>
      </c>
    </row>
    <row r="2126" spans="1:11" ht="15" customHeight="1" x14ac:dyDescent="0.3">
      <c r="A2126" s="31">
        <v>2121</v>
      </c>
      <c r="B2126" s="32" t="s">
        <v>272</v>
      </c>
      <c r="C2126" s="32" t="s">
        <v>4607</v>
      </c>
      <c r="D2126" s="32" t="s">
        <v>4608</v>
      </c>
      <c r="E2126" s="32" t="s">
        <v>4609</v>
      </c>
      <c r="F2126" s="32" t="s">
        <v>287</v>
      </c>
      <c r="G2126" s="33">
        <v>752</v>
      </c>
      <c r="H2126" s="34">
        <v>3.25</v>
      </c>
      <c r="I2126" s="31">
        <v>227800</v>
      </c>
      <c r="J2126" s="35" t="s">
        <v>805</v>
      </c>
      <c r="K2126" s="36">
        <v>2024</v>
      </c>
    </row>
    <row r="2127" spans="1:11" ht="15" customHeight="1" x14ac:dyDescent="0.3">
      <c r="A2127" s="37">
        <v>2122</v>
      </c>
      <c r="B2127" s="38" t="s">
        <v>272</v>
      </c>
      <c r="C2127" s="38" t="s">
        <v>4610</v>
      </c>
      <c r="D2127" s="38" t="s">
        <v>4474</v>
      </c>
      <c r="E2127" s="38" t="s">
        <v>3293</v>
      </c>
      <c r="F2127" s="38" t="s">
        <v>276</v>
      </c>
      <c r="G2127" s="39">
        <v>262</v>
      </c>
      <c r="H2127" s="40">
        <v>1.46</v>
      </c>
      <c r="I2127" s="37">
        <v>199800</v>
      </c>
      <c r="J2127" s="41" t="s">
        <v>805</v>
      </c>
      <c r="K2127" s="42">
        <v>2024</v>
      </c>
    </row>
    <row r="2128" spans="1:11" ht="15" customHeight="1" x14ac:dyDescent="0.3">
      <c r="A2128" s="31">
        <v>2123</v>
      </c>
      <c r="B2128" s="32" t="s">
        <v>272</v>
      </c>
      <c r="C2128" s="32" t="s">
        <v>4611</v>
      </c>
      <c r="D2128" s="32" t="s">
        <v>4612</v>
      </c>
      <c r="E2128" s="32" t="s">
        <v>4613</v>
      </c>
      <c r="F2128" s="32" t="s">
        <v>689</v>
      </c>
      <c r="G2128" s="33">
        <v>1383</v>
      </c>
      <c r="H2128" s="34">
        <v>3.8010000000000002</v>
      </c>
      <c r="I2128" s="31">
        <v>199800</v>
      </c>
      <c r="J2128" s="35" t="s">
        <v>805</v>
      </c>
      <c r="K2128" s="36">
        <v>2024</v>
      </c>
    </row>
    <row r="2129" spans="1:11" ht="15" customHeight="1" x14ac:dyDescent="0.3">
      <c r="A2129" s="37">
        <v>2124</v>
      </c>
      <c r="B2129" s="38" t="s">
        <v>272</v>
      </c>
      <c r="C2129" s="38" t="s">
        <v>4614</v>
      </c>
      <c r="D2129" s="38" t="s">
        <v>4615</v>
      </c>
      <c r="E2129" s="38" t="s">
        <v>4603</v>
      </c>
      <c r="F2129" s="38" t="s">
        <v>4616</v>
      </c>
      <c r="G2129" s="39">
        <v>37.04</v>
      </c>
      <c r="H2129" s="40">
        <v>0.16500000000000001</v>
      </c>
      <c r="I2129" s="37">
        <v>145800</v>
      </c>
      <c r="J2129" s="41" t="s">
        <v>805</v>
      </c>
      <c r="K2129" s="42">
        <v>2024</v>
      </c>
    </row>
    <row r="2130" spans="1:11" ht="15" customHeight="1" x14ac:dyDescent="0.3">
      <c r="A2130" s="31">
        <v>2125</v>
      </c>
      <c r="B2130" s="32" t="s">
        <v>272</v>
      </c>
      <c r="C2130" s="32" t="s">
        <v>4617</v>
      </c>
      <c r="D2130" s="32" t="s">
        <v>4618</v>
      </c>
      <c r="E2130" s="32" t="s">
        <v>63</v>
      </c>
      <c r="F2130" s="32" t="s">
        <v>689</v>
      </c>
      <c r="G2130" s="33">
        <v>5122.5</v>
      </c>
      <c r="H2130" s="34">
        <v>8.3780000000000001</v>
      </c>
      <c r="I2130" s="31">
        <v>329000</v>
      </c>
      <c r="J2130" s="35" t="s">
        <v>805</v>
      </c>
      <c r="K2130" s="36">
        <v>2024</v>
      </c>
    </row>
    <row r="2131" spans="1:11" ht="15" customHeight="1" x14ac:dyDescent="0.3">
      <c r="A2131" s="37">
        <v>2126</v>
      </c>
      <c r="B2131" s="38" t="s">
        <v>272</v>
      </c>
      <c r="C2131" s="38" t="s">
        <v>4619</v>
      </c>
      <c r="D2131" s="38" t="s">
        <v>4620</v>
      </c>
      <c r="E2131" s="38" t="s">
        <v>4205</v>
      </c>
      <c r="F2131" s="38" t="s">
        <v>312</v>
      </c>
      <c r="G2131" s="39">
        <v>312</v>
      </c>
      <c r="H2131" s="40">
        <v>2.27</v>
      </c>
      <c r="I2131" s="37">
        <v>169000</v>
      </c>
      <c r="J2131" s="41" t="s">
        <v>805</v>
      </c>
      <c r="K2131" s="42">
        <v>2024</v>
      </c>
    </row>
    <row r="2132" spans="1:11" ht="15" customHeight="1" x14ac:dyDescent="0.3">
      <c r="A2132" s="31">
        <v>2127</v>
      </c>
      <c r="B2132" s="32" t="s">
        <v>272</v>
      </c>
      <c r="C2132" s="32" t="s">
        <v>4621</v>
      </c>
      <c r="D2132" s="32" t="s">
        <v>4622</v>
      </c>
      <c r="E2132" s="32" t="s">
        <v>63</v>
      </c>
      <c r="F2132" s="32" t="s">
        <v>316</v>
      </c>
      <c r="G2132" s="33">
        <v>573.68499999999995</v>
      </c>
      <c r="H2132" s="34">
        <v>1.7470000000000001</v>
      </c>
      <c r="I2132" s="31">
        <v>169000</v>
      </c>
      <c r="J2132" s="35" t="s">
        <v>805</v>
      </c>
      <c r="K2132" s="36">
        <v>2024</v>
      </c>
    </row>
    <row r="2133" spans="1:11" ht="15" customHeight="1" x14ac:dyDescent="0.3">
      <c r="A2133" s="37">
        <v>2128</v>
      </c>
      <c r="B2133" s="38" t="s">
        <v>272</v>
      </c>
      <c r="C2133" s="38" t="s">
        <v>4623</v>
      </c>
      <c r="D2133" s="38" t="s">
        <v>4624</v>
      </c>
      <c r="E2133" s="38" t="s">
        <v>3081</v>
      </c>
      <c r="F2133" s="38" t="s">
        <v>276</v>
      </c>
      <c r="G2133" s="39">
        <v>315</v>
      </c>
      <c r="H2133" s="40">
        <v>0.74890000000000001</v>
      </c>
      <c r="I2133" s="37">
        <v>145800</v>
      </c>
      <c r="J2133" s="41" t="s">
        <v>805</v>
      </c>
      <c r="K2133" s="42">
        <v>2024</v>
      </c>
    </row>
    <row r="2134" spans="1:11" ht="15" customHeight="1" x14ac:dyDescent="0.3">
      <c r="A2134" s="31">
        <v>2129</v>
      </c>
      <c r="B2134" s="32" t="s">
        <v>272</v>
      </c>
      <c r="C2134" s="32" t="s">
        <v>4625</v>
      </c>
      <c r="D2134" s="32" t="s">
        <v>837</v>
      </c>
      <c r="E2134" s="32" t="s">
        <v>35</v>
      </c>
      <c r="F2134" s="32" t="s">
        <v>312</v>
      </c>
      <c r="G2134" s="33">
        <v>730</v>
      </c>
      <c r="H2134" s="34">
        <v>1.29</v>
      </c>
      <c r="I2134" s="31">
        <v>255800</v>
      </c>
      <c r="J2134" s="35" t="s">
        <v>805</v>
      </c>
      <c r="K2134" s="36">
        <v>2024</v>
      </c>
    </row>
    <row r="2135" spans="1:11" ht="15" customHeight="1" x14ac:dyDescent="0.3">
      <c r="A2135" s="37">
        <v>2130</v>
      </c>
      <c r="B2135" s="38" t="s">
        <v>272</v>
      </c>
      <c r="C2135" s="38" t="s">
        <v>4626</v>
      </c>
      <c r="D2135" s="38" t="s">
        <v>4627</v>
      </c>
      <c r="E2135" s="38" t="s">
        <v>1771</v>
      </c>
      <c r="F2135" s="38" t="s">
        <v>316</v>
      </c>
      <c r="G2135" s="39">
        <v>1340</v>
      </c>
      <c r="H2135" s="40">
        <v>3.069</v>
      </c>
      <c r="I2135" s="37">
        <v>199800</v>
      </c>
      <c r="J2135" s="41" t="s">
        <v>805</v>
      </c>
      <c r="K2135" s="42">
        <v>2024</v>
      </c>
    </row>
    <row r="2136" spans="1:11" ht="15" customHeight="1" x14ac:dyDescent="0.3">
      <c r="A2136" s="31">
        <v>2131</v>
      </c>
      <c r="B2136" s="32" t="s">
        <v>272</v>
      </c>
      <c r="C2136" s="32" t="s">
        <v>4628</v>
      </c>
      <c r="D2136" s="32" t="s">
        <v>4629</v>
      </c>
      <c r="E2136" s="32" t="s">
        <v>3865</v>
      </c>
      <c r="F2136" s="32" t="s">
        <v>4630</v>
      </c>
      <c r="G2136" s="33">
        <v>697</v>
      </c>
      <c r="H2136" s="34">
        <v>1.643</v>
      </c>
      <c r="I2136" s="31">
        <v>171800</v>
      </c>
      <c r="J2136" s="35" t="s">
        <v>805</v>
      </c>
      <c r="K2136" s="36">
        <v>2024</v>
      </c>
    </row>
    <row r="2137" spans="1:11" ht="15" customHeight="1" x14ac:dyDescent="0.3">
      <c r="A2137" s="37">
        <v>2132</v>
      </c>
      <c r="B2137" s="38" t="s">
        <v>4631</v>
      </c>
      <c r="C2137" s="38" t="s">
        <v>4632</v>
      </c>
      <c r="D2137" s="38" t="s">
        <v>4633</v>
      </c>
      <c r="E2137" s="38" t="s">
        <v>3468</v>
      </c>
      <c r="F2137" s="38" t="s">
        <v>312</v>
      </c>
      <c r="G2137" s="39">
        <v>4000</v>
      </c>
      <c r="H2137" s="40">
        <v>5.5679999999999996</v>
      </c>
      <c r="I2137" s="37">
        <v>283800</v>
      </c>
      <c r="J2137" s="41" t="s">
        <v>805</v>
      </c>
      <c r="K2137" s="42">
        <v>2024</v>
      </c>
    </row>
    <row r="2138" spans="1:11" ht="15" customHeight="1" x14ac:dyDescent="0.3">
      <c r="A2138" s="31">
        <v>2133</v>
      </c>
      <c r="B2138" s="32" t="s">
        <v>4631</v>
      </c>
      <c r="C2138" s="32" t="s">
        <v>4634</v>
      </c>
      <c r="D2138" s="32" t="s">
        <v>4635</v>
      </c>
      <c r="E2138" s="32" t="s">
        <v>63</v>
      </c>
      <c r="F2138" s="32" t="s">
        <v>486</v>
      </c>
      <c r="G2138" s="33">
        <v>7941.4</v>
      </c>
      <c r="H2138" s="34">
        <v>11.321999999999999</v>
      </c>
      <c r="I2138" s="31">
        <v>383000</v>
      </c>
      <c r="J2138" s="35" t="s">
        <v>805</v>
      </c>
      <c r="K2138" s="36">
        <v>2024</v>
      </c>
    </row>
    <row r="2139" spans="1:11" ht="15" customHeight="1" x14ac:dyDescent="0.3">
      <c r="A2139" s="37">
        <v>2134</v>
      </c>
      <c r="B2139" s="38" t="s">
        <v>4631</v>
      </c>
      <c r="C2139" s="38" t="s">
        <v>4636</v>
      </c>
      <c r="D2139" s="38" t="s">
        <v>4637</v>
      </c>
      <c r="E2139" s="38" t="s">
        <v>2556</v>
      </c>
      <c r="F2139" s="38" t="s">
        <v>276</v>
      </c>
      <c r="G2139" s="39">
        <v>366</v>
      </c>
      <c r="H2139" s="40">
        <v>0.78700000000000003</v>
      </c>
      <c r="I2139" s="37">
        <v>145800</v>
      </c>
      <c r="J2139" s="41" t="s">
        <v>805</v>
      </c>
      <c r="K2139" s="42">
        <v>2024</v>
      </c>
    </row>
    <row r="2140" spans="1:11" ht="15" customHeight="1" x14ac:dyDescent="0.3">
      <c r="A2140" s="31">
        <v>2135</v>
      </c>
      <c r="B2140" s="32" t="s">
        <v>4631</v>
      </c>
      <c r="C2140" s="32" t="s">
        <v>4638</v>
      </c>
      <c r="D2140" s="32" t="s">
        <v>4639</v>
      </c>
      <c r="E2140" s="32" t="s">
        <v>35</v>
      </c>
      <c r="F2140" s="32" t="s">
        <v>276</v>
      </c>
      <c r="G2140" s="33">
        <v>120</v>
      </c>
      <c r="H2140" s="34">
        <v>0.29299999999999998</v>
      </c>
      <c r="I2140" s="31">
        <v>145800</v>
      </c>
      <c r="J2140" s="35" t="s">
        <v>805</v>
      </c>
      <c r="K2140" s="36">
        <v>2024</v>
      </c>
    </row>
    <row r="2141" spans="1:11" ht="15" customHeight="1" x14ac:dyDescent="0.3">
      <c r="A2141" s="37">
        <v>2136</v>
      </c>
      <c r="B2141" s="38" t="s">
        <v>4631</v>
      </c>
      <c r="C2141" s="38" t="s">
        <v>4640</v>
      </c>
      <c r="D2141" s="38" t="s">
        <v>4641</v>
      </c>
      <c r="E2141" s="38" t="s">
        <v>41</v>
      </c>
      <c r="F2141" s="38" t="s">
        <v>693</v>
      </c>
      <c r="G2141" s="39">
        <v>560</v>
      </c>
      <c r="H2141" s="40">
        <v>1.6020000000000001</v>
      </c>
      <c r="I2141" s="37">
        <v>171800</v>
      </c>
      <c r="J2141" s="41" t="s">
        <v>805</v>
      </c>
      <c r="K2141" s="42">
        <v>2024</v>
      </c>
    </row>
    <row r="2142" spans="1:11" ht="15" customHeight="1" x14ac:dyDescent="0.3">
      <c r="A2142" s="31">
        <v>2137</v>
      </c>
      <c r="B2142" s="32" t="s">
        <v>4631</v>
      </c>
      <c r="C2142" s="32" t="s">
        <v>4642</v>
      </c>
      <c r="D2142" s="32" t="s">
        <v>2828</v>
      </c>
      <c r="E2142" s="32" t="s">
        <v>45</v>
      </c>
      <c r="F2142" s="32" t="s">
        <v>276</v>
      </c>
      <c r="G2142" s="33">
        <v>516</v>
      </c>
      <c r="H2142" s="34">
        <v>3.0150000000000001</v>
      </c>
      <c r="I2142" s="31">
        <v>197000</v>
      </c>
      <c r="J2142" s="35" t="s">
        <v>805</v>
      </c>
      <c r="K2142" s="36">
        <v>2024</v>
      </c>
    </row>
    <row r="2143" spans="1:11" ht="15" customHeight="1" x14ac:dyDescent="0.3">
      <c r="A2143" s="37">
        <v>2138</v>
      </c>
      <c r="B2143" s="38" t="s">
        <v>4631</v>
      </c>
      <c r="C2143" s="38" t="s">
        <v>4643</v>
      </c>
      <c r="D2143" s="38" t="s">
        <v>4644</v>
      </c>
      <c r="E2143" s="38" t="s">
        <v>499</v>
      </c>
      <c r="F2143" s="38" t="s">
        <v>316</v>
      </c>
      <c r="G2143" s="39">
        <v>570.44600000000003</v>
      </c>
      <c r="H2143" s="40">
        <v>2.1339999999999999</v>
      </c>
      <c r="I2143" s="37">
        <v>171800</v>
      </c>
      <c r="J2143" s="41" t="s">
        <v>805</v>
      </c>
      <c r="K2143" s="42">
        <v>2024</v>
      </c>
    </row>
    <row r="2144" spans="1:11" ht="15" customHeight="1" x14ac:dyDescent="0.3">
      <c r="A2144" s="31">
        <v>2139</v>
      </c>
      <c r="B2144" s="32" t="s">
        <v>4631</v>
      </c>
      <c r="C2144" s="32" t="s">
        <v>4645</v>
      </c>
      <c r="D2144" s="32" t="s">
        <v>4646</v>
      </c>
      <c r="E2144" s="32" t="s">
        <v>39</v>
      </c>
      <c r="F2144" s="32" t="s">
        <v>517</v>
      </c>
      <c r="G2144" s="33">
        <v>2570</v>
      </c>
      <c r="H2144" s="34">
        <v>6.92</v>
      </c>
      <c r="I2144" s="31">
        <v>311800</v>
      </c>
      <c r="J2144" s="35" t="s">
        <v>805</v>
      </c>
      <c r="K2144" s="36">
        <v>2024</v>
      </c>
    </row>
    <row r="2145" spans="1:11" ht="15" customHeight="1" x14ac:dyDescent="0.3">
      <c r="A2145" s="37">
        <v>2140</v>
      </c>
      <c r="B2145" s="38" t="s">
        <v>336</v>
      </c>
      <c r="C2145" s="38" t="s">
        <v>4647</v>
      </c>
      <c r="D2145" s="38" t="s">
        <v>2471</v>
      </c>
      <c r="E2145" s="38" t="s">
        <v>35</v>
      </c>
      <c r="F2145" s="38" t="s">
        <v>312</v>
      </c>
      <c r="G2145" s="39">
        <v>70</v>
      </c>
      <c r="H2145" s="40">
        <v>0.21</v>
      </c>
      <c r="I2145" s="37">
        <v>145800</v>
      </c>
      <c r="J2145" s="41" t="s">
        <v>920</v>
      </c>
      <c r="K2145" s="42">
        <v>2024</v>
      </c>
    </row>
    <row r="2146" spans="1:11" ht="15" customHeight="1" x14ac:dyDescent="0.3">
      <c r="A2146" s="31">
        <v>2141</v>
      </c>
      <c r="B2146" s="32" t="s">
        <v>336</v>
      </c>
      <c r="C2146" s="32" t="s">
        <v>4648</v>
      </c>
      <c r="D2146" s="32" t="s">
        <v>4649</v>
      </c>
      <c r="E2146" s="32" t="s">
        <v>35</v>
      </c>
      <c r="F2146" s="32" t="s">
        <v>4650</v>
      </c>
      <c r="G2146" s="33">
        <v>2784</v>
      </c>
      <c r="H2146" s="34">
        <v>0.76</v>
      </c>
      <c r="I2146" s="31">
        <v>311800</v>
      </c>
      <c r="J2146" s="35" t="s">
        <v>920</v>
      </c>
      <c r="K2146" s="36">
        <v>2024</v>
      </c>
    </row>
    <row r="2147" spans="1:11" ht="15" customHeight="1" x14ac:dyDescent="0.3">
      <c r="A2147" s="37">
        <v>2142</v>
      </c>
      <c r="B2147" s="38" t="s">
        <v>336</v>
      </c>
      <c r="C2147" s="38" t="s">
        <v>4651</v>
      </c>
      <c r="D2147" s="38" t="s">
        <v>4649</v>
      </c>
      <c r="E2147" s="38" t="s">
        <v>35</v>
      </c>
      <c r="F2147" s="38" t="s">
        <v>1953</v>
      </c>
      <c r="G2147" s="39">
        <v>480</v>
      </c>
      <c r="H2147" s="40">
        <v>0.41</v>
      </c>
      <c r="I2147" s="37">
        <v>227800</v>
      </c>
      <c r="J2147" s="41" t="s">
        <v>920</v>
      </c>
      <c r="K2147" s="42">
        <v>2024</v>
      </c>
    </row>
    <row r="2148" spans="1:11" ht="15" customHeight="1" x14ac:dyDescent="0.3">
      <c r="A2148" s="31">
        <v>2143</v>
      </c>
      <c r="B2148" s="32" t="s">
        <v>336</v>
      </c>
      <c r="C2148" s="32" t="s">
        <v>4652</v>
      </c>
      <c r="D2148" s="32" t="s">
        <v>4649</v>
      </c>
      <c r="E2148" s="32" t="s">
        <v>35</v>
      </c>
      <c r="F2148" s="32" t="s">
        <v>4653</v>
      </c>
      <c r="G2148" s="33">
        <v>1800</v>
      </c>
      <c r="H2148" s="34">
        <v>0.76600000000000001</v>
      </c>
      <c r="I2148" s="31">
        <v>283800</v>
      </c>
      <c r="J2148" s="35" t="s">
        <v>920</v>
      </c>
      <c r="K2148" s="36">
        <v>2024</v>
      </c>
    </row>
    <row r="2149" spans="1:11" ht="15" customHeight="1" x14ac:dyDescent="0.3">
      <c r="A2149" s="37">
        <v>2144</v>
      </c>
      <c r="B2149" s="38" t="s">
        <v>336</v>
      </c>
      <c r="C2149" s="38" t="s">
        <v>4654</v>
      </c>
      <c r="D2149" s="38" t="s">
        <v>4655</v>
      </c>
      <c r="E2149" s="38" t="s">
        <v>35</v>
      </c>
      <c r="F2149" s="38" t="s">
        <v>276</v>
      </c>
      <c r="G2149" s="39">
        <v>80</v>
      </c>
      <c r="H2149" s="40">
        <v>0.45500000000000002</v>
      </c>
      <c r="I2149" s="37">
        <v>145800</v>
      </c>
      <c r="J2149" s="41" t="s">
        <v>920</v>
      </c>
      <c r="K2149" s="42">
        <v>2024</v>
      </c>
    </row>
    <row r="2150" spans="1:11" ht="15" customHeight="1" x14ac:dyDescent="0.3">
      <c r="A2150" s="31">
        <v>2145</v>
      </c>
      <c r="B2150" s="32" t="s">
        <v>336</v>
      </c>
      <c r="C2150" s="32" t="s">
        <v>4656</v>
      </c>
      <c r="D2150" s="32" t="s">
        <v>4657</v>
      </c>
      <c r="E2150" s="32" t="s">
        <v>4658</v>
      </c>
      <c r="F2150" s="32" t="s">
        <v>276</v>
      </c>
      <c r="G2150" s="33">
        <v>690.4</v>
      </c>
      <c r="H2150" s="34">
        <v>1.0269999999999999</v>
      </c>
      <c r="I2150" s="31">
        <v>145800</v>
      </c>
      <c r="J2150" s="35" t="s">
        <v>920</v>
      </c>
      <c r="K2150" s="36">
        <v>2024</v>
      </c>
    </row>
    <row r="2151" spans="1:11" ht="15" customHeight="1" x14ac:dyDescent="0.3">
      <c r="A2151" s="37">
        <v>2146</v>
      </c>
      <c r="B2151" s="38" t="s">
        <v>336</v>
      </c>
      <c r="C2151" s="38" t="s">
        <v>4659</v>
      </c>
      <c r="D2151" s="38"/>
      <c r="E2151" s="38" t="s">
        <v>35</v>
      </c>
      <c r="F2151" s="38" t="s">
        <v>1044</v>
      </c>
      <c r="G2151" s="39">
        <v>3300</v>
      </c>
      <c r="H2151" s="40">
        <v>5.1840000000000002</v>
      </c>
      <c r="I2151" s="37">
        <v>331800</v>
      </c>
      <c r="J2151" s="41" t="s">
        <v>920</v>
      </c>
      <c r="K2151" s="42">
        <v>2024</v>
      </c>
    </row>
    <row r="2152" spans="1:11" ht="15" customHeight="1" x14ac:dyDescent="0.3">
      <c r="A2152" s="31">
        <v>2147</v>
      </c>
      <c r="B2152" s="32" t="s">
        <v>336</v>
      </c>
      <c r="C2152" s="32" t="s">
        <v>4660</v>
      </c>
      <c r="D2152" s="32" t="s">
        <v>4661</v>
      </c>
      <c r="E2152" s="32" t="s">
        <v>4662</v>
      </c>
      <c r="F2152" s="32" t="s">
        <v>316</v>
      </c>
      <c r="G2152" s="33">
        <v>1585.2</v>
      </c>
      <c r="H2152" s="34">
        <v>3.4940000000000002</v>
      </c>
      <c r="I2152" s="31">
        <v>227800</v>
      </c>
      <c r="J2152" s="35" t="s">
        <v>920</v>
      </c>
      <c r="K2152" s="36">
        <v>2024</v>
      </c>
    </row>
    <row r="2153" spans="1:11" ht="15" customHeight="1" x14ac:dyDescent="0.3">
      <c r="A2153" s="37">
        <v>2148</v>
      </c>
      <c r="B2153" s="38" t="s">
        <v>336</v>
      </c>
      <c r="C2153" s="38" t="s">
        <v>4663</v>
      </c>
      <c r="D2153" s="38" t="s">
        <v>2963</v>
      </c>
      <c r="E2153" s="38" t="s">
        <v>45</v>
      </c>
      <c r="F2153" s="38" t="s">
        <v>373</v>
      </c>
      <c r="G2153" s="39">
        <v>940</v>
      </c>
      <c r="H2153" s="40">
        <v>2.1120000000000001</v>
      </c>
      <c r="I2153" s="37">
        <v>169000</v>
      </c>
      <c r="J2153" s="41" t="s">
        <v>920</v>
      </c>
      <c r="K2153" s="42">
        <v>2024</v>
      </c>
    </row>
    <row r="2154" spans="1:11" ht="15" customHeight="1" x14ac:dyDescent="0.3">
      <c r="A2154" s="31">
        <v>2149</v>
      </c>
      <c r="B2154" s="32" t="s">
        <v>336</v>
      </c>
      <c r="C2154" s="32" t="s">
        <v>4663</v>
      </c>
      <c r="D2154" s="32" t="s">
        <v>429</v>
      </c>
      <c r="E2154" s="32" t="s">
        <v>76</v>
      </c>
      <c r="F2154" s="32" t="s">
        <v>316</v>
      </c>
      <c r="G2154" s="33">
        <v>1280</v>
      </c>
      <c r="H2154" s="34">
        <v>2.3620000000000001</v>
      </c>
      <c r="I2154" s="31">
        <v>171800</v>
      </c>
      <c r="J2154" s="35" t="s">
        <v>920</v>
      </c>
      <c r="K2154" s="36">
        <v>2024</v>
      </c>
    </row>
    <row r="2155" spans="1:11" ht="15" customHeight="1" x14ac:dyDescent="0.3">
      <c r="A2155" s="37">
        <v>2150</v>
      </c>
      <c r="B2155" s="38" t="s">
        <v>336</v>
      </c>
      <c r="C2155" s="38" t="s">
        <v>4664</v>
      </c>
      <c r="D2155" s="38" t="s">
        <v>1508</v>
      </c>
      <c r="E2155" s="38" t="s">
        <v>45</v>
      </c>
      <c r="F2155" s="38" t="s">
        <v>312</v>
      </c>
      <c r="G2155" s="39">
        <v>470</v>
      </c>
      <c r="H2155" s="40">
        <v>2.0139999999999998</v>
      </c>
      <c r="I2155" s="37">
        <v>169000</v>
      </c>
      <c r="J2155" s="41" t="s">
        <v>920</v>
      </c>
      <c r="K2155" s="42">
        <v>2024</v>
      </c>
    </row>
    <row r="2156" spans="1:11" ht="15" customHeight="1" x14ac:dyDescent="0.3">
      <c r="A2156" s="31">
        <v>2151</v>
      </c>
      <c r="B2156" s="32" t="s">
        <v>272</v>
      </c>
      <c r="C2156" s="32" t="s">
        <v>4665</v>
      </c>
      <c r="D2156" s="32" t="s">
        <v>4666</v>
      </c>
      <c r="E2156" s="32" t="s">
        <v>35</v>
      </c>
      <c r="F2156" s="32" t="s">
        <v>276</v>
      </c>
      <c r="G2156" s="33">
        <v>1154</v>
      </c>
      <c r="H2156" s="34">
        <v>1.2</v>
      </c>
      <c r="I2156" s="31">
        <v>255800</v>
      </c>
      <c r="J2156" s="35" t="s">
        <v>920</v>
      </c>
      <c r="K2156" s="36">
        <v>2024</v>
      </c>
    </row>
    <row r="2157" spans="1:11" ht="15" customHeight="1" x14ac:dyDescent="0.3">
      <c r="A2157" s="37">
        <v>2152</v>
      </c>
      <c r="B2157" s="38" t="s">
        <v>272</v>
      </c>
      <c r="C2157" s="38" t="s">
        <v>4667</v>
      </c>
      <c r="D2157" s="38" t="s">
        <v>4668</v>
      </c>
      <c r="E2157" s="38" t="s">
        <v>2889</v>
      </c>
      <c r="F2157" s="38" t="s">
        <v>4669</v>
      </c>
      <c r="G2157" s="39">
        <v>621</v>
      </c>
      <c r="H2157" s="40">
        <v>3.4289999999999998</v>
      </c>
      <c r="I2157" s="37">
        <v>255800</v>
      </c>
      <c r="J2157" s="41" t="s">
        <v>920</v>
      </c>
      <c r="K2157" s="42">
        <v>2024</v>
      </c>
    </row>
    <row r="2158" spans="1:11" ht="15" customHeight="1" x14ac:dyDescent="0.3">
      <c r="A2158" s="31">
        <v>2153</v>
      </c>
      <c r="B2158" s="32" t="s">
        <v>272</v>
      </c>
      <c r="C2158" s="32" t="s">
        <v>4670</v>
      </c>
      <c r="D2158" s="32" t="s">
        <v>322</v>
      </c>
      <c r="E2158" s="32" t="s">
        <v>4671</v>
      </c>
      <c r="F2158" s="32" t="s">
        <v>312</v>
      </c>
      <c r="G2158" s="33">
        <v>298</v>
      </c>
      <c r="H2158" s="34">
        <v>1.6160000000000001</v>
      </c>
      <c r="I2158" s="31">
        <v>171800</v>
      </c>
      <c r="J2158" s="35" t="s">
        <v>920</v>
      </c>
      <c r="K2158" s="36">
        <v>2024</v>
      </c>
    </row>
    <row r="2159" spans="1:11" ht="15" customHeight="1" x14ac:dyDescent="0.3">
      <c r="A2159" s="37">
        <v>2154</v>
      </c>
      <c r="B2159" s="38" t="s">
        <v>272</v>
      </c>
      <c r="C2159" s="38" t="s">
        <v>4672</v>
      </c>
      <c r="D2159" s="38" t="s">
        <v>4673</v>
      </c>
      <c r="E2159" s="38" t="s">
        <v>764</v>
      </c>
      <c r="F2159" s="38" t="s">
        <v>435</v>
      </c>
      <c r="G2159" s="39">
        <v>4232</v>
      </c>
      <c r="H2159" s="40">
        <v>5.52</v>
      </c>
      <c r="I2159" s="37">
        <v>281000</v>
      </c>
      <c r="J2159" s="41" t="s">
        <v>920</v>
      </c>
      <c r="K2159" s="42">
        <v>2024</v>
      </c>
    </row>
    <row r="2160" spans="1:11" ht="15" customHeight="1" x14ac:dyDescent="0.3">
      <c r="A2160" s="31">
        <v>2155</v>
      </c>
      <c r="B2160" s="32" t="s">
        <v>272</v>
      </c>
      <c r="C2160" s="32" t="s">
        <v>4674</v>
      </c>
      <c r="D2160" s="32" t="s">
        <v>4675</v>
      </c>
      <c r="E2160" s="32" t="s">
        <v>35</v>
      </c>
      <c r="F2160" s="32" t="s">
        <v>276</v>
      </c>
      <c r="G2160" s="33">
        <v>498</v>
      </c>
      <c r="H2160" s="34">
        <v>1.5740000000000001</v>
      </c>
      <c r="I2160" s="31">
        <v>227800</v>
      </c>
      <c r="J2160" s="35" t="s">
        <v>920</v>
      </c>
      <c r="K2160" s="36">
        <v>2024</v>
      </c>
    </row>
    <row r="2161" spans="1:11" ht="15" customHeight="1" x14ac:dyDescent="0.3">
      <c r="A2161" s="37">
        <v>2156</v>
      </c>
      <c r="B2161" s="38" t="s">
        <v>272</v>
      </c>
      <c r="C2161" s="38" t="s">
        <v>4676</v>
      </c>
      <c r="D2161" s="38" t="s">
        <v>4677</v>
      </c>
      <c r="E2161" s="38" t="s">
        <v>35</v>
      </c>
      <c r="F2161" s="38" t="s">
        <v>312</v>
      </c>
      <c r="G2161" s="39">
        <v>200</v>
      </c>
      <c r="H2161" s="40">
        <v>0.318</v>
      </c>
      <c r="I2161" s="37">
        <v>199800</v>
      </c>
      <c r="J2161" s="41" t="s">
        <v>920</v>
      </c>
      <c r="K2161" s="42">
        <v>2024</v>
      </c>
    </row>
    <row r="2162" spans="1:11" ht="15" customHeight="1" x14ac:dyDescent="0.3">
      <c r="A2162" s="31">
        <v>2157</v>
      </c>
      <c r="B2162" s="32" t="s">
        <v>272</v>
      </c>
      <c r="C2162" s="32" t="s">
        <v>4678</v>
      </c>
      <c r="D2162" s="32" t="s">
        <v>4679</v>
      </c>
      <c r="E2162" s="32" t="s">
        <v>4680</v>
      </c>
      <c r="F2162" s="32" t="s">
        <v>689</v>
      </c>
      <c r="G2162" s="33">
        <v>5400</v>
      </c>
      <c r="H2162" s="34">
        <v>8.5679999999999996</v>
      </c>
      <c r="I2162" s="31">
        <v>358800</v>
      </c>
      <c r="J2162" s="35" t="s">
        <v>920</v>
      </c>
      <c r="K2162" s="36">
        <v>2024</v>
      </c>
    </row>
    <row r="2163" spans="1:11" ht="15" customHeight="1" x14ac:dyDescent="0.3">
      <c r="A2163" s="37">
        <v>2158</v>
      </c>
      <c r="B2163" s="38" t="s">
        <v>272</v>
      </c>
      <c r="C2163" s="38" t="s">
        <v>4681</v>
      </c>
      <c r="D2163" s="38" t="s">
        <v>4682</v>
      </c>
      <c r="E2163" s="38" t="s">
        <v>4683</v>
      </c>
      <c r="F2163" s="38" t="s">
        <v>406</v>
      </c>
      <c r="G2163" s="39">
        <v>163</v>
      </c>
      <c r="H2163" s="40">
        <v>0.67200000000000004</v>
      </c>
      <c r="I2163" s="37">
        <v>145800</v>
      </c>
      <c r="J2163" s="41" t="s">
        <v>920</v>
      </c>
      <c r="K2163" s="42">
        <v>2024</v>
      </c>
    </row>
    <row r="2164" spans="1:11" ht="15" customHeight="1" x14ac:dyDescent="0.3">
      <c r="A2164" s="31">
        <v>2159</v>
      </c>
      <c r="B2164" s="32" t="s">
        <v>272</v>
      </c>
      <c r="C2164" s="32" t="s">
        <v>4684</v>
      </c>
      <c r="D2164" s="32" t="s">
        <v>4685</v>
      </c>
      <c r="E2164" s="32" t="s">
        <v>4686</v>
      </c>
      <c r="F2164" s="32" t="s">
        <v>316</v>
      </c>
      <c r="G2164" s="33">
        <v>30</v>
      </c>
      <c r="H2164" s="34">
        <v>1</v>
      </c>
      <c r="I2164" s="31">
        <v>145800</v>
      </c>
      <c r="J2164" s="35" t="s">
        <v>920</v>
      </c>
      <c r="K2164" s="36">
        <v>2024</v>
      </c>
    </row>
    <row r="2165" spans="1:11" ht="15" customHeight="1" x14ac:dyDescent="0.3">
      <c r="A2165" s="37">
        <v>2160</v>
      </c>
      <c r="B2165" s="38" t="s">
        <v>4631</v>
      </c>
      <c r="C2165" s="38" t="s">
        <v>4687</v>
      </c>
      <c r="D2165" s="38" t="s">
        <v>4688</v>
      </c>
      <c r="E2165" s="38" t="s">
        <v>4689</v>
      </c>
      <c r="F2165" s="38" t="s">
        <v>287</v>
      </c>
      <c r="G2165" s="39">
        <v>1582</v>
      </c>
      <c r="H2165" s="40">
        <v>2.46</v>
      </c>
      <c r="I2165" s="37">
        <v>197000</v>
      </c>
      <c r="J2165" s="41" t="s">
        <v>1006</v>
      </c>
      <c r="K2165" s="42">
        <v>2024</v>
      </c>
    </row>
    <row r="2166" spans="1:11" ht="15" customHeight="1" x14ac:dyDescent="0.3">
      <c r="A2166" s="31">
        <v>2161</v>
      </c>
      <c r="B2166" s="32" t="s">
        <v>4631</v>
      </c>
      <c r="C2166" s="32" t="s">
        <v>4690</v>
      </c>
      <c r="D2166" s="32" t="s">
        <v>4691</v>
      </c>
      <c r="E2166" s="32" t="s">
        <v>4692</v>
      </c>
      <c r="F2166" s="32" t="s">
        <v>4693</v>
      </c>
      <c r="G2166" s="33">
        <v>392.65499999999997</v>
      </c>
      <c r="H2166" s="34">
        <v>2.68</v>
      </c>
      <c r="I2166" s="31">
        <v>199800</v>
      </c>
      <c r="J2166" s="35" t="s">
        <v>1006</v>
      </c>
      <c r="K2166" s="36">
        <v>2024</v>
      </c>
    </row>
    <row r="2167" spans="1:11" ht="15" customHeight="1" x14ac:dyDescent="0.3">
      <c r="A2167" s="37">
        <v>2162</v>
      </c>
      <c r="B2167" s="38" t="s">
        <v>4631</v>
      </c>
      <c r="C2167" s="38" t="s">
        <v>4694</v>
      </c>
      <c r="D2167" s="38" t="s">
        <v>4695</v>
      </c>
      <c r="E2167" s="38" t="s">
        <v>3293</v>
      </c>
      <c r="F2167" s="38" t="s">
        <v>276</v>
      </c>
      <c r="G2167" s="39">
        <v>167.3</v>
      </c>
      <c r="H2167" s="40">
        <v>1.5529999999999999</v>
      </c>
      <c r="I2167" s="37">
        <v>199800</v>
      </c>
      <c r="J2167" s="41" t="s">
        <v>1006</v>
      </c>
      <c r="K2167" s="42">
        <v>2024</v>
      </c>
    </row>
    <row r="2168" spans="1:11" ht="15" customHeight="1" x14ac:dyDescent="0.3">
      <c r="A2168" s="31">
        <v>2163</v>
      </c>
      <c r="B2168" s="32" t="s">
        <v>4631</v>
      </c>
      <c r="C2168" s="32" t="s">
        <v>4696</v>
      </c>
      <c r="D2168" s="32" t="s">
        <v>4697</v>
      </c>
      <c r="E2168" s="32" t="s">
        <v>1833</v>
      </c>
      <c r="F2168" s="32" t="s">
        <v>316</v>
      </c>
      <c r="G2168" s="33">
        <v>1072</v>
      </c>
      <c r="H2168" s="34">
        <v>5.8029999999999999</v>
      </c>
      <c r="I2168" s="31">
        <v>283800</v>
      </c>
      <c r="J2168" s="35" t="s">
        <v>1006</v>
      </c>
      <c r="K2168" s="36">
        <v>2024</v>
      </c>
    </row>
    <row r="2169" spans="1:11" ht="15" customHeight="1" x14ac:dyDescent="0.3">
      <c r="A2169" s="37">
        <v>2164</v>
      </c>
      <c r="B2169" s="38" t="s">
        <v>4631</v>
      </c>
      <c r="C2169" s="38" t="s">
        <v>4698</v>
      </c>
      <c r="D2169" s="38" t="s">
        <v>4699</v>
      </c>
      <c r="E2169" s="38" t="s">
        <v>3293</v>
      </c>
      <c r="F2169" s="38" t="s">
        <v>316</v>
      </c>
      <c r="G2169" s="39">
        <v>1516</v>
      </c>
      <c r="H2169" s="40">
        <v>1.2</v>
      </c>
      <c r="I2169" s="37">
        <v>199800</v>
      </c>
      <c r="J2169" s="41" t="s">
        <v>1006</v>
      </c>
      <c r="K2169" s="42">
        <v>2024</v>
      </c>
    </row>
    <row r="2170" spans="1:11" ht="15" customHeight="1" x14ac:dyDescent="0.3">
      <c r="A2170" s="31">
        <v>2165</v>
      </c>
      <c r="B2170" s="32" t="s">
        <v>4631</v>
      </c>
      <c r="C2170" s="32" t="s">
        <v>4700</v>
      </c>
      <c r="D2170" s="32" t="s">
        <v>4420</v>
      </c>
      <c r="E2170" s="32" t="s">
        <v>35</v>
      </c>
      <c r="F2170" s="32" t="s">
        <v>312</v>
      </c>
      <c r="G2170" s="33">
        <v>1100</v>
      </c>
      <c r="H2170" s="34">
        <v>8.7200000000000006</v>
      </c>
      <c r="I2170" s="31">
        <v>385800</v>
      </c>
      <c r="J2170" s="35" t="s">
        <v>1006</v>
      </c>
      <c r="K2170" s="36">
        <v>2024</v>
      </c>
    </row>
    <row r="2171" spans="1:11" ht="15" customHeight="1" x14ac:dyDescent="0.3">
      <c r="A2171" s="37">
        <v>2166</v>
      </c>
      <c r="B2171" s="38" t="s">
        <v>4631</v>
      </c>
      <c r="C2171" s="38" t="s">
        <v>4701</v>
      </c>
      <c r="D2171" s="38" t="s">
        <v>4702</v>
      </c>
      <c r="E2171" s="38" t="s">
        <v>1387</v>
      </c>
      <c r="F2171" s="38" t="s">
        <v>395</v>
      </c>
      <c r="G2171" s="39">
        <v>5060</v>
      </c>
      <c r="H2171" s="40">
        <v>4.1390000000000002</v>
      </c>
      <c r="I2171" s="37">
        <v>253000</v>
      </c>
      <c r="J2171" s="41" t="s">
        <v>1006</v>
      </c>
      <c r="K2171" s="42">
        <v>2024</v>
      </c>
    </row>
    <row r="2172" spans="1:11" ht="15" customHeight="1" x14ac:dyDescent="0.3">
      <c r="A2172" s="31">
        <v>2167</v>
      </c>
      <c r="B2172" s="32" t="s">
        <v>4631</v>
      </c>
      <c r="C2172" s="32" t="s">
        <v>4703</v>
      </c>
      <c r="D2172" s="32" t="s">
        <v>1942</v>
      </c>
      <c r="E2172" s="32" t="s">
        <v>4704</v>
      </c>
      <c r="F2172" s="32" t="s">
        <v>287</v>
      </c>
      <c r="G2172" s="33">
        <v>546</v>
      </c>
      <c r="H2172" s="34">
        <v>3.6</v>
      </c>
      <c r="I2172" s="31">
        <v>227800</v>
      </c>
      <c r="J2172" s="35" t="s">
        <v>1006</v>
      </c>
      <c r="K2172" s="36">
        <v>2024</v>
      </c>
    </row>
    <row r="2173" spans="1:11" ht="15" customHeight="1" x14ac:dyDescent="0.3">
      <c r="A2173" s="37">
        <v>2168</v>
      </c>
      <c r="B2173" s="38" t="s">
        <v>4631</v>
      </c>
      <c r="C2173" s="38" t="s">
        <v>4705</v>
      </c>
      <c r="D2173" s="38" t="s">
        <v>4394</v>
      </c>
      <c r="E2173" s="38" t="s">
        <v>4395</v>
      </c>
      <c r="F2173" s="38" t="s">
        <v>276</v>
      </c>
      <c r="G2173" s="39">
        <v>440.32</v>
      </c>
      <c r="H2173" s="40">
        <v>1.8149999999999999</v>
      </c>
      <c r="I2173" s="37">
        <v>171800</v>
      </c>
      <c r="J2173" s="41" t="s">
        <v>1006</v>
      </c>
      <c r="K2173" s="42">
        <v>2024</v>
      </c>
    </row>
    <row r="2174" spans="1:11" ht="15" customHeight="1" x14ac:dyDescent="0.3">
      <c r="A2174" s="31">
        <v>2169</v>
      </c>
      <c r="B2174" s="32" t="s">
        <v>4631</v>
      </c>
      <c r="C2174" s="32" t="s">
        <v>4706</v>
      </c>
      <c r="D2174" s="32" t="s">
        <v>4646</v>
      </c>
      <c r="E2174" s="32" t="s">
        <v>39</v>
      </c>
      <c r="F2174" s="32" t="s">
        <v>517</v>
      </c>
      <c r="G2174" s="33">
        <v>7262</v>
      </c>
      <c r="H2174" s="34">
        <v>5.46</v>
      </c>
      <c r="I2174" s="31">
        <v>358800</v>
      </c>
      <c r="J2174" s="35" t="s">
        <v>1006</v>
      </c>
      <c r="K2174" s="36">
        <v>2024</v>
      </c>
    </row>
    <row r="2175" spans="1:11" ht="15" customHeight="1" x14ac:dyDescent="0.3">
      <c r="A2175" s="37">
        <v>2170</v>
      </c>
      <c r="B2175" s="38" t="s">
        <v>4631</v>
      </c>
      <c r="C2175" s="38" t="s">
        <v>4707</v>
      </c>
      <c r="D2175" s="38" t="s">
        <v>4263</v>
      </c>
      <c r="E2175" s="38" t="s">
        <v>4708</v>
      </c>
      <c r="F2175" s="38" t="s">
        <v>289</v>
      </c>
      <c r="G2175" s="39">
        <v>525</v>
      </c>
      <c r="H2175" s="40">
        <v>0.93300000000000005</v>
      </c>
      <c r="I2175" s="37">
        <v>169000</v>
      </c>
      <c r="J2175" s="41" t="s">
        <v>1006</v>
      </c>
      <c r="K2175" s="42">
        <v>2024</v>
      </c>
    </row>
    <row r="2176" spans="1:11" ht="15" customHeight="1" x14ac:dyDescent="0.3">
      <c r="A2176" s="31">
        <v>2171</v>
      </c>
      <c r="B2176" s="32" t="s">
        <v>336</v>
      </c>
      <c r="C2176" s="32" t="s">
        <v>4709</v>
      </c>
      <c r="D2176" s="32" t="s">
        <v>413</v>
      </c>
      <c r="E2176" s="32" t="s">
        <v>35</v>
      </c>
      <c r="F2176" s="32" t="s">
        <v>316</v>
      </c>
      <c r="G2176" s="33">
        <v>2.282</v>
      </c>
      <c r="H2176" s="34">
        <v>4.1100000000000003</v>
      </c>
      <c r="I2176" s="31">
        <v>358800</v>
      </c>
      <c r="J2176" s="35" t="s">
        <v>1006</v>
      </c>
      <c r="K2176" s="36">
        <v>2024</v>
      </c>
    </row>
    <row r="2177" spans="1:11" ht="15" customHeight="1" x14ac:dyDescent="0.3">
      <c r="A2177" s="37">
        <v>2172</v>
      </c>
      <c r="B2177" s="38" t="s">
        <v>336</v>
      </c>
      <c r="C2177" s="38" t="s">
        <v>4710</v>
      </c>
      <c r="D2177" s="38" t="s">
        <v>4711</v>
      </c>
      <c r="E2177" s="38" t="s">
        <v>35</v>
      </c>
      <c r="F2177" s="38" t="s">
        <v>276</v>
      </c>
      <c r="G2177" s="39">
        <v>190</v>
      </c>
      <c r="H2177" s="40">
        <v>0.53</v>
      </c>
      <c r="I2177" s="37">
        <v>199800</v>
      </c>
      <c r="J2177" s="41" t="s">
        <v>1006</v>
      </c>
      <c r="K2177" s="42">
        <v>2024</v>
      </c>
    </row>
    <row r="2178" spans="1:11" ht="15" customHeight="1" x14ac:dyDescent="0.3">
      <c r="A2178" s="31">
        <v>2173</v>
      </c>
      <c r="B2178" s="32" t="s">
        <v>336</v>
      </c>
      <c r="C2178" s="32" t="s">
        <v>4712</v>
      </c>
      <c r="D2178" s="32" t="s">
        <v>4713</v>
      </c>
      <c r="E2178" s="32" t="s">
        <v>61</v>
      </c>
      <c r="F2178" s="32" t="s">
        <v>395</v>
      </c>
      <c r="G2178" s="33">
        <v>6244</v>
      </c>
      <c r="H2178" s="34">
        <v>11.86</v>
      </c>
      <c r="I2178" s="31">
        <v>437000</v>
      </c>
      <c r="J2178" s="35" t="s">
        <v>1006</v>
      </c>
      <c r="K2178" s="36">
        <v>2024</v>
      </c>
    </row>
    <row r="2179" spans="1:11" ht="15" customHeight="1" x14ac:dyDescent="0.3">
      <c r="A2179" s="37">
        <v>2174</v>
      </c>
      <c r="B2179" s="38" t="s">
        <v>336</v>
      </c>
      <c r="C2179" s="38" t="s">
        <v>4714</v>
      </c>
      <c r="D2179" s="38" t="s">
        <v>3986</v>
      </c>
      <c r="E2179" s="38" t="s">
        <v>35</v>
      </c>
      <c r="F2179" s="38" t="s">
        <v>435</v>
      </c>
      <c r="G2179" s="39">
        <v>3568</v>
      </c>
      <c r="H2179" s="40">
        <v>2.4</v>
      </c>
      <c r="I2179" s="37">
        <v>358800</v>
      </c>
      <c r="J2179" s="41" t="s">
        <v>1006</v>
      </c>
      <c r="K2179" s="42">
        <v>2024</v>
      </c>
    </row>
    <row r="2180" spans="1:11" ht="15" customHeight="1" x14ac:dyDescent="0.3">
      <c r="A2180" s="31">
        <v>2175</v>
      </c>
      <c r="B2180" s="32" t="s">
        <v>336</v>
      </c>
      <c r="C2180" s="32" t="s">
        <v>4715</v>
      </c>
      <c r="D2180" s="32" t="s">
        <v>4414</v>
      </c>
      <c r="E2180" s="32" t="s">
        <v>35</v>
      </c>
      <c r="F2180" s="32" t="s">
        <v>435</v>
      </c>
      <c r="G2180" s="33">
        <v>1268</v>
      </c>
      <c r="H2180" s="34">
        <v>2.0699999999999998</v>
      </c>
      <c r="I2180" s="31">
        <v>283800</v>
      </c>
      <c r="J2180" s="35" t="s">
        <v>1006</v>
      </c>
      <c r="K2180" s="36">
        <v>2024</v>
      </c>
    </row>
    <row r="2181" spans="1:11" ht="15" customHeight="1" x14ac:dyDescent="0.3">
      <c r="A2181" s="37">
        <v>2176</v>
      </c>
      <c r="B2181" s="38" t="s">
        <v>336</v>
      </c>
      <c r="C2181" s="38" t="s">
        <v>4716</v>
      </c>
      <c r="D2181" s="38" t="s">
        <v>4717</v>
      </c>
      <c r="E2181" s="38" t="s">
        <v>4718</v>
      </c>
      <c r="F2181" s="38" t="s">
        <v>1247</v>
      </c>
      <c r="G2181" s="39">
        <v>704</v>
      </c>
      <c r="H2181" s="40">
        <v>2.66</v>
      </c>
      <c r="I2181" s="37">
        <v>255800</v>
      </c>
      <c r="J2181" s="41" t="s">
        <v>1006</v>
      </c>
      <c r="K2181" s="42">
        <v>2024</v>
      </c>
    </row>
    <row r="2182" spans="1:11" ht="15" customHeight="1" x14ac:dyDescent="0.3">
      <c r="A2182" s="31">
        <v>2177</v>
      </c>
      <c r="B2182" s="32" t="s">
        <v>336</v>
      </c>
      <c r="C2182" s="32" t="s">
        <v>4719</v>
      </c>
      <c r="D2182" s="32" t="s">
        <v>4720</v>
      </c>
      <c r="E2182" s="32" t="s">
        <v>1387</v>
      </c>
      <c r="F2182" s="32" t="s">
        <v>306</v>
      </c>
      <c r="G2182" s="33">
        <v>360</v>
      </c>
      <c r="H2182" s="34">
        <v>0.18</v>
      </c>
      <c r="I2182" s="31">
        <v>169000</v>
      </c>
      <c r="J2182" s="35" t="s">
        <v>1006</v>
      </c>
      <c r="K2182" s="36">
        <v>2024</v>
      </c>
    </row>
    <row r="2183" spans="1:11" ht="15" customHeight="1" x14ac:dyDescent="0.3">
      <c r="A2183" s="37">
        <v>2178</v>
      </c>
      <c r="B2183" s="38" t="s">
        <v>4482</v>
      </c>
      <c r="C2183" s="38" t="s">
        <v>4721</v>
      </c>
      <c r="D2183" s="38" t="s">
        <v>4722</v>
      </c>
      <c r="E2183" s="38" t="s">
        <v>35</v>
      </c>
      <c r="F2183" s="38" t="s">
        <v>276</v>
      </c>
      <c r="G2183" s="39">
        <v>1161</v>
      </c>
      <c r="H2183" s="40">
        <v>2.2610000000000001</v>
      </c>
      <c r="I2183" s="37">
        <v>171800</v>
      </c>
      <c r="J2183" s="41" t="s">
        <v>1006</v>
      </c>
      <c r="K2183" s="42">
        <v>2024</v>
      </c>
    </row>
    <row r="2184" spans="1:11" ht="15" customHeight="1" x14ac:dyDescent="0.3">
      <c r="A2184" s="31">
        <v>2179</v>
      </c>
      <c r="B2184" s="32" t="s">
        <v>4482</v>
      </c>
      <c r="C2184" s="32" t="s">
        <v>4723</v>
      </c>
      <c r="D2184" s="32" t="s">
        <v>4724</v>
      </c>
      <c r="E2184" s="32" t="s">
        <v>4725</v>
      </c>
      <c r="F2184" s="32" t="s">
        <v>312</v>
      </c>
      <c r="G2184" s="33">
        <v>183</v>
      </c>
      <c r="H2184" s="34">
        <v>0.76800000000000002</v>
      </c>
      <c r="I2184" s="31">
        <v>145800</v>
      </c>
      <c r="J2184" s="35" t="s">
        <v>1006</v>
      </c>
      <c r="K2184" s="36">
        <v>2024</v>
      </c>
    </row>
    <row r="2185" spans="1:11" ht="15" customHeight="1" x14ac:dyDescent="0.3">
      <c r="A2185" s="37">
        <v>2180</v>
      </c>
      <c r="B2185" s="38" t="s">
        <v>4482</v>
      </c>
      <c r="C2185" s="38" t="s">
        <v>4726</v>
      </c>
      <c r="D2185" s="38" t="s">
        <v>4727</v>
      </c>
      <c r="E2185" s="38" t="s">
        <v>4728</v>
      </c>
      <c r="F2185" s="38" t="s">
        <v>276</v>
      </c>
      <c r="G2185" s="39">
        <v>70</v>
      </c>
      <c r="H2185" s="40">
        <v>0.25</v>
      </c>
      <c r="I2185" s="37">
        <v>145800</v>
      </c>
      <c r="J2185" s="41" t="s">
        <v>1006</v>
      </c>
      <c r="K2185" s="42">
        <v>2024</v>
      </c>
    </row>
    <row r="2186" spans="1:11" ht="15" customHeight="1" x14ac:dyDescent="0.3">
      <c r="A2186" s="31">
        <v>2181</v>
      </c>
      <c r="B2186" s="32" t="s">
        <v>4482</v>
      </c>
      <c r="C2186" s="32" t="s">
        <v>4729</v>
      </c>
      <c r="D2186" s="32" t="s">
        <v>4730</v>
      </c>
      <c r="E2186" s="32" t="s">
        <v>4731</v>
      </c>
      <c r="F2186" s="32" t="s">
        <v>287</v>
      </c>
      <c r="G2186" s="33">
        <v>1890</v>
      </c>
      <c r="H2186" s="34">
        <v>4.1379999999999999</v>
      </c>
      <c r="I2186" s="31">
        <v>255800</v>
      </c>
      <c r="J2186" s="35" t="s">
        <v>1006</v>
      </c>
      <c r="K2186" s="36">
        <v>2024</v>
      </c>
    </row>
    <row r="2187" spans="1:11" ht="15" customHeight="1" x14ac:dyDescent="0.3">
      <c r="A2187" s="37">
        <v>2182</v>
      </c>
      <c r="B2187" s="38" t="s">
        <v>4482</v>
      </c>
      <c r="C2187" s="38" t="s">
        <v>4732</v>
      </c>
      <c r="D2187" s="38" t="s">
        <v>4733</v>
      </c>
      <c r="E2187" s="38" t="s">
        <v>4734</v>
      </c>
      <c r="F2187" s="38" t="s">
        <v>287</v>
      </c>
      <c r="G2187" s="39">
        <v>723</v>
      </c>
      <c r="H2187" s="40">
        <v>7.2380000000000004</v>
      </c>
      <c r="I2187" s="37">
        <v>329000</v>
      </c>
      <c r="J2187" s="41" t="s">
        <v>1006</v>
      </c>
      <c r="K2187" s="42">
        <v>2024</v>
      </c>
    </row>
    <row r="2188" spans="1:11" ht="15" customHeight="1" x14ac:dyDescent="0.3">
      <c r="A2188" s="31">
        <v>2183</v>
      </c>
      <c r="B2188" s="32" t="s">
        <v>4482</v>
      </c>
      <c r="C2188" s="32" t="s">
        <v>4735</v>
      </c>
      <c r="D2188" s="32" t="s">
        <v>4736</v>
      </c>
      <c r="E2188" s="32" t="s">
        <v>3081</v>
      </c>
      <c r="F2188" s="32" t="s">
        <v>276</v>
      </c>
      <c r="G2188" s="33">
        <v>580</v>
      </c>
      <c r="H2188" s="34">
        <v>1.1859999999999999</v>
      </c>
      <c r="I2188" s="31">
        <v>171800</v>
      </c>
      <c r="J2188" s="35" t="s">
        <v>1006</v>
      </c>
      <c r="K2188" s="36">
        <v>2024</v>
      </c>
    </row>
    <row r="2189" spans="1:11" ht="15" customHeight="1" x14ac:dyDescent="0.3">
      <c r="A2189" s="37">
        <v>2184</v>
      </c>
      <c r="B2189" s="38" t="s">
        <v>3160</v>
      </c>
      <c r="C2189" s="38" t="s">
        <v>4737</v>
      </c>
      <c r="D2189" s="38" t="s">
        <v>371</v>
      </c>
      <c r="E2189" s="38" t="s">
        <v>405</v>
      </c>
      <c r="F2189" s="38" t="s">
        <v>435</v>
      </c>
      <c r="G2189" s="39">
        <v>1008</v>
      </c>
      <c r="H2189" s="40">
        <v>1.59</v>
      </c>
      <c r="I2189" s="37">
        <v>199800</v>
      </c>
      <c r="J2189" s="41" t="s">
        <v>1006</v>
      </c>
      <c r="K2189" s="42">
        <v>2024</v>
      </c>
    </row>
    <row r="2190" spans="1:11" ht="15" customHeight="1" x14ac:dyDescent="0.3">
      <c r="A2190" s="31">
        <v>2185</v>
      </c>
      <c r="B2190" s="32" t="s">
        <v>3160</v>
      </c>
      <c r="C2190" s="32" t="s">
        <v>4738</v>
      </c>
      <c r="D2190" s="32" t="s">
        <v>4739</v>
      </c>
      <c r="E2190" s="32" t="s">
        <v>35</v>
      </c>
      <c r="F2190" s="32" t="s">
        <v>276</v>
      </c>
      <c r="G2190" s="33">
        <v>162</v>
      </c>
      <c r="H2190" s="34">
        <v>0.82599999999999996</v>
      </c>
      <c r="I2190" s="31">
        <v>171800</v>
      </c>
      <c r="J2190" s="35" t="s">
        <v>1006</v>
      </c>
      <c r="K2190" s="36">
        <v>2024</v>
      </c>
    </row>
    <row r="2191" spans="1:11" ht="15" customHeight="1" x14ac:dyDescent="0.3">
      <c r="A2191" s="37">
        <v>2186</v>
      </c>
      <c r="B2191" s="38" t="s">
        <v>3160</v>
      </c>
      <c r="C2191" s="38" t="s">
        <v>4740</v>
      </c>
      <c r="D2191" s="38" t="s">
        <v>3680</v>
      </c>
      <c r="E2191" s="38" t="s">
        <v>4741</v>
      </c>
      <c r="F2191" s="38" t="s">
        <v>4058</v>
      </c>
      <c r="G2191" s="39">
        <v>251</v>
      </c>
      <c r="H2191" s="40">
        <v>1.125</v>
      </c>
      <c r="I2191" s="37">
        <v>169000</v>
      </c>
      <c r="J2191" s="41" t="s">
        <v>1006</v>
      </c>
      <c r="K2191" s="42">
        <v>2024</v>
      </c>
    </row>
    <row r="2192" spans="1:11" ht="15" customHeight="1" x14ac:dyDescent="0.3">
      <c r="A2192" s="31">
        <v>2187</v>
      </c>
      <c r="B2192" s="32" t="s">
        <v>3160</v>
      </c>
      <c r="C2192" s="32" t="s">
        <v>4740</v>
      </c>
      <c r="D2192" s="32" t="s">
        <v>3680</v>
      </c>
      <c r="E2192" s="32" t="s">
        <v>4741</v>
      </c>
      <c r="F2192" s="32" t="s">
        <v>4058</v>
      </c>
      <c r="G2192" s="33">
        <v>127</v>
      </c>
      <c r="H2192" s="34">
        <v>0.72199999999999998</v>
      </c>
      <c r="I2192" s="31">
        <v>169000</v>
      </c>
      <c r="J2192" s="35" t="s">
        <v>1006</v>
      </c>
      <c r="K2192" s="36">
        <v>2024</v>
      </c>
    </row>
    <row r="2193" spans="1:11" ht="15" customHeight="1" x14ac:dyDescent="0.3">
      <c r="A2193" s="37">
        <v>2188</v>
      </c>
      <c r="B2193" s="38" t="s">
        <v>3160</v>
      </c>
      <c r="C2193" s="38" t="s">
        <v>4742</v>
      </c>
      <c r="D2193" s="38" t="s">
        <v>4743</v>
      </c>
      <c r="E2193" s="38" t="s">
        <v>4337</v>
      </c>
      <c r="F2193" s="38" t="s">
        <v>4744</v>
      </c>
      <c r="G2193" s="39">
        <v>617</v>
      </c>
      <c r="H2193" s="40">
        <v>7.6989999999999998</v>
      </c>
      <c r="I2193" s="37">
        <v>358800</v>
      </c>
      <c r="J2193" s="41" t="s">
        <v>1006</v>
      </c>
      <c r="K2193" s="42">
        <v>2024</v>
      </c>
    </row>
    <row r="2194" spans="1:11" ht="15" customHeight="1" x14ac:dyDescent="0.3">
      <c r="A2194" s="31">
        <v>2189</v>
      </c>
      <c r="B2194" s="32" t="s">
        <v>3160</v>
      </c>
      <c r="C2194" s="32" t="s">
        <v>4745</v>
      </c>
      <c r="D2194" s="32" t="s">
        <v>40</v>
      </c>
      <c r="E2194" s="32" t="s">
        <v>35</v>
      </c>
      <c r="F2194" s="32" t="s">
        <v>316</v>
      </c>
      <c r="G2194" s="33">
        <v>1420</v>
      </c>
      <c r="H2194" s="34">
        <v>2.496</v>
      </c>
      <c r="I2194" s="31">
        <v>255800</v>
      </c>
      <c r="J2194" s="35" t="s">
        <v>1006</v>
      </c>
      <c r="K2194" s="36">
        <v>2024</v>
      </c>
    </row>
    <row r="2195" spans="1:11" ht="15" customHeight="1" x14ac:dyDescent="0.3">
      <c r="A2195" s="37">
        <v>2190</v>
      </c>
      <c r="B2195" s="38" t="s">
        <v>3160</v>
      </c>
      <c r="C2195" s="38" t="s">
        <v>4746</v>
      </c>
      <c r="D2195" s="38" t="s">
        <v>4747</v>
      </c>
      <c r="E2195" s="38" t="s">
        <v>4748</v>
      </c>
      <c r="F2195" s="38" t="s">
        <v>402</v>
      </c>
      <c r="G2195" s="39">
        <v>3274</v>
      </c>
      <c r="H2195" s="40">
        <v>7.3920000000000003</v>
      </c>
      <c r="I2195" s="37">
        <v>309000</v>
      </c>
      <c r="J2195" s="41" t="s">
        <v>1006</v>
      </c>
      <c r="K2195" s="42">
        <v>2024</v>
      </c>
    </row>
    <row r="2196" spans="1:11" ht="15" customHeight="1" x14ac:dyDescent="0.3">
      <c r="A2196" s="31">
        <v>2191</v>
      </c>
      <c r="B2196" s="32" t="s">
        <v>3160</v>
      </c>
      <c r="C2196" s="32" t="s">
        <v>4749</v>
      </c>
      <c r="D2196" s="32" t="s">
        <v>4750</v>
      </c>
      <c r="E2196" s="32" t="s">
        <v>3895</v>
      </c>
      <c r="F2196" s="32" t="s">
        <v>287</v>
      </c>
      <c r="G2196" s="33">
        <v>488</v>
      </c>
      <c r="H2196" s="34">
        <v>2.3039999999999998</v>
      </c>
      <c r="I2196" s="31">
        <v>197000</v>
      </c>
      <c r="J2196" s="35" t="s">
        <v>1006</v>
      </c>
      <c r="K2196" s="36">
        <v>2024</v>
      </c>
    </row>
    <row r="2197" spans="1:11" ht="15" customHeight="1" x14ac:dyDescent="0.3">
      <c r="A2197" s="37">
        <v>2192</v>
      </c>
      <c r="B2197" s="38" t="s">
        <v>3160</v>
      </c>
      <c r="C2197" s="38" t="s">
        <v>4751</v>
      </c>
      <c r="D2197" s="38" t="s">
        <v>4263</v>
      </c>
      <c r="E2197" s="38" t="s">
        <v>4708</v>
      </c>
      <c r="F2197" s="38" t="s">
        <v>1560</v>
      </c>
      <c r="G2197" s="39">
        <v>5132</v>
      </c>
      <c r="H2197" s="40">
        <v>8.8650000000000002</v>
      </c>
      <c r="I2197" s="37">
        <v>383000</v>
      </c>
      <c r="J2197" s="41" t="s">
        <v>1006</v>
      </c>
      <c r="K2197" s="42">
        <v>2024</v>
      </c>
    </row>
    <row r="2198" spans="1:11" ht="15" customHeight="1" x14ac:dyDescent="0.3">
      <c r="A2198" s="31">
        <v>2193</v>
      </c>
      <c r="B2198" s="32" t="s">
        <v>3160</v>
      </c>
      <c r="C2198" s="32" t="s">
        <v>4737</v>
      </c>
      <c r="D2198" s="32" t="s">
        <v>371</v>
      </c>
      <c r="E2198" s="32" t="s">
        <v>4752</v>
      </c>
      <c r="F2198" s="32" t="s">
        <v>4343</v>
      </c>
      <c r="G2198" s="33">
        <v>1008</v>
      </c>
      <c r="H2198" s="34">
        <v>1.59</v>
      </c>
      <c r="I2198" s="31">
        <v>199800</v>
      </c>
      <c r="J2198" s="35" t="s">
        <v>1132</v>
      </c>
      <c r="K2198" s="36">
        <v>2024</v>
      </c>
    </row>
    <row r="2199" spans="1:11" ht="15" customHeight="1" x14ac:dyDescent="0.3">
      <c r="A2199" s="37">
        <v>2194</v>
      </c>
      <c r="B2199" s="38" t="s">
        <v>3160</v>
      </c>
      <c r="C2199" s="38" t="s">
        <v>4738</v>
      </c>
      <c r="D2199" s="38" t="s">
        <v>42</v>
      </c>
      <c r="E2199" s="38" t="s">
        <v>35</v>
      </c>
      <c r="F2199" s="38" t="s">
        <v>3831</v>
      </c>
      <c r="G2199" s="39">
        <v>162</v>
      </c>
      <c r="H2199" s="40">
        <v>0.82599999999999996</v>
      </c>
      <c r="I2199" s="37">
        <v>171800</v>
      </c>
      <c r="J2199" s="41" t="s">
        <v>1132</v>
      </c>
      <c r="K2199" s="42">
        <v>2024</v>
      </c>
    </row>
    <row r="2200" spans="1:11" ht="15" customHeight="1" x14ac:dyDescent="0.3">
      <c r="A2200" s="31">
        <v>2195</v>
      </c>
      <c r="B2200" s="32" t="s">
        <v>3160</v>
      </c>
      <c r="C2200" s="32" t="s">
        <v>4740</v>
      </c>
      <c r="D2200" s="32" t="s">
        <v>3680</v>
      </c>
      <c r="E2200" s="32" t="s">
        <v>4753</v>
      </c>
      <c r="F2200" s="32" t="s">
        <v>4754</v>
      </c>
      <c r="G2200" s="33">
        <v>251</v>
      </c>
      <c r="H2200" s="34">
        <v>1.125</v>
      </c>
      <c r="I2200" s="31">
        <v>169000</v>
      </c>
      <c r="J2200" s="35" t="s">
        <v>1132</v>
      </c>
      <c r="K2200" s="36">
        <v>2024</v>
      </c>
    </row>
    <row r="2201" spans="1:11" ht="15" customHeight="1" x14ac:dyDescent="0.3">
      <c r="A2201" s="37">
        <v>2196</v>
      </c>
      <c r="B2201" s="38" t="s">
        <v>3160</v>
      </c>
      <c r="C2201" s="38" t="s">
        <v>4740</v>
      </c>
      <c r="D2201" s="38" t="s">
        <v>3680</v>
      </c>
      <c r="E2201" s="38" t="s">
        <v>4753</v>
      </c>
      <c r="F2201" s="38" t="s">
        <v>4058</v>
      </c>
      <c r="G2201" s="39">
        <v>127</v>
      </c>
      <c r="H2201" s="40">
        <v>0.72199999999999998</v>
      </c>
      <c r="I2201" s="37">
        <v>169000</v>
      </c>
      <c r="J2201" s="41" t="s">
        <v>1132</v>
      </c>
      <c r="K2201" s="42">
        <v>2024</v>
      </c>
    </row>
    <row r="2202" spans="1:11" ht="15" customHeight="1" x14ac:dyDescent="0.3">
      <c r="A2202" s="31">
        <v>2197</v>
      </c>
      <c r="B2202" s="32" t="s">
        <v>3160</v>
      </c>
      <c r="C2202" s="32" t="s">
        <v>4742</v>
      </c>
      <c r="D2202" s="32" t="s">
        <v>4743</v>
      </c>
      <c r="E2202" s="32" t="s">
        <v>4337</v>
      </c>
      <c r="F2202" s="32" t="s">
        <v>1031</v>
      </c>
      <c r="G2202" s="33">
        <v>617</v>
      </c>
      <c r="H2202" s="34">
        <v>7.6989999999999998</v>
      </c>
      <c r="I2202" s="31">
        <v>358800</v>
      </c>
      <c r="J2202" s="35" t="s">
        <v>1132</v>
      </c>
      <c r="K2202" s="36">
        <v>2024</v>
      </c>
    </row>
    <row r="2203" spans="1:11" ht="15" customHeight="1" x14ac:dyDescent="0.3">
      <c r="A2203" s="37">
        <v>2198</v>
      </c>
      <c r="B2203" s="38" t="s">
        <v>3160</v>
      </c>
      <c r="C2203" s="38" t="s">
        <v>4745</v>
      </c>
      <c r="D2203" s="38" t="s">
        <v>40</v>
      </c>
      <c r="E2203" s="38" t="s">
        <v>35</v>
      </c>
      <c r="F2203" s="38" t="s">
        <v>316</v>
      </c>
      <c r="G2203" s="39">
        <v>1420</v>
      </c>
      <c r="H2203" s="40">
        <v>2.496</v>
      </c>
      <c r="I2203" s="37">
        <v>255800</v>
      </c>
      <c r="J2203" s="41" t="s">
        <v>1132</v>
      </c>
      <c r="K2203" s="42">
        <v>2024</v>
      </c>
    </row>
    <row r="2204" spans="1:11" ht="15" customHeight="1" x14ac:dyDescent="0.3">
      <c r="A2204" s="31">
        <v>2199</v>
      </c>
      <c r="B2204" s="32" t="s">
        <v>3160</v>
      </c>
      <c r="C2204" s="32" t="s">
        <v>4746</v>
      </c>
      <c r="D2204" s="32" t="s">
        <v>4755</v>
      </c>
      <c r="E2204" s="32" t="s">
        <v>4756</v>
      </c>
      <c r="F2204" s="32" t="s">
        <v>402</v>
      </c>
      <c r="G2204" s="33">
        <v>3274</v>
      </c>
      <c r="H2204" s="34">
        <v>7.92</v>
      </c>
      <c r="I2204" s="31">
        <v>309000</v>
      </c>
      <c r="J2204" s="35" t="s">
        <v>1132</v>
      </c>
      <c r="K2204" s="36">
        <v>2024</v>
      </c>
    </row>
    <row r="2205" spans="1:11" ht="15" customHeight="1" x14ac:dyDescent="0.3">
      <c r="A2205" s="37">
        <v>2200</v>
      </c>
      <c r="B2205" s="38" t="s">
        <v>3160</v>
      </c>
      <c r="C2205" s="38" t="s">
        <v>4749</v>
      </c>
      <c r="D2205" s="38" t="s">
        <v>4757</v>
      </c>
      <c r="E2205" s="38" t="s">
        <v>3895</v>
      </c>
      <c r="F2205" s="38" t="s">
        <v>4758</v>
      </c>
      <c r="G2205" s="39">
        <v>488</v>
      </c>
      <c r="H2205" s="40">
        <v>2.3039999999999998</v>
      </c>
      <c r="I2205" s="37">
        <v>197000</v>
      </c>
      <c r="J2205" s="41" t="s">
        <v>1132</v>
      </c>
      <c r="K2205" s="42">
        <v>2024</v>
      </c>
    </row>
    <row r="2206" spans="1:11" ht="15" customHeight="1" x14ac:dyDescent="0.3">
      <c r="A2206" s="31">
        <v>2201</v>
      </c>
      <c r="B2206" s="32" t="s">
        <v>3160</v>
      </c>
      <c r="C2206" s="32" t="s">
        <v>4751</v>
      </c>
      <c r="D2206" s="32" t="s">
        <v>4263</v>
      </c>
      <c r="E2206" s="32" t="s">
        <v>4708</v>
      </c>
      <c r="F2206" s="32" t="s">
        <v>1560</v>
      </c>
      <c r="G2206" s="33">
        <v>5132</v>
      </c>
      <c r="H2206" s="34">
        <v>8.8650000000000002</v>
      </c>
      <c r="I2206" s="31">
        <v>383000</v>
      </c>
      <c r="J2206" s="35" t="s">
        <v>1132</v>
      </c>
      <c r="K2206" s="36">
        <v>2024</v>
      </c>
    </row>
    <row r="2207" spans="1:11" ht="15" customHeight="1" x14ac:dyDescent="0.3">
      <c r="A2207" s="37">
        <v>2202</v>
      </c>
      <c r="B2207" s="38" t="s">
        <v>1059</v>
      </c>
      <c r="C2207" s="38" t="s">
        <v>4759</v>
      </c>
      <c r="D2207" s="38" t="s">
        <v>4760</v>
      </c>
      <c r="E2207" s="38" t="s">
        <v>4442</v>
      </c>
      <c r="F2207" s="38" t="s">
        <v>4761</v>
      </c>
      <c r="G2207" s="39">
        <v>161</v>
      </c>
      <c r="H2207" s="40">
        <v>0.27</v>
      </c>
      <c r="I2207" s="37">
        <v>145800</v>
      </c>
      <c r="J2207" s="41" t="s">
        <v>1132</v>
      </c>
      <c r="K2207" s="42">
        <v>2024</v>
      </c>
    </row>
    <row r="2208" spans="1:11" ht="15" customHeight="1" x14ac:dyDescent="0.3">
      <c r="A2208" s="31">
        <v>2203</v>
      </c>
      <c r="B2208" s="32" t="s">
        <v>1059</v>
      </c>
      <c r="C2208" s="32" t="s">
        <v>4762</v>
      </c>
      <c r="D2208" s="32" t="s">
        <v>4423</v>
      </c>
      <c r="E2208" s="32" t="s">
        <v>39</v>
      </c>
      <c r="F2208" s="32" t="s">
        <v>316</v>
      </c>
      <c r="G2208" s="33">
        <v>748</v>
      </c>
      <c r="H2208" s="34">
        <v>0.68200000000000005</v>
      </c>
      <c r="I2208" s="31">
        <v>255800</v>
      </c>
      <c r="J2208" s="35" t="s">
        <v>1132</v>
      </c>
      <c r="K2208" s="36">
        <v>2024</v>
      </c>
    </row>
    <row r="2209" spans="1:11" ht="15" customHeight="1" x14ac:dyDescent="0.3">
      <c r="A2209" s="37">
        <v>2204</v>
      </c>
      <c r="B2209" s="38" t="s">
        <v>1059</v>
      </c>
      <c r="C2209" s="38" t="s">
        <v>4763</v>
      </c>
      <c r="D2209" s="38" t="s">
        <v>4764</v>
      </c>
      <c r="E2209" s="38" t="s">
        <v>4765</v>
      </c>
      <c r="F2209" s="38" t="s">
        <v>3831</v>
      </c>
      <c r="G2209" s="39">
        <v>166</v>
      </c>
      <c r="H2209" s="40">
        <v>1</v>
      </c>
      <c r="I2209" s="37">
        <v>171800</v>
      </c>
      <c r="J2209" s="41" t="s">
        <v>1132</v>
      </c>
      <c r="K2209" s="42">
        <v>2024</v>
      </c>
    </row>
    <row r="2210" spans="1:11" ht="15" customHeight="1" x14ac:dyDescent="0.3">
      <c r="A2210" s="31">
        <v>2205</v>
      </c>
      <c r="B2210" s="32" t="s">
        <v>1059</v>
      </c>
      <c r="C2210" s="32" t="s">
        <v>4766</v>
      </c>
      <c r="D2210" s="32" t="s">
        <v>4767</v>
      </c>
      <c r="E2210" s="32" t="s">
        <v>964</v>
      </c>
      <c r="F2210" s="32" t="s">
        <v>3831</v>
      </c>
      <c r="G2210" s="33">
        <v>648</v>
      </c>
      <c r="H2210" s="34">
        <v>1.333</v>
      </c>
      <c r="I2210" s="31">
        <v>255800</v>
      </c>
      <c r="J2210" s="35" t="s">
        <v>1132</v>
      </c>
      <c r="K2210" s="36">
        <v>2024</v>
      </c>
    </row>
    <row r="2211" spans="1:11" ht="15" customHeight="1" x14ac:dyDescent="0.3">
      <c r="A2211" s="37">
        <v>2206</v>
      </c>
      <c r="B2211" s="38" t="s">
        <v>1059</v>
      </c>
      <c r="C2211" s="38" t="s">
        <v>4768</v>
      </c>
      <c r="D2211" s="38" t="s">
        <v>4282</v>
      </c>
      <c r="E2211" s="38" t="s">
        <v>41</v>
      </c>
      <c r="F2211" s="38" t="s">
        <v>3831</v>
      </c>
      <c r="G2211" s="39">
        <v>45</v>
      </c>
      <c r="H2211" s="40">
        <v>0.46100000000000002</v>
      </c>
      <c r="I2211" s="37">
        <v>145800</v>
      </c>
      <c r="J2211" s="41" t="s">
        <v>1132</v>
      </c>
      <c r="K2211" s="42">
        <v>2024</v>
      </c>
    </row>
    <row r="2212" spans="1:11" ht="15" customHeight="1" x14ac:dyDescent="0.3">
      <c r="A2212" s="31">
        <v>2207</v>
      </c>
      <c r="B2212" s="32" t="s">
        <v>1059</v>
      </c>
      <c r="C2212" s="32" t="s">
        <v>4769</v>
      </c>
      <c r="D2212" s="32" t="s">
        <v>4770</v>
      </c>
      <c r="E2212" s="32" t="s">
        <v>4771</v>
      </c>
      <c r="F2212" s="32" t="s">
        <v>316</v>
      </c>
      <c r="G2212" s="33">
        <v>2220</v>
      </c>
      <c r="H2212" s="34">
        <v>4.0919999999999996</v>
      </c>
      <c r="I2212" s="31">
        <v>227800</v>
      </c>
      <c r="J2212" s="35" t="s">
        <v>1132</v>
      </c>
      <c r="K2212" s="36">
        <v>2024</v>
      </c>
    </row>
    <row r="2213" spans="1:11" ht="15" customHeight="1" x14ac:dyDescent="0.3">
      <c r="A2213" s="37">
        <v>2208</v>
      </c>
      <c r="B2213" s="38" t="s">
        <v>1059</v>
      </c>
      <c r="C2213" s="38" t="s">
        <v>4772</v>
      </c>
      <c r="D2213" s="38" t="s">
        <v>4773</v>
      </c>
      <c r="E2213" s="38" t="s">
        <v>61</v>
      </c>
      <c r="F2213" s="38" t="s">
        <v>4758</v>
      </c>
      <c r="G2213" s="39">
        <v>2623</v>
      </c>
      <c r="H2213" s="40">
        <v>4.4450000000000003</v>
      </c>
      <c r="I2213" s="37">
        <v>253000</v>
      </c>
      <c r="J2213" s="41" t="s">
        <v>1132</v>
      </c>
      <c r="K2213" s="42">
        <v>2024</v>
      </c>
    </row>
    <row r="2214" spans="1:11" ht="15" customHeight="1" x14ac:dyDescent="0.3">
      <c r="A2214" s="31">
        <v>2209</v>
      </c>
      <c r="B2214" s="32" t="s">
        <v>1059</v>
      </c>
      <c r="C2214" s="32" t="s">
        <v>4774</v>
      </c>
      <c r="D2214" s="32" t="s">
        <v>4775</v>
      </c>
      <c r="E2214" s="32" t="s">
        <v>39</v>
      </c>
      <c r="F2214" s="32" t="s">
        <v>4776</v>
      </c>
      <c r="G2214" s="33">
        <v>4241</v>
      </c>
      <c r="H2214" s="34">
        <v>3.41</v>
      </c>
      <c r="I2214" s="31">
        <v>283800</v>
      </c>
      <c r="J2214" s="35" t="s">
        <v>1132</v>
      </c>
      <c r="K2214" s="36">
        <v>2024</v>
      </c>
    </row>
    <row r="2215" spans="1:11" ht="15" customHeight="1" x14ac:dyDescent="0.3">
      <c r="A2215" s="37">
        <v>2210</v>
      </c>
      <c r="B2215" s="38" t="s">
        <v>1059</v>
      </c>
      <c r="C2215" s="38" t="s">
        <v>4777</v>
      </c>
      <c r="D2215" s="38" t="s">
        <v>4579</v>
      </c>
      <c r="E2215" s="38" t="s">
        <v>4778</v>
      </c>
      <c r="F2215" s="38" t="s">
        <v>312</v>
      </c>
      <c r="G2215" s="39">
        <v>170</v>
      </c>
      <c r="H2215" s="40">
        <v>0.46</v>
      </c>
      <c r="I2215" s="37">
        <v>197000</v>
      </c>
      <c r="J2215" s="41" t="s">
        <v>1132</v>
      </c>
      <c r="K2215" s="42">
        <v>2024</v>
      </c>
    </row>
    <row r="2216" spans="1:11" ht="15" customHeight="1" x14ac:dyDescent="0.3">
      <c r="A2216" s="31">
        <v>2211</v>
      </c>
      <c r="B2216" s="32" t="s">
        <v>1059</v>
      </c>
      <c r="C2216" s="32" t="s">
        <v>4779</v>
      </c>
      <c r="D2216" s="32" t="s">
        <v>4780</v>
      </c>
      <c r="E2216" s="32" t="s">
        <v>35</v>
      </c>
      <c r="F2216" s="32" t="s">
        <v>312</v>
      </c>
      <c r="G2216" s="33">
        <v>406</v>
      </c>
      <c r="H2216" s="34">
        <v>0.94199999999999995</v>
      </c>
      <c r="I2216" s="31">
        <v>227800</v>
      </c>
      <c r="J2216" s="35" t="s">
        <v>1132</v>
      </c>
      <c r="K2216" s="36">
        <v>2024</v>
      </c>
    </row>
    <row r="2217" spans="1:11" ht="15" customHeight="1" x14ac:dyDescent="0.3">
      <c r="A2217" s="37">
        <v>2212</v>
      </c>
      <c r="B2217" s="38" t="s">
        <v>1059</v>
      </c>
      <c r="C2217" s="38" t="s">
        <v>4781</v>
      </c>
      <c r="D2217" s="38" t="s">
        <v>4780</v>
      </c>
      <c r="E2217" s="38" t="s">
        <v>35</v>
      </c>
      <c r="F2217" s="38" t="s">
        <v>312</v>
      </c>
      <c r="G2217" s="39">
        <v>208</v>
      </c>
      <c r="H2217" s="40">
        <v>0.312</v>
      </c>
      <c r="I2217" s="37">
        <v>199800</v>
      </c>
      <c r="J2217" s="41" t="s">
        <v>1132</v>
      </c>
      <c r="K2217" s="42">
        <v>2024</v>
      </c>
    </row>
    <row r="2218" spans="1:11" ht="15" customHeight="1" x14ac:dyDescent="0.3">
      <c r="A2218" s="31">
        <v>2213</v>
      </c>
      <c r="B2218" s="32" t="s">
        <v>1059</v>
      </c>
      <c r="C2218" s="32" t="s">
        <v>4782</v>
      </c>
      <c r="D2218" s="32" t="s">
        <v>4783</v>
      </c>
      <c r="E2218" s="32" t="s">
        <v>35</v>
      </c>
      <c r="F2218" s="32" t="s">
        <v>316</v>
      </c>
      <c r="G2218" s="33">
        <v>190</v>
      </c>
      <c r="H2218" s="34">
        <v>1.1200000000000001</v>
      </c>
      <c r="I2218" s="31">
        <v>199800</v>
      </c>
      <c r="J2218" s="35" t="s">
        <v>1132</v>
      </c>
      <c r="K2218" s="36">
        <v>2024</v>
      </c>
    </row>
    <row r="2219" spans="1:11" ht="15" customHeight="1" x14ac:dyDescent="0.3">
      <c r="A2219" s="37">
        <v>2214</v>
      </c>
      <c r="B2219" s="38" t="s">
        <v>1059</v>
      </c>
      <c r="C2219" s="38" t="s">
        <v>4784</v>
      </c>
      <c r="D2219" s="38" t="s">
        <v>4785</v>
      </c>
      <c r="E2219" s="38" t="s">
        <v>4786</v>
      </c>
      <c r="F2219" s="38" t="s">
        <v>4758</v>
      </c>
      <c r="G2219" s="39">
        <v>1300</v>
      </c>
      <c r="H2219" s="40">
        <v>3.2160000000000002</v>
      </c>
      <c r="I2219" s="37">
        <v>199800</v>
      </c>
      <c r="J2219" s="41" t="s">
        <v>1132</v>
      </c>
      <c r="K2219" s="42">
        <v>2024</v>
      </c>
    </row>
    <row r="2220" spans="1:11" ht="15" customHeight="1" x14ac:dyDescent="0.3">
      <c r="A2220" s="31">
        <v>2215</v>
      </c>
      <c r="B2220" s="32" t="s">
        <v>1059</v>
      </c>
      <c r="C2220" s="32" t="s">
        <v>4787</v>
      </c>
      <c r="D2220" s="32" t="s">
        <v>4788</v>
      </c>
      <c r="E2220" s="32" t="s">
        <v>41</v>
      </c>
      <c r="F2220" s="32" t="s">
        <v>316</v>
      </c>
      <c r="G2220" s="33">
        <v>2320</v>
      </c>
      <c r="H2220" s="34">
        <v>2.8319999999999999</v>
      </c>
      <c r="I2220" s="31">
        <v>199800</v>
      </c>
      <c r="J2220" s="35" t="s">
        <v>1132</v>
      </c>
      <c r="K2220" s="36">
        <v>2024</v>
      </c>
    </row>
    <row r="2221" spans="1:11" ht="15" customHeight="1" x14ac:dyDescent="0.3">
      <c r="A2221" s="37">
        <v>2216</v>
      </c>
      <c r="B2221" s="38" t="s">
        <v>1059</v>
      </c>
      <c r="C2221" s="38" t="s">
        <v>4789</v>
      </c>
      <c r="D2221" s="38" t="s">
        <v>505</v>
      </c>
      <c r="E2221" s="38" t="s">
        <v>37</v>
      </c>
      <c r="F2221" s="38" t="s">
        <v>1031</v>
      </c>
      <c r="G2221" s="39">
        <v>1860</v>
      </c>
      <c r="H2221" s="40">
        <v>2.323</v>
      </c>
      <c r="I2221" s="37">
        <v>199800</v>
      </c>
      <c r="J2221" s="41" t="s">
        <v>1132</v>
      </c>
      <c r="K2221" s="42">
        <v>2024</v>
      </c>
    </row>
    <row r="2222" spans="1:11" ht="15" customHeight="1" x14ac:dyDescent="0.3">
      <c r="A2222" s="31">
        <v>2217</v>
      </c>
      <c r="B2222" s="32" t="s">
        <v>1059</v>
      </c>
      <c r="C2222" s="32" t="s">
        <v>4790</v>
      </c>
      <c r="D2222" s="32" t="s">
        <v>4791</v>
      </c>
      <c r="E2222" s="32" t="s">
        <v>4792</v>
      </c>
      <c r="F2222" s="32" t="s">
        <v>4343</v>
      </c>
      <c r="G2222" s="33">
        <v>2466</v>
      </c>
      <c r="H2222" s="34">
        <v>10.294</v>
      </c>
      <c r="I2222" s="31">
        <v>385800</v>
      </c>
      <c r="J2222" s="35" t="s">
        <v>1132</v>
      </c>
      <c r="K2222" s="36">
        <v>2024</v>
      </c>
    </row>
    <row r="2223" spans="1:11" ht="15" customHeight="1" x14ac:dyDescent="0.3">
      <c r="A2223" s="37">
        <v>2218</v>
      </c>
      <c r="B2223" s="38" t="s">
        <v>1059</v>
      </c>
      <c r="C2223" s="38" t="s">
        <v>4793</v>
      </c>
      <c r="D2223" s="38" t="s">
        <v>4794</v>
      </c>
      <c r="E2223" s="38" t="s">
        <v>45</v>
      </c>
      <c r="F2223" s="38" t="s">
        <v>4058</v>
      </c>
      <c r="G2223" s="39">
        <v>640</v>
      </c>
      <c r="H2223" s="40">
        <v>6.8310000000000004</v>
      </c>
      <c r="I2223" s="37">
        <v>309000</v>
      </c>
      <c r="J2223" s="41" t="s">
        <v>1132</v>
      </c>
      <c r="K2223" s="42">
        <v>2024</v>
      </c>
    </row>
    <row r="2224" spans="1:11" ht="15" customHeight="1" x14ac:dyDescent="0.3">
      <c r="A2224" s="31">
        <v>2219</v>
      </c>
      <c r="B2224" s="32" t="s">
        <v>1059</v>
      </c>
      <c r="C2224" s="32" t="s">
        <v>4795</v>
      </c>
      <c r="D2224" s="32" t="s">
        <v>2963</v>
      </c>
      <c r="E2224" s="32" t="s">
        <v>45</v>
      </c>
      <c r="F2224" s="32" t="s">
        <v>3831</v>
      </c>
      <c r="G2224" s="33">
        <v>520</v>
      </c>
      <c r="H2224" s="34">
        <v>0.72599999999999998</v>
      </c>
      <c r="I2224" s="31">
        <v>169000</v>
      </c>
      <c r="J2224" s="35" t="s">
        <v>1132</v>
      </c>
      <c r="K2224" s="36">
        <v>2024</v>
      </c>
    </row>
    <row r="2225" spans="1:11" ht="15" customHeight="1" x14ac:dyDescent="0.3">
      <c r="A2225" s="37">
        <v>2220</v>
      </c>
      <c r="B2225" s="38" t="s">
        <v>1059</v>
      </c>
      <c r="C2225" s="38" t="s">
        <v>4796</v>
      </c>
      <c r="D2225" s="38" t="s">
        <v>4797</v>
      </c>
      <c r="E2225" s="38" t="s">
        <v>4798</v>
      </c>
      <c r="F2225" s="38" t="s">
        <v>316</v>
      </c>
      <c r="G2225" s="39">
        <v>320</v>
      </c>
      <c r="H2225" s="40">
        <v>2.64</v>
      </c>
      <c r="I2225" s="37">
        <v>199800</v>
      </c>
      <c r="J2225" s="41" t="s">
        <v>1132</v>
      </c>
      <c r="K2225" s="42">
        <v>2024</v>
      </c>
    </row>
    <row r="2226" spans="1:11" ht="15" customHeight="1" x14ac:dyDescent="0.3">
      <c r="A2226" s="31">
        <v>2221</v>
      </c>
      <c r="B2226" s="32" t="s">
        <v>1059</v>
      </c>
      <c r="C2226" s="32" t="s">
        <v>4799</v>
      </c>
      <c r="D2226" s="32" t="s">
        <v>4800</v>
      </c>
      <c r="E2226" s="32" t="s">
        <v>4801</v>
      </c>
      <c r="F2226" s="32" t="s">
        <v>316</v>
      </c>
      <c r="G2226" s="33">
        <v>1770</v>
      </c>
      <c r="H2226" s="34">
        <v>4.5599999999999996</v>
      </c>
      <c r="I2226" s="31">
        <v>283800</v>
      </c>
      <c r="J2226" s="35" t="s">
        <v>1132</v>
      </c>
      <c r="K2226" s="36">
        <v>2024</v>
      </c>
    </row>
    <row r="2227" spans="1:11" ht="15" customHeight="1" x14ac:dyDescent="0.3">
      <c r="A2227" s="37">
        <v>2222</v>
      </c>
      <c r="B2227" s="38" t="s">
        <v>4482</v>
      </c>
      <c r="C2227" s="38" t="s">
        <v>4802</v>
      </c>
      <c r="D2227" s="38" t="s">
        <v>3971</v>
      </c>
      <c r="E2227" s="38" t="s">
        <v>61</v>
      </c>
      <c r="F2227" s="38" t="s">
        <v>3099</v>
      </c>
      <c r="G2227" s="39">
        <v>852</v>
      </c>
      <c r="H2227" s="40">
        <v>3.6</v>
      </c>
      <c r="I2227" s="37">
        <v>253000</v>
      </c>
      <c r="J2227" s="41" t="s">
        <v>1132</v>
      </c>
      <c r="K2227" s="42">
        <v>2024</v>
      </c>
    </row>
    <row r="2228" spans="1:11" ht="15" customHeight="1" x14ac:dyDescent="0.3">
      <c r="A2228" s="31">
        <v>2223</v>
      </c>
      <c r="B2228" s="32" t="s">
        <v>4482</v>
      </c>
      <c r="C2228" s="32" t="s">
        <v>4803</v>
      </c>
      <c r="D2228" s="32" t="s">
        <v>4804</v>
      </c>
      <c r="E2228" s="32" t="s">
        <v>35</v>
      </c>
      <c r="F2228" s="32" t="s">
        <v>3942</v>
      </c>
      <c r="G2228" s="33">
        <v>6070</v>
      </c>
      <c r="H2228" s="34">
        <v>11.327999999999999</v>
      </c>
      <c r="I2228" s="31">
        <v>412800</v>
      </c>
      <c r="J2228" s="35" t="s">
        <v>1132</v>
      </c>
      <c r="K2228" s="36">
        <v>2024</v>
      </c>
    </row>
    <row r="2229" spans="1:11" ht="15" customHeight="1" x14ac:dyDescent="0.3">
      <c r="A2229" s="37">
        <v>2224</v>
      </c>
      <c r="B2229" s="38" t="s">
        <v>4482</v>
      </c>
      <c r="C2229" s="38" t="s">
        <v>4805</v>
      </c>
      <c r="D2229" s="38" t="s">
        <v>42</v>
      </c>
      <c r="E2229" s="38" t="s">
        <v>35</v>
      </c>
      <c r="F2229" s="38" t="s">
        <v>3831</v>
      </c>
      <c r="G2229" s="39">
        <v>26</v>
      </c>
      <c r="H2229" s="40">
        <v>0.48699999999999999</v>
      </c>
      <c r="I2229" s="37">
        <v>145800</v>
      </c>
      <c r="J2229" s="41" t="s">
        <v>1132</v>
      </c>
      <c r="K2229" s="42">
        <v>2024</v>
      </c>
    </row>
    <row r="2230" spans="1:11" ht="15" customHeight="1" x14ac:dyDescent="0.3">
      <c r="A2230" s="31">
        <v>2225</v>
      </c>
      <c r="B2230" s="32" t="s">
        <v>4482</v>
      </c>
      <c r="C2230" s="32" t="s">
        <v>4806</v>
      </c>
      <c r="D2230" s="32" t="s">
        <v>1873</v>
      </c>
      <c r="E2230" s="32" t="s">
        <v>35</v>
      </c>
      <c r="F2230" s="32" t="s">
        <v>4807</v>
      </c>
      <c r="G2230" s="33">
        <v>227</v>
      </c>
      <c r="H2230" s="34">
        <v>0.31900000000000001</v>
      </c>
      <c r="I2230" s="31">
        <v>199800</v>
      </c>
      <c r="J2230" s="35" t="s">
        <v>1132</v>
      </c>
      <c r="K2230" s="36">
        <v>2024</v>
      </c>
    </row>
    <row r="2231" spans="1:11" ht="15" customHeight="1" x14ac:dyDescent="0.3">
      <c r="A2231" s="37">
        <v>2226</v>
      </c>
      <c r="B2231" s="38" t="s">
        <v>4482</v>
      </c>
      <c r="C2231" s="38" t="s">
        <v>4808</v>
      </c>
      <c r="D2231" s="38" t="s">
        <v>52</v>
      </c>
      <c r="E2231" s="38" t="s">
        <v>4809</v>
      </c>
      <c r="F2231" s="38" t="s">
        <v>316</v>
      </c>
      <c r="G2231" s="39">
        <v>6200</v>
      </c>
      <c r="H2231" s="40">
        <v>4.0979999999999999</v>
      </c>
      <c r="I2231" s="37">
        <v>309000</v>
      </c>
      <c r="J2231" s="41" t="s">
        <v>1132</v>
      </c>
      <c r="K2231" s="42">
        <v>2024</v>
      </c>
    </row>
    <row r="2232" spans="1:11" ht="15" customHeight="1" x14ac:dyDescent="0.3">
      <c r="A2232" s="31">
        <v>2227</v>
      </c>
      <c r="B2232" s="32" t="s">
        <v>4482</v>
      </c>
      <c r="C2232" s="32" t="s">
        <v>4810</v>
      </c>
      <c r="D2232" s="32" t="s">
        <v>4811</v>
      </c>
      <c r="E2232" s="32" t="s">
        <v>3732</v>
      </c>
      <c r="F2232" s="32" t="s">
        <v>4758</v>
      </c>
      <c r="G2232" s="33">
        <v>1887.03</v>
      </c>
      <c r="H2232" s="34">
        <v>4.13</v>
      </c>
      <c r="I2232" s="31">
        <v>255800</v>
      </c>
      <c r="J2232" s="35" t="s">
        <v>1132</v>
      </c>
      <c r="K2232" s="36">
        <v>2024</v>
      </c>
    </row>
    <row r="2233" spans="1:11" ht="15" customHeight="1" x14ac:dyDescent="0.3">
      <c r="A2233" s="37">
        <v>2228</v>
      </c>
      <c r="B2233" s="38" t="s">
        <v>4482</v>
      </c>
      <c r="C2233" s="38" t="s">
        <v>4812</v>
      </c>
      <c r="D2233" s="38" t="s">
        <v>4813</v>
      </c>
      <c r="E2233" s="38" t="s">
        <v>35</v>
      </c>
      <c r="F2233" s="38" t="s">
        <v>316</v>
      </c>
      <c r="G2233" s="39">
        <v>2257.19</v>
      </c>
      <c r="H2233" s="40">
        <v>3.83</v>
      </c>
      <c r="I2233" s="37">
        <v>331800</v>
      </c>
      <c r="J2233" s="41" t="s">
        <v>1132</v>
      </c>
      <c r="K2233" s="42">
        <v>2024</v>
      </c>
    </row>
    <row r="2234" spans="1:11" ht="15" customHeight="1" x14ac:dyDescent="0.3">
      <c r="A2234" s="31">
        <v>2229</v>
      </c>
      <c r="B2234" s="32" t="s">
        <v>4482</v>
      </c>
      <c r="C2234" s="32" t="s">
        <v>4814</v>
      </c>
      <c r="D2234" s="32" t="s">
        <v>4282</v>
      </c>
      <c r="E2234" s="32" t="s">
        <v>4147</v>
      </c>
      <c r="F2234" s="32" t="s">
        <v>3831</v>
      </c>
      <c r="G2234" s="33">
        <v>105</v>
      </c>
      <c r="H2234" s="34">
        <v>0.73</v>
      </c>
      <c r="I2234" s="31">
        <v>171800</v>
      </c>
      <c r="J2234" s="35" t="s">
        <v>1132</v>
      </c>
      <c r="K2234" s="36">
        <v>2024</v>
      </c>
    </row>
    <row r="2235" spans="1:11" ht="15" customHeight="1" x14ac:dyDescent="0.3">
      <c r="A2235" s="37">
        <v>2230</v>
      </c>
      <c r="B2235" s="38" t="s">
        <v>4482</v>
      </c>
      <c r="C2235" s="38" t="s">
        <v>4815</v>
      </c>
      <c r="D2235" s="38" t="s">
        <v>3738</v>
      </c>
      <c r="E2235" s="38" t="s">
        <v>4816</v>
      </c>
      <c r="F2235" s="38" t="s">
        <v>3831</v>
      </c>
      <c r="G2235" s="39">
        <v>70</v>
      </c>
      <c r="H2235" s="40">
        <v>0.35</v>
      </c>
      <c r="I2235" s="37">
        <v>145800</v>
      </c>
      <c r="J2235" s="41" t="s">
        <v>1132</v>
      </c>
      <c r="K2235" s="42">
        <v>2024</v>
      </c>
    </row>
    <row r="2236" spans="1:11" ht="15" customHeight="1" x14ac:dyDescent="0.3">
      <c r="A2236" s="31">
        <v>2231</v>
      </c>
      <c r="B2236" s="32" t="s">
        <v>4482</v>
      </c>
      <c r="C2236" s="32" t="s">
        <v>4817</v>
      </c>
      <c r="D2236" s="32" t="s">
        <v>4818</v>
      </c>
      <c r="E2236" s="32" t="s">
        <v>3886</v>
      </c>
      <c r="F2236" s="32" t="s">
        <v>4343</v>
      </c>
      <c r="G2236" s="33">
        <v>4667</v>
      </c>
      <c r="H2236" s="34">
        <v>4.1079999999999997</v>
      </c>
      <c r="I2236" s="31">
        <v>253000</v>
      </c>
      <c r="J2236" s="35" t="s">
        <v>1132</v>
      </c>
      <c r="K2236" s="36">
        <v>2024</v>
      </c>
    </row>
    <row r="2237" spans="1:11" ht="15" customHeight="1" x14ac:dyDescent="0.3">
      <c r="A2237" s="37">
        <v>2232</v>
      </c>
      <c r="B2237" s="38" t="s">
        <v>4482</v>
      </c>
      <c r="C2237" s="38" t="s">
        <v>4819</v>
      </c>
      <c r="D2237" s="38" t="s">
        <v>3973</v>
      </c>
      <c r="E2237" s="38" t="s">
        <v>4820</v>
      </c>
      <c r="F2237" s="38" t="s">
        <v>3831</v>
      </c>
      <c r="G2237" s="39">
        <v>64</v>
      </c>
      <c r="H2237" s="40">
        <v>0.36</v>
      </c>
      <c r="I2237" s="37">
        <v>145000</v>
      </c>
      <c r="J2237" s="41" t="s">
        <v>1132</v>
      </c>
      <c r="K2237" s="42">
        <v>2024</v>
      </c>
    </row>
    <row r="2238" spans="1:11" ht="15" customHeight="1" x14ac:dyDescent="0.3">
      <c r="A2238" s="31">
        <v>2233</v>
      </c>
      <c r="B2238" s="32" t="s">
        <v>4482</v>
      </c>
      <c r="C2238" s="32" t="s">
        <v>4821</v>
      </c>
      <c r="D2238" s="32" t="s">
        <v>4822</v>
      </c>
      <c r="E2238" s="32" t="s">
        <v>2574</v>
      </c>
      <c r="F2238" s="32" t="s">
        <v>4761</v>
      </c>
      <c r="G2238" s="33">
        <v>2890</v>
      </c>
      <c r="H2238" s="34">
        <v>3.7570000000000001</v>
      </c>
      <c r="I2238" s="31">
        <v>227800</v>
      </c>
      <c r="J2238" s="35" t="s">
        <v>1132</v>
      </c>
      <c r="K2238" s="36">
        <v>2024</v>
      </c>
    </row>
    <row r="2239" spans="1:11" ht="15" customHeight="1" x14ac:dyDescent="0.3">
      <c r="A2239" s="37">
        <v>2234</v>
      </c>
      <c r="B2239" s="38" t="s">
        <v>4482</v>
      </c>
      <c r="C2239" s="38" t="s">
        <v>4823</v>
      </c>
      <c r="D2239" s="38" t="s">
        <v>4824</v>
      </c>
      <c r="E2239" s="38" t="s">
        <v>3575</v>
      </c>
      <c r="F2239" s="38" t="s">
        <v>316</v>
      </c>
      <c r="G2239" s="39">
        <v>17688</v>
      </c>
      <c r="H2239" s="40">
        <v>2.6880000000000002</v>
      </c>
      <c r="I2239" s="37">
        <v>199800</v>
      </c>
      <c r="J2239" s="41" t="s">
        <v>1132</v>
      </c>
      <c r="K2239" s="42">
        <v>2024</v>
      </c>
    </row>
    <row r="2240" spans="1:11" ht="15" customHeight="1" x14ac:dyDescent="0.3">
      <c r="A2240" s="31">
        <v>2235</v>
      </c>
      <c r="B2240" s="32" t="s">
        <v>313</v>
      </c>
      <c r="C2240" s="32" t="s">
        <v>4825</v>
      </c>
      <c r="D2240" s="32" t="s">
        <v>1574</v>
      </c>
      <c r="E2240" s="32" t="s">
        <v>35</v>
      </c>
      <c r="F2240" s="32" t="s">
        <v>312</v>
      </c>
      <c r="G2240" s="33">
        <v>543</v>
      </c>
      <c r="H2240" s="34">
        <v>0.61599999999999999</v>
      </c>
      <c r="I2240" s="31">
        <v>283800</v>
      </c>
      <c r="J2240" s="35" t="s">
        <v>1259</v>
      </c>
      <c r="K2240" s="36">
        <v>2024</v>
      </c>
    </row>
    <row r="2241" spans="1:11" ht="15" customHeight="1" x14ac:dyDescent="0.3">
      <c r="A2241" s="37">
        <v>2236</v>
      </c>
      <c r="B2241" s="38" t="s">
        <v>313</v>
      </c>
      <c r="C2241" s="38" t="s">
        <v>4826</v>
      </c>
      <c r="D2241" s="38" t="s">
        <v>4827</v>
      </c>
      <c r="E2241" s="38" t="s">
        <v>35</v>
      </c>
      <c r="F2241" s="38" t="s">
        <v>435</v>
      </c>
      <c r="G2241" s="39">
        <v>912</v>
      </c>
      <c r="H2241" s="40">
        <v>4.9039999999999999</v>
      </c>
      <c r="I2241" s="37">
        <v>358800</v>
      </c>
      <c r="J2241" s="41" t="s">
        <v>1259</v>
      </c>
      <c r="K2241" s="42">
        <v>2024</v>
      </c>
    </row>
    <row r="2242" spans="1:11" ht="15" customHeight="1" x14ac:dyDescent="0.3">
      <c r="A2242" s="31">
        <v>2237</v>
      </c>
      <c r="B2242" s="32" t="s">
        <v>313</v>
      </c>
      <c r="C2242" s="32" t="s">
        <v>4828</v>
      </c>
      <c r="D2242" s="32" t="s">
        <v>4829</v>
      </c>
      <c r="E2242" s="32" t="s">
        <v>4830</v>
      </c>
      <c r="F2242" s="32" t="s">
        <v>4831</v>
      </c>
      <c r="G2242" s="33">
        <v>1210</v>
      </c>
      <c r="H2242" s="34">
        <v>4.9349999999999996</v>
      </c>
      <c r="I2242" s="31">
        <v>255800</v>
      </c>
      <c r="J2242" s="35" t="s">
        <v>1259</v>
      </c>
      <c r="K2242" s="36">
        <v>2024</v>
      </c>
    </row>
    <row r="2243" spans="1:11" ht="15" customHeight="1" x14ac:dyDescent="0.3">
      <c r="A2243" s="37">
        <v>2238</v>
      </c>
      <c r="B2243" s="38" t="s">
        <v>313</v>
      </c>
      <c r="C2243" s="38" t="s">
        <v>4832</v>
      </c>
      <c r="D2243" s="38" t="s">
        <v>4833</v>
      </c>
      <c r="E2243" s="38" t="s">
        <v>1774</v>
      </c>
      <c r="F2243" s="38" t="s">
        <v>4834</v>
      </c>
      <c r="G2243" s="39">
        <v>860</v>
      </c>
      <c r="H2243" s="40">
        <v>1.7470000000000001</v>
      </c>
      <c r="I2243" s="37">
        <v>283800</v>
      </c>
      <c r="J2243" s="41" t="s">
        <v>1259</v>
      </c>
      <c r="K2243" s="42">
        <v>2024</v>
      </c>
    </row>
    <row r="2244" spans="1:11" ht="15" customHeight="1" x14ac:dyDescent="0.3">
      <c r="A2244" s="31">
        <v>2239</v>
      </c>
      <c r="B2244" s="32" t="s">
        <v>313</v>
      </c>
      <c r="C2244" s="32" t="s">
        <v>4835</v>
      </c>
      <c r="D2244" s="32" t="s">
        <v>3110</v>
      </c>
      <c r="E2244" s="32" t="s">
        <v>1387</v>
      </c>
      <c r="F2244" s="32" t="s">
        <v>4836</v>
      </c>
      <c r="G2244" s="33">
        <v>280</v>
      </c>
      <c r="H2244" s="34">
        <v>1.2769999999999999</v>
      </c>
      <c r="I2244" s="31">
        <v>143000</v>
      </c>
      <c r="J2244" s="35" t="s">
        <v>1259</v>
      </c>
      <c r="K2244" s="36">
        <v>2024</v>
      </c>
    </row>
    <row r="2245" spans="1:11" ht="15" customHeight="1" x14ac:dyDescent="0.3">
      <c r="A2245" s="37">
        <v>2240</v>
      </c>
      <c r="B2245" s="38" t="s">
        <v>313</v>
      </c>
      <c r="C2245" s="38" t="s">
        <v>4837</v>
      </c>
      <c r="D2245" s="38" t="s">
        <v>4355</v>
      </c>
      <c r="E2245" s="38" t="s">
        <v>63</v>
      </c>
      <c r="F2245" s="38" t="s">
        <v>287</v>
      </c>
      <c r="G2245" s="39">
        <v>2215</v>
      </c>
      <c r="H2245" s="40">
        <v>3.7130000000000001</v>
      </c>
      <c r="I2245" s="37">
        <v>225000</v>
      </c>
      <c r="J2245" s="41" t="s">
        <v>1259</v>
      </c>
      <c r="K2245" s="42">
        <v>2024</v>
      </c>
    </row>
    <row r="2246" spans="1:11" ht="15" customHeight="1" x14ac:dyDescent="0.3">
      <c r="A2246" s="31">
        <v>2241</v>
      </c>
      <c r="B2246" s="32" t="s">
        <v>313</v>
      </c>
      <c r="C2246" s="32" t="s">
        <v>4838</v>
      </c>
      <c r="D2246" s="32" t="s">
        <v>4839</v>
      </c>
      <c r="E2246" s="32" t="s">
        <v>4840</v>
      </c>
      <c r="F2246" s="32" t="s">
        <v>316</v>
      </c>
      <c r="G2246" s="33">
        <v>800</v>
      </c>
      <c r="H2246" s="34">
        <v>5.5979999999999999</v>
      </c>
      <c r="I2246" s="31">
        <v>283800</v>
      </c>
      <c r="J2246" s="35" t="s">
        <v>1259</v>
      </c>
      <c r="K2246" s="36">
        <v>2024</v>
      </c>
    </row>
    <row r="2247" spans="1:11" ht="15" customHeight="1" x14ac:dyDescent="0.3">
      <c r="A2247" s="37">
        <v>2242</v>
      </c>
      <c r="B2247" s="38" t="s">
        <v>313</v>
      </c>
      <c r="C2247" s="38" t="s">
        <v>4841</v>
      </c>
      <c r="D2247" s="38" t="s">
        <v>4842</v>
      </c>
      <c r="E2247" s="38" t="s">
        <v>4843</v>
      </c>
      <c r="F2247" s="38" t="s">
        <v>689</v>
      </c>
      <c r="G2247" s="39">
        <v>1650</v>
      </c>
      <c r="H2247" s="40">
        <v>4.84</v>
      </c>
      <c r="I2247" s="37">
        <v>311800</v>
      </c>
      <c r="J2247" s="41" t="s">
        <v>1259</v>
      </c>
      <c r="K2247" s="42">
        <v>2024</v>
      </c>
    </row>
    <row r="2248" spans="1:11" ht="15" customHeight="1" x14ac:dyDescent="0.3">
      <c r="A2248" s="31">
        <v>2243</v>
      </c>
      <c r="B2248" s="32" t="s">
        <v>313</v>
      </c>
      <c r="C2248" s="32" t="s">
        <v>4844</v>
      </c>
      <c r="D2248" s="32" t="s">
        <v>3677</v>
      </c>
      <c r="E2248" s="32" t="s">
        <v>638</v>
      </c>
      <c r="F2248" s="32" t="s">
        <v>689</v>
      </c>
      <c r="G2248" s="33">
        <v>3271.74</v>
      </c>
      <c r="H2248" s="34">
        <v>7.008</v>
      </c>
      <c r="I2248" s="31">
        <v>309000</v>
      </c>
      <c r="J2248" s="35" t="s">
        <v>1259</v>
      </c>
      <c r="K2248" s="36">
        <v>2024</v>
      </c>
    </row>
    <row r="2249" spans="1:11" ht="15" customHeight="1" x14ac:dyDescent="0.3">
      <c r="A2249" s="37">
        <v>2244</v>
      </c>
      <c r="B2249" s="38" t="s">
        <v>313</v>
      </c>
      <c r="C2249" s="38" t="s">
        <v>4845</v>
      </c>
      <c r="D2249" s="38" t="s">
        <v>2506</v>
      </c>
      <c r="E2249" s="38" t="s">
        <v>35</v>
      </c>
      <c r="F2249" s="38" t="s">
        <v>312</v>
      </c>
      <c r="G2249" s="39">
        <v>860</v>
      </c>
      <c r="H2249" s="40">
        <v>4.4290000000000003</v>
      </c>
      <c r="I2249" s="37">
        <v>311800</v>
      </c>
      <c r="J2249" s="41" t="s">
        <v>1259</v>
      </c>
      <c r="K2249" s="42">
        <v>2024</v>
      </c>
    </row>
    <row r="2250" spans="1:11" ht="15" customHeight="1" x14ac:dyDescent="0.3">
      <c r="A2250" s="31">
        <v>2245</v>
      </c>
      <c r="B2250" s="32" t="s">
        <v>313</v>
      </c>
      <c r="C2250" s="32" t="s">
        <v>4846</v>
      </c>
      <c r="D2250" s="32" t="s">
        <v>4847</v>
      </c>
      <c r="E2250" s="32" t="s">
        <v>35</v>
      </c>
      <c r="F2250" s="32" t="s">
        <v>316</v>
      </c>
      <c r="G2250" s="33">
        <v>345</v>
      </c>
      <c r="H2250" s="34">
        <v>0.67200000000000004</v>
      </c>
      <c r="I2250" s="31">
        <v>255800</v>
      </c>
      <c r="J2250" s="35" t="s">
        <v>1259</v>
      </c>
      <c r="K2250" s="36">
        <v>2024</v>
      </c>
    </row>
    <row r="2251" spans="1:11" ht="15" customHeight="1" x14ac:dyDescent="0.3">
      <c r="A2251" s="37">
        <v>2246</v>
      </c>
      <c r="B2251" s="38" t="s">
        <v>313</v>
      </c>
      <c r="C2251" s="38" t="s">
        <v>4848</v>
      </c>
      <c r="D2251" s="38" t="s">
        <v>3677</v>
      </c>
      <c r="E2251" s="38" t="s">
        <v>638</v>
      </c>
      <c r="F2251" s="38" t="s">
        <v>316</v>
      </c>
      <c r="G2251" s="39">
        <v>1055.4000000000001</v>
      </c>
      <c r="H2251" s="40">
        <v>2.419</v>
      </c>
      <c r="I2251" s="37">
        <v>169000</v>
      </c>
      <c r="J2251" s="41" t="s">
        <v>1259</v>
      </c>
      <c r="K2251" s="42">
        <v>2024</v>
      </c>
    </row>
    <row r="2252" spans="1:11" ht="15" customHeight="1" x14ac:dyDescent="0.3">
      <c r="A2252" s="31">
        <v>2247</v>
      </c>
      <c r="B2252" s="32" t="s">
        <v>313</v>
      </c>
      <c r="C2252" s="32" t="s">
        <v>4849</v>
      </c>
      <c r="D2252" s="32" t="s">
        <v>4850</v>
      </c>
      <c r="E2252" s="32" t="s">
        <v>4851</v>
      </c>
      <c r="F2252" s="32" t="s">
        <v>4852</v>
      </c>
      <c r="G2252" s="33">
        <v>5099</v>
      </c>
      <c r="H2252" s="34">
        <v>4.7519999999999998</v>
      </c>
      <c r="I2252" s="31">
        <v>311800</v>
      </c>
      <c r="J2252" s="35" t="s">
        <v>1259</v>
      </c>
      <c r="K2252" s="36">
        <v>2024</v>
      </c>
    </row>
    <row r="2253" spans="1:11" ht="15" customHeight="1" x14ac:dyDescent="0.3">
      <c r="A2253" s="37">
        <v>2248</v>
      </c>
      <c r="B2253" s="38" t="s">
        <v>313</v>
      </c>
      <c r="C2253" s="38" t="s">
        <v>4853</v>
      </c>
      <c r="D2253" s="38" t="s">
        <v>4854</v>
      </c>
      <c r="E2253" s="38" t="s">
        <v>2556</v>
      </c>
      <c r="F2253" s="38" t="s">
        <v>4836</v>
      </c>
      <c r="G2253" s="39">
        <v>505</v>
      </c>
      <c r="H2253" s="40">
        <v>5.0359999999999996</v>
      </c>
      <c r="I2253" s="37">
        <v>358800</v>
      </c>
      <c r="J2253" s="41" t="s">
        <v>1259</v>
      </c>
      <c r="K2253" s="42">
        <v>2024</v>
      </c>
    </row>
    <row r="2254" spans="1:11" ht="15" customHeight="1" x14ac:dyDescent="0.3">
      <c r="A2254" s="31">
        <v>2249</v>
      </c>
      <c r="B2254" s="32" t="s">
        <v>313</v>
      </c>
      <c r="C2254" s="32" t="s">
        <v>4855</v>
      </c>
      <c r="D2254" s="32" t="s">
        <v>4856</v>
      </c>
      <c r="E2254" s="32" t="s">
        <v>35</v>
      </c>
      <c r="F2254" s="32" t="s">
        <v>386</v>
      </c>
      <c r="G2254" s="33">
        <v>1365.42</v>
      </c>
      <c r="H2254" s="34">
        <v>5.7720000000000002</v>
      </c>
      <c r="I2254" s="31">
        <v>358800</v>
      </c>
      <c r="J2254" s="35" t="s">
        <v>1259</v>
      </c>
      <c r="K2254" s="36">
        <v>2024</v>
      </c>
    </row>
    <row r="2255" spans="1:11" ht="15" customHeight="1" x14ac:dyDescent="0.3">
      <c r="A2255" s="37">
        <v>2250</v>
      </c>
      <c r="B2255" s="38" t="s">
        <v>313</v>
      </c>
      <c r="C2255" s="38" t="s">
        <v>4857</v>
      </c>
      <c r="D2255" s="38" t="s">
        <v>4858</v>
      </c>
      <c r="E2255" s="38" t="s">
        <v>63</v>
      </c>
      <c r="F2255" s="38" t="s">
        <v>4836</v>
      </c>
      <c r="G2255" s="39">
        <v>121.937</v>
      </c>
      <c r="H2255" s="40">
        <v>0.98899999999999999</v>
      </c>
      <c r="I2255" s="37">
        <v>143000</v>
      </c>
      <c r="J2255" s="41" t="s">
        <v>1259</v>
      </c>
      <c r="K2255" s="42">
        <v>2024</v>
      </c>
    </row>
    <row r="2256" spans="1:11" ht="15" customHeight="1" x14ac:dyDescent="0.3">
      <c r="A2256" s="31">
        <v>2251</v>
      </c>
      <c r="B2256" s="32" t="s">
        <v>313</v>
      </c>
      <c r="C2256" s="32" t="s">
        <v>4859</v>
      </c>
      <c r="D2256" s="32" t="s">
        <v>4858</v>
      </c>
      <c r="E2256" s="32" t="s">
        <v>4860</v>
      </c>
      <c r="F2256" s="32" t="s">
        <v>287</v>
      </c>
      <c r="G2256" s="33">
        <v>1196.335</v>
      </c>
      <c r="H2256" s="34">
        <v>2.544</v>
      </c>
      <c r="I2256" s="31">
        <v>197000</v>
      </c>
      <c r="J2256" s="35" t="s">
        <v>1259</v>
      </c>
      <c r="K2256" s="36">
        <v>2024</v>
      </c>
    </row>
    <row r="2257" spans="1:11" ht="15" customHeight="1" x14ac:dyDescent="0.3">
      <c r="A2257" s="37">
        <v>2252</v>
      </c>
      <c r="B2257" s="38" t="s">
        <v>313</v>
      </c>
      <c r="C2257" s="38" t="s">
        <v>4861</v>
      </c>
      <c r="D2257" s="38" t="s">
        <v>4862</v>
      </c>
      <c r="E2257" s="38" t="s">
        <v>4863</v>
      </c>
      <c r="F2257" s="38" t="s">
        <v>4022</v>
      </c>
      <c r="G2257" s="39">
        <v>806</v>
      </c>
      <c r="H2257" s="40">
        <v>1.92</v>
      </c>
      <c r="I2257" s="37">
        <v>169000</v>
      </c>
      <c r="J2257" s="41" t="s">
        <v>1259</v>
      </c>
      <c r="K2257" s="42">
        <v>2024</v>
      </c>
    </row>
    <row r="2258" spans="1:11" ht="15" customHeight="1" x14ac:dyDescent="0.3">
      <c r="A2258" s="31">
        <v>2253</v>
      </c>
      <c r="B2258" s="32" t="s">
        <v>313</v>
      </c>
      <c r="C2258" s="32" t="s">
        <v>4864</v>
      </c>
      <c r="D2258" s="32" t="s">
        <v>4263</v>
      </c>
      <c r="E2258" s="32" t="s">
        <v>4830</v>
      </c>
      <c r="F2258" s="32" t="s">
        <v>4062</v>
      </c>
      <c r="G2258" s="33">
        <v>2051</v>
      </c>
      <c r="H2258" s="34">
        <v>2.9910000000000001</v>
      </c>
      <c r="I2258" s="31">
        <v>197000</v>
      </c>
      <c r="J2258" s="35" t="s">
        <v>1259</v>
      </c>
      <c r="K2258" s="36">
        <v>2024</v>
      </c>
    </row>
    <row r="2259" spans="1:11" ht="15" customHeight="1" x14ac:dyDescent="0.3">
      <c r="A2259" s="37">
        <v>2254</v>
      </c>
      <c r="B2259" s="38" t="s">
        <v>313</v>
      </c>
      <c r="C2259" s="38" t="s">
        <v>4865</v>
      </c>
      <c r="D2259" s="38" t="s">
        <v>4263</v>
      </c>
      <c r="E2259" s="38" t="s">
        <v>4830</v>
      </c>
      <c r="F2259" s="38" t="s">
        <v>3858</v>
      </c>
      <c r="G2259" s="39">
        <v>1319</v>
      </c>
      <c r="H2259" s="40">
        <v>7.6219999999999999</v>
      </c>
      <c r="I2259" s="37">
        <v>329000</v>
      </c>
      <c r="J2259" s="41" t="s">
        <v>1259</v>
      </c>
      <c r="K2259" s="42">
        <v>2024</v>
      </c>
    </row>
    <row r="2260" spans="1:11" ht="15" customHeight="1" x14ac:dyDescent="0.3">
      <c r="A2260" s="31">
        <v>2255</v>
      </c>
      <c r="B2260" s="32" t="s">
        <v>313</v>
      </c>
      <c r="C2260" s="32" t="s">
        <v>4866</v>
      </c>
      <c r="D2260" s="32" t="s">
        <v>4867</v>
      </c>
      <c r="E2260" s="32" t="s">
        <v>657</v>
      </c>
      <c r="F2260" s="32" t="s">
        <v>3858</v>
      </c>
      <c r="G2260" s="33">
        <v>1252</v>
      </c>
      <c r="H2260" s="34">
        <v>1.54</v>
      </c>
      <c r="I2260" s="31">
        <v>171800</v>
      </c>
      <c r="J2260" s="35" t="s">
        <v>1259</v>
      </c>
      <c r="K2260" s="36">
        <v>2024</v>
      </c>
    </row>
    <row r="2261" spans="1:11" ht="15" customHeight="1" x14ac:dyDescent="0.3">
      <c r="A2261" s="37">
        <v>2256</v>
      </c>
      <c r="B2261" s="38" t="s">
        <v>4482</v>
      </c>
      <c r="C2261" s="38" t="s">
        <v>4868</v>
      </c>
      <c r="D2261" s="38" t="s">
        <v>4688</v>
      </c>
      <c r="E2261" s="38" t="s">
        <v>4860</v>
      </c>
      <c r="F2261" s="38" t="s">
        <v>689</v>
      </c>
      <c r="G2261" s="39">
        <v>3690.4</v>
      </c>
      <c r="H2261" s="40">
        <v>7.944</v>
      </c>
      <c r="I2261" s="37">
        <v>329000</v>
      </c>
      <c r="J2261" s="41" t="s">
        <v>1371</v>
      </c>
      <c r="K2261" s="42">
        <v>2024</v>
      </c>
    </row>
    <row r="2262" spans="1:11" ht="15" customHeight="1" x14ac:dyDescent="0.3">
      <c r="A2262" s="31">
        <v>2257</v>
      </c>
      <c r="B2262" s="32" t="s">
        <v>4482</v>
      </c>
      <c r="C2262" s="32" t="s">
        <v>4869</v>
      </c>
      <c r="D2262" s="32" t="s">
        <v>4870</v>
      </c>
      <c r="E2262" s="32" t="s">
        <v>39</v>
      </c>
      <c r="F2262" s="32" t="s">
        <v>4871</v>
      </c>
      <c r="G2262" s="33">
        <v>1721.9</v>
      </c>
      <c r="H2262" s="34">
        <v>7.4980000000000002</v>
      </c>
      <c r="I2262" s="31">
        <v>385800</v>
      </c>
      <c r="J2262" s="35" t="s">
        <v>1371</v>
      </c>
      <c r="K2262" s="36">
        <v>2024</v>
      </c>
    </row>
    <row r="2263" spans="1:11" ht="15" customHeight="1" x14ac:dyDescent="0.3">
      <c r="A2263" s="37">
        <v>2258</v>
      </c>
      <c r="B2263" s="38" t="s">
        <v>4482</v>
      </c>
      <c r="C2263" s="38" t="s">
        <v>4872</v>
      </c>
      <c r="D2263" s="38" t="s">
        <v>4873</v>
      </c>
      <c r="E2263" s="38" t="s">
        <v>764</v>
      </c>
      <c r="F2263" s="38" t="s">
        <v>287</v>
      </c>
      <c r="G2263" s="39">
        <v>848</v>
      </c>
      <c r="H2263" s="40">
        <v>2.78</v>
      </c>
      <c r="I2263" s="37">
        <v>253000</v>
      </c>
      <c r="J2263" s="41" t="s">
        <v>1371</v>
      </c>
      <c r="K2263" s="42">
        <v>2024</v>
      </c>
    </row>
    <row r="2264" spans="1:11" ht="15" customHeight="1" x14ac:dyDescent="0.3">
      <c r="A2264" s="31">
        <v>2259</v>
      </c>
      <c r="B2264" s="32" t="s">
        <v>4482</v>
      </c>
      <c r="C2264" s="32" t="s">
        <v>4874</v>
      </c>
      <c r="D2264" s="32" t="s">
        <v>3677</v>
      </c>
      <c r="E2264" s="32" t="s">
        <v>61</v>
      </c>
      <c r="F2264" s="32" t="s">
        <v>4875</v>
      </c>
      <c r="G2264" s="33">
        <v>5428.8</v>
      </c>
      <c r="H2264" s="34">
        <v>5.6159999999999997</v>
      </c>
      <c r="I2264" s="31">
        <v>281000</v>
      </c>
      <c r="J2264" s="35" t="s">
        <v>1371</v>
      </c>
      <c r="K2264" s="36">
        <v>2024</v>
      </c>
    </row>
    <row r="2265" spans="1:11" ht="15" customHeight="1" x14ac:dyDescent="0.3">
      <c r="A2265" s="37">
        <v>2260</v>
      </c>
      <c r="B2265" s="38" t="s">
        <v>4482</v>
      </c>
      <c r="C2265" s="38" t="s">
        <v>4876</v>
      </c>
      <c r="D2265" s="38" t="s">
        <v>4877</v>
      </c>
      <c r="E2265" s="38" t="s">
        <v>4878</v>
      </c>
      <c r="F2265" s="38" t="s">
        <v>4879</v>
      </c>
      <c r="G2265" s="39">
        <v>1160</v>
      </c>
      <c r="H2265" s="40">
        <v>3.0790000000000002</v>
      </c>
      <c r="I2265" s="37">
        <v>281000</v>
      </c>
      <c r="J2265" s="41" t="s">
        <v>1371</v>
      </c>
      <c r="K2265" s="42">
        <v>2024</v>
      </c>
    </row>
    <row r="2266" spans="1:11" ht="15" customHeight="1" x14ac:dyDescent="0.3">
      <c r="A2266" s="31">
        <v>2261</v>
      </c>
      <c r="B2266" s="32" t="s">
        <v>4482</v>
      </c>
      <c r="C2266" s="32" t="s">
        <v>4880</v>
      </c>
      <c r="D2266" s="32" t="s">
        <v>4881</v>
      </c>
      <c r="E2266" s="32" t="s">
        <v>4882</v>
      </c>
      <c r="F2266" s="32" t="s">
        <v>306</v>
      </c>
      <c r="G2266" s="33">
        <v>548</v>
      </c>
      <c r="H2266" s="34">
        <v>1.4770000000000001</v>
      </c>
      <c r="I2266" s="31">
        <v>227800</v>
      </c>
      <c r="J2266" s="35" t="s">
        <v>1371</v>
      </c>
      <c r="K2266" s="36">
        <v>2024</v>
      </c>
    </row>
    <row r="2267" spans="1:11" ht="15" customHeight="1" x14ac:dyDescent="0.3">
      <c r="A2267" s="37">
        <v>2262</v>
      </c>
      <c r="B2267" s="38" t="s">
        <v>4482</v>
      </c>
      <c r="C2267" s="38" t="s">
        <v>4883</v>
      </c>
      <c r="D2267" s="38" t="s">
        <v>4884</v>
      </c>
      <c r="E2267" s="38" t="s">
        <v>35</v>
      </c>
      <c r="F2267" s="38" t="s">
        <v>3831</v>
      </c>
      <c r="G2267" s="39">
        <v>492</v>
      </c>
      <c r="H2267" s="40">
        <v>0.73</v>
      </c>
      <c r="I2267" s="37">
        <v>255800</v>
      </c>
      <c r="J2267" s="41" t="s">
        <v>1371</v>
      </c>
      <c r="K2267" s="42">
        <v>2024</v>
      </c>
    </row>
    <row r="2268" spans="1:11" ht="15" customHeight="1" x14ac:dyDescent="0.3">
      <c r="A2268" s="31">
        <v>2263</v>
      </c>
      <c r="B2268" s="32" t="s">
        <v>4482</v>
      </c>
      <c r="C2268" s="32" t="s">
        <v>4885</v>
      </c>
      <c r="D2268" s="32" t="s">
        <v>4886</v>
      </c>
      <c r="E2268" s="32" t="s">
        <v>2935</v>
      </c>
      <c r="F2268" s="32" t="s">
        <v>4879</v>
      </c>
      <c r="G2268" s="33">
        <v>495</v>
      </c>
      <c r="H2268" s="34">
        <v>3.1469999999999998</v>
      </c>
      <c r="I2268" s="31">
        <v>283800</v>
      </c>
      <c r="J2268" s="35" t="s">
        <v>1371</v>
      </c>
      <c r="K2268" s="36">
        <v>2024</v>
      </c>
    </row>
    <row r="2269" spans="1:11" ht="15" customHeight="1" x14ac:dyDescent="0.3">
      <c r="A2269" s="37">
        <v>2264</v>
      </c>
      <c r="B2269" s="38" t="s">
        <v>4482</v>
      </c>
      <c r="C2269" s="38" t="s">
        <v>4887</v>
      </c>
      <c r="D2269" s="38" t="s">
        <v>1508</v>
      </c>
      <c r="E2269" s="38" t="s">
        <v>3415</v>
      </c>
      <c r="F2269" s="38" t="s">
        <v>4888</v>
      </c>
      <c r="G2269" s="39">
        <v>1153</v>
      </c>
      <c r="H2269" s="40">
        <v>0.61499999999999999</v>
      </c>
      <c r="I2269" s="37">
        <v>143000</v>
      </c>
      <c r="J2269" s="41" t="s">
        <v>1371</v>
      </c>
      <c r="K2269" s="42">
        <v>2024</v>
      </c>
    </row>
    <row r="2270" spans="1:11" ht="15" customHeight="1" x14ac:dyDescent="0.3">
      <c r="A2270" s="31">
        <v>2265</v>
      </c>
      <c r="B2270" s="32" t="s">
        <v>4482</v>
      </c>
      <c r="C2270" s="32" t="s">
        <v>4889</v>
      </c>
      <c r="D2270" s="32" t="s">
        <v>4890</v>
      </c>
      <c r="E2270" s="32" t="s">
        <v>4891</v>
      </c>
      <c r="F2270" s="32" t="s">
        <v>287</v>
      </c>
      <c r="G2270" s="33">
        <v>144</v>
      </c>
      <c r="H2270" s="34">
        <v>1.988</v>
      </c>
      <c r="I2270" s="31">
        <v>171800</v>
      </c>
      <c r="J2270" s="35" t="s">
        <v>1371</v>
      </c>
      <c r="K2270" s="36">
        <v>2024</v>
      </c>
    </row>
    <row r="2271" spans="1:11" ht="15" customHeight="1" x14ac:dyDescent="0.3">
      <c r="A2271" s="37">
        <v>2266</v>
      </c>
      <c r="B2271" s="38" t="s">
        <v>4892</v>
      </c>
      <c r="C2271" s="38" t="s">
        <v>4893</v>
      </c>
      <c r="D2271" s="38" t="s">
        <v>4894</v>
      </c>
      <c r="E2271" s="38" t="s">
        <v>2574</v>
      </c>
      <c r="F2271" s="38" t="s">
        <v>3831</v>
      </c>
      <c r="G2271" s="39">
        <v>695</v>
      </c>
      <c r="H2271" s="40">
        <v>1.105</v>
      </c>
      <c r="I2271" s="37">
        <v>143000</v>
      </c>
      <c r="J2271" s="41" t="s">
        <v>1371</v>
      </c>
      <c r="K2271" s="42">
        <v>2024</v>
      </c>
    </row>
    <row r="2272" spans="1:11" ht="15" customHeight="1" x14ac:dyDescent="0.3">
      <c r="A2272" s="31">
        <v>2267</v>
      </c>
      <c r="B2272" s="32" t="s">
        <v>4892</v>
      </c>
      <c r="C2272" s="32" t="s">
        <v>4895</v>
      </c>
      <c r="D2272" s="32" t="s">
        <v>3123</v>
      </c>
      <c r="E2272" s="32" t="s">
        <v>4896</v>
      </c>
      <c r="F2272" s="32" t="s">
        <v>4897</v>
      </c>
      <c r="G2272" s="33">
        <v>1824</v>
      </c>
      <c r="H2272" s="34">
        <v>7.1520000000000001</v>
      </c>
      <c r="I2272" s="31">
        <v>311800</v>
      </c>
      <c r="J2272" s="35" t="s">
        <v>1371</v>
      </c>
      <c r="K2272" s="36">
        <v>2024</v>
      </c>
    </row>
    <row r="2273" spans="1:11" ht="15" customHeight="1" x14ac:dyDescent="0.3">
      <c r="A2273" s="37">
        <v>2268</v>
      </c>
      <c r="B2273" s="38" t="s">
        <v>4892</v>
      </c>
      <c r="C2273" s="38" t="s">
        <v>4898</v>
      </c>
      <c r="D2273" s="38" t="s">
        <v>4899</v>
      </c>
      <c r="E2273" s="38" t="s">
        <v>35</v>
      </c>
      <c r="F2273" s="38" t="s">
        <v>3831</v>
      </c>
      <c r="G2273" s="39">
        <v>830</v>
      </c>
      <c r="H2273" s="40">
        <v>1.38</v>
      </c>
      <c r="I2273" s="37">
        <v>283800</v>
      </c>
      <c r="J2273" s="41" t="s">
        <v>1371</v>
      </c>
      <c r="K2273" s="42">
        <v>2024</v>
      </c>
    </row>
    <row r="2274" spans="1:11" ht="15" customHeight="1" x14ac:dyDescent="0.3">
      <c r="A2274" s="31">
        <v>2269</v>
      </c>
      <c r="B2274" s="32" t="s">
        <v>4892</v>
      </c>
      <c r="C2274" s="32" t="s">
        <v>4900</v>
      </c>
      <c r="D2274" s="32" t="s">
        <v>4901</v>
      </c>
      <c r="E2274" s="32" t="s">
        <v>35</v>
      </c>
      <c r="F2274" s="32" t="s">
        <v>312</v>
      </c>
      <c r="G2274" s="33">
        <v>81</v>
      </c>
      <c r="H2274" s="34">
        <v>0.34</v>
      </c>
      <c r="I2274" s="31">
        <v>171800</v>
      </c>
      <c r="J2274" s="35" t="s">
        <v>1371</v>
      </c>
      <c r="K2274" s="36">
        <v>2024</v>
      </c>
    </row>
    <row r="2275" spans="1:11" ht="15" customHeight="1" x14ac:dyDescent="0.3">
      <c r="A2275" s="37">
        <v>2270</v>
      </c>
      <c r="B2275" s="38" t="s">
        <v>4892</v>
      </c>
      <c r="C2275" s="38" t="s">
        <v>4902</v>
      </c>
      <c r="D2275" s="38" t="s">
        <v>4903</v>
      </c>
      <c r="E2275" s="38" t="s">
        <v>4904</v>
      </c>
      <c r="F2275" s="38" t="s">
        <v>569</v>
      </c>
      <c r="G2275" s="39">
        <v>2106</v>
      </c>
      <c r="H2275" s="40">
        <v>5.2290000000000001</v>
      </c>
      <c r="I2275" s="37">
        <v>253000</v>
      </c>
      <c r="J2275" s="41" t="s">
        <v>1371</v>
      </c>
      <c r="K2275" s="42">
        <v>2024</v>
      </c>
    </row>
    <row r="2276" spans="1:11" ht="15" customHeight="1" x14ac:dyDescent="0.3">
      <c r="A2276" s="31">
        <v>2271</v>
      </c>
      <c r="B2276" s="32" t="s">
        <v>4892</v>
      </c>
      <c r="C2276" s="32" t="s">
        <v>4905</v>
      </c>
      <c r="D2276" s="32" t="s">
        <v>4906</v>
      </c>
      <c r="E2276" s="32" t="s">
        <v>2556</v>
      </c>
      <c r="F2276" s="32" t="s">
        <v>312</v>
      </c>
      <c r="G2276" s="33">
        <v>96</v>
      </c>
      <c r="H2276" s="34">
        <v>0.92</v>
      </c>
      <c r="I2276" s="31">
        <v>255800</v>
      </c>
      <c r="J2276" s="35" t="s">
        <v>1371</v>
      </c>
      <c r="K2276" s="36">
        <v>2024</v>
      </c>
    </row>
    <row r="2277" spans="1:11" ht="15" customHeight="1" x14ac:dyDescent="0.3">
      <c r="A2277" s="37">
        <v>2272</v>
      </c>
      <c r="B2277" s="38" t="s">
        <v>4892</v>
      </c>
      <c r="C2277" s="38" t="s">
        <v>4907</v>
      </c>
      <c r="D2277" s="38" t="s">
        <v>4908</v>
      </c>
      <c r="E2277" s="38" t="s">
        <v>35</v>
      </c>
      <c r="F2277" s="38" t="s">
        <v>4897</v>
      </c>
      <c r="G2277" s="39">
        <v>692</v>
      </c>
      <c r="H2277" s="40">
        <v>2.161</v>
      </c>
      <c r="I2277" s="37">
        <v>283800</v>
      </c>
      <c r="J2277" s="41" t="s">
        <v>1371</v>
      </c>
      <c r="K2277" s="42">
        <v>2024</v>
      </c>
    </row>
    <row r="2278" spans="1:11" ht="15" customHeight="1" x14ac:dyDescent="0.3">
      <c r="A2278" s="31">
        <v>2273</v>
      </c>
      <c r="B2278" s="32" t="s">
        <v>4892</v>
      </c>
      <c r="C2278" s="32" t="s">
        <v>4909</v>
      </c>
      <c r="D2278" s="32" t="s">
        <v>4910</v>
      </c>
      <c r="E2278" s="32" t="s">
        <v>61</v>
      </c>
      <c r="F2278" s="32" t="s">
        <v>287</v>
      </c>
      <c r="G2278" s="33">
        <v>1081</v>
      </c>
      <c r="H2278" s="34">
        <v>3.5880000000000001</v>
      </c>
      <c r="I2278" s="31">
        <v>225000</v>
      </c>
      <c r="J2278" s="35" t="s">
        <v>1371</v>
      </c>
      <c r="K2278" s="36">
        <v>2024</v>
      </c>
    </row>
    <row r="2279" spans="1:11" ht="15" customHeight="1" x14ac:dyDescent="0.3">
      <c r="A2279" s="37">
        <v>2274</v>
      </c>
      <c r="B2279" s="38" t="s">
        <v>4892</v>
      </c>
      <c r="C2279" s="38" t="s">
        <v>4911</v>
      </c>
      <c r="D2279" s="38" t="s">
        <v>4912</v>
      </c>
      <c r="E2279" s="38" t="s">
        <v>1975</v>
      </c>
      <c r="F2279" s="38" t="s">
        <v>4058</v>
      </c>
      <c r="G2279" s="39">
        <v>815</v>
      </c>
      <c r="H2279" s="40">
        <v>0.90500000000000003</v>
      </c>
      <c r="I2279" s="37">
        <v>143000</v>
      </c>
      <c r="J2279" s="41" t="s">
        <v>1371</v>
      </c>
      <c r="K2279" s="42">
        <v>2024</v>
      </c>
    </row>
    <row r="2280" spans="1:11" ht="15" customHeight="1" x14ac:dyDescent="0.3">
      <c r="A2280" s="31">
        <v>2275</v>
      </c>
      <c r="B2280" s="32" t="s">
        <v>4892</v>
      </c>
      <c r="C2280" s="32" t="s">
        <v>4913</v>
      </c>
      <c r="D2280" s="32" t="s">
        <v>4914</v>
      </c>
      <c r="E2280" s="32" t="s">
        <v>4209</v>
      </c>
      <c r="F2280" s="32" t="s">
        <v>4915</v>
      </c>
      <c r="G2280" s="33">
        <v>1815.5</v>
      </c>
      <c r="H2280" s="34">
        <v>8.1120000000000001</v>
      </c>
      <c r="I2280" s="31">
        <v>439800</v>
      </c>
      <c r="J2280" s="35" t="s">
        <v>1371</v>
      </c>
      <c r="K2280" s="36">
        <v>2024</v>
      </c>
    </row>
    <row r="2281" spans="1:11" ht="15" customHeight="1" x14ac:dyDescent="0.3">
      <c r="A2281" s="37">
        <v>2276</v>
      </c>
      <c r="B2281" s="38" t="s">
        <v>4892</v>
      </c>
      <c r="C2281" s="38" t="s">
        <v>4916</v>
      </c>
      <c r="D2281" s="38" t="s">
        <v>4811</v>
      </c>
      <c r="E2281" s="38" t="s">
        <v>4196</v>
      </c>
      <c r="F2281" s="38" t="s">
        <v>287</v>
      </c>
      <c r="G2281" s="39">
        <v>1763.06</v>
      </c>
      <c r="H2281" s="40">
        <v>4.33</v>
      </c>
      <c r="I2281" s="37">
        <v>227800</v>
      </c>
      <c r="J2281" s="41" t="s">
        <v>1371</v>
      </c>
      <c r="K2281" s="42">
        <v>2024</v>
      </c>
    </row>
    <row r="2282" spans="1:11" ht="15" customHeight="1" x14ac:dyDescent="0.3">
      <c r="A2282" s="31">
        <v>2277</v>
      </c>
      <c r="B2282" s="32" t="s">
        <v>4892</v>
      </c>
      <c r="C2282" s="32" t="s">
        <v>4917</v>
      </c>
      <c r="D2282" s="32" t="s">
        <v>4918</v>
      </c>
      <c r="E2282" s="32" t="s">
        <v>35</v>
      </c>
      <c r="F2282" s="32" t="s">
        <v>312</v>
      </c>
      <c r="G2282" s="33">
        <v>350</v>
      </c>
      <c r="H2282" s="34">
        <v>1.69</v>
      </c>
      <c r="I2282" s="31">
        <v>255800</v>
      </c>
      <c r="J2282" s="35" t="s">
        <v>1371</v>
      </c>
      <c r="K2282" s="36">
        <v>2024</v>
      </c>
    </row>
    <row r="2283" spans="1:11" ht="15" customHeight="1" x14ac:dyDescent="0.3">
      <c r="A2283" s="37">
        <v>2278</v>
      </c>
      <c r="B2283" s="38" t="s">
        <v>4892</v>
      </c>
      <c r="C2283" s="38" t="s">
        <v>4919</v>
      </c>
      <c r="D2283" s="38" t="s">
        <v>4920</v>
      </c>
      <c r="E2283" s="38" t="s">
        <v>39</v>
      </c>
      <c r="F2283" s="38" t="s">
        <v>435</v>
      </c>
      <c r="G2283" s="39">
        <v>2236</v>
      </c>
      <c r="H2283" s="40">
        <v>4.4400000000000004</v>
      </c>
      <c r="I2283" s="37">
        <v>311800</v>
      </c>
      <c r="J2283" s="41" t="s">
        <v>1371</v>
      </c>
      <c r="K2283" s="42">
        <v>2024</v>
      </c>
    </row>
    <row r="2284" spans="1:11" ht="15" customHeight="1" x14ac:dyDescent="0.3">
      <c r="A2284" s="31">
        <v>2279</v>
      </c>
      <c r="B2284" s="32" t="s">
        <v>4892</v>
      </c>
      <c r="C2284" s="32" t="s">
        <v>4921</v>
      </c>
      <c r="D2284" s="32" t="s">
        <v>4922</v>
      </c>
      <c r="E2284" s="32" t="s">
        <v>4923</v>
      </c>
      <c r="F2284" s="32" t="s">
        <v>287</v>
      </c>
      <c r="G2284" s="33">
        <v>545</v>
      </c>
      <c r="H2284" s="34">
        <v>2.1120000000000001</v>
      </c>
      <c r="I2284" s="31">
        <v>225000</v>
      </c>
      <c r="J2284" s="35" t="s">
        <v>1371</v>
      </c>
      <c r="K2284" s="36">
        <v>2024</v>
      </c>
    </row>
    <row r="2285" spans="1:11" ht="15" customHeight="1" x14ac:dyDescent="0.3">
      <c r="A2285" s="37">
        <v>2280</v>
      </c>
      <c r="B2285" s="38" t="s">
        <v>4892</v>
      </c>
      <c r="C2285" s="38" t="s">
        <v>4924</v>
      </c>
      <c r="D2285" s="38" t="s">
        <v>4925</v>
      </c>
      <c r="E2285" s="38" t="s">
        <v>35</v>
      </c>
      <c r="F2285" s="38" t="s">
        <v>312</v>
      </c>
      <c r="G2285" s="39">
        <v>521</v>
      </c>
      <c r="H2285" s="40">
        <v>1.397</v>
      </c>
      <c r="I2285" s="37">
        <v>283800</v>
      </c>
      <c r="J2285" s="41" t="s">
        <v>1371</v>
      </c>
      <c r="K2285" s="42">
        <v>2024</v>
      </c>
    </row>
    <row r="2286" spans="1:11" ht="15" customHeight="1" x14ac:dyDescent="0.3">
      <c r="A2286" s="31">
        <v>2281</v>
      </c>
      <c r="B2286" s="32" t="s">
        <v>1059</v>
      </c>
      <c r="C2286" s="32" t="s">
        <v>4926</v>
      </c>
      <c r="D2286" s="32" t="s">
        <v>1574</v>
      </c>
      <c r="E2286" s="32" t="s">
        <v>35</v>
      </c>
      <c r="F2286" s="32" t="s">
        <v>3858</v>
      </c>
      <c r="G2286" s="33">
        <v>4870</v>
      </c>
      <c r="H2286" s="34">
        <v>4.95</v>
      </c>
      <c r="I2286" s="31">
        <v>358800</v>
      </c>
      <c r="J2286" s="35" t="s">
        <v>1404</v>
      </c>
      <c r="K2286" s="36">
        <v>2024</v>
      </c>
    </row>
    <row r="2287" spans="1:11" ht="15" customHeight="1" x14ac:dyDescent="0.3">
      <c r="A2287" s="37">
        <v>2282</v>
      </c>
      <c r="B2287" s="38" t="s">
        <v>1059</v>
      </c>
      <c r="C2287" s="38" t="s">
        <v>4927</v>
      </c>
      <c r="D2287" s="38" t="s">
        <v>4928</v>
      </c>
      <c r="E2287" s="38" t="s">
        <v>4371</v>
      </c>
      <c r="F2287" s="38" t="s">
        <v>373</v>
      </c>
      <c r="G2287" s="39">
        <v>1820</v>
      </c>
      <c r="H2287" s="40">
        <v>3.16</v>
      </c>
      <c r="I2287" s="37">
        <v>331800</v>
      </c>
      <c r="J2287" s="41" t="s">
        <v>1404</v>
      </c>
      <c r="K2287" s="42">
        <v>2024</v>
      </c>
    </row>
    <row r="2288" spans="1:11" ht="15" customHeight="1" x14ac:dyDescent="0.3">
      <c r="A2288" s="31">
        <v>2283</v>
      </c>
      <c r="B2288" s="32" t="s">
        <v>1059</v>
      </c>
      <c r="C2288" s="32" t="s">
        <v>4929</v>
      </c>
      <c r="D2288" s="32" t="s">
        <v>2800</v>
      </c>
      <c r="E2288" s="32" t="s">
        <v>4930</v>
      </c>
      <c r="F2288" s="32" t="s">
        <v>316</v>
      </c>
      <c r="G2288" s="33">
        <v>353</v>
      </c>
      <c r="H2288" s="34">
        <v>2.6930000000000001</v>
      </c>
      <c r="I2288" s="31">
        <v>227800</v>
      </c>
      <c r="J2288" s="35" t="s">
        <v>1404</v>
      </c>
      <c r="K2288" s="36">
        <v>2024</v>
      </c>
    </row>
    <row r="2289" spans="1:11" ht="15" customHeight="1" x14ac:dyDescent="0.3">
      <c r="A2289" s="37">
        <v>2284</v>
      </c>
      <c r="B2289" s="38" t="s">
        <v>1059</v>
      </c>
      <c r="C2289" s="38" t="s">
        <v>4931</v>
      </c>
      <c r="D2289" s="38" t="s">
        <v>4932</v>
      </c>
      <c r="E2289" s="38" t="s">
        <v>4933</v>
      </c>
      <c r="F2289" s="38" t="s">
        <v>276</v>
      </c>
      <c r="G2289" s="39">
        <v>1244</v>
      </c>
      <c r="H2289" s="40">
        <v>4.62</v>
      </c>
      <c r="I2289" s="37">
        <v>255800</v>
      </c>
      <c r="J2289" s="41" t="s">
        <v>1404</v>
      </c>
      <c r="K2289" s="42">
        <v>2024</v>
      </c>
    </row>
    <row r="2290" spans="1:11" ht="15" customHeight="1" x14ac:dyDescent="0.3">
      <c r="A2290" s="31">
        <v>2285</v>
      </c>
      <c r="B2290" s="32" t="s">
        <v>1059</v>
      </c>
      <c r="C2290" s="32" t="s">
        <v>4934</v>
      </c>
      <c r="D2290" s="32" t="s">
        <v>4935</v>
      </c>
      <c r="E2290" s="32" t="s">
        <v>499</v>
      </c>
      <c r="F2290" s="32" t="s">
        <v>4897</v>
      </c>
      <c r="G2290" s="33">
        <v>1263.8</v>
      </c>
      <c r="H2290" s="34">
        <v>6</v>
      </c>
      <c r="I2290" s="31">
        <v>358800</v>
      </c>
      <c r="J2290" s="35" t="s">
        <v>1404</v>
      </c>
      <c r="K2290" s="36">
        <v>2024</v>
      </c>
    </row>
    <row r="2291" spans="1:11" ht="15" customHeight="1" x14ac:dyDescent="0.3">
      <c r="A2291" s="37">
        <v>2286</v>
      </c>
      <c r="B2291" s="38" t="s">
        <v>1059</v>
      </c>
      <c r="C2291" s="38" t="s">
        <v>4936</v>
      </c>
      <c r="D2291" s="38" t="s">
        <v>4937</v>
      </c>
      <c r="E2291" s="38" t="s">
        <v>4938</v>
      </c>
      <c r="F2291" s="38" t="s">
        <v>276</v>
      </c>
      <c r="G2291" s="39">
        <v>627</v>
      </c>
      <c r="H2291" s="40">
        <v>0.46500000000000002</v>
      </c>
      <c r="I2291" s="37">
        <v>255800</v>
      </c>
      <c r="J2291" s="41" t="s">
        <v>1404</v>
      </c>
      <c r="K2291" s="42">
        <v>2024</v>
      </c>
    </row>
    <row r="2292" spans="1:11" ht="15" customHeight="1" x14ac:dyDescent="0.3">
      <c r="A2292" s="31">
        <v>2287</v>
      </c>
      <c r="B2292" s="32" t="s">
        <v>313</v>
      </c>
      <c r="C2292" s="32" t="s">
        <v>4939</v>
      </c>
      <c r="D2292" s="32" t="s">
        <v>1913</v>
      </c>
      <c r="E2292" s="32" t="s">
        <v>35</v>
      </c>
      <c r="F2292" s="32" t="s">
        <v>276</v>
      </c>
      <c r="G2292" s="33">
        <v>255</v>
      </c>
      <c r="H2292" s="34">
        <v>1.3440000000000001</v>
      </c>
      <c r="I2292" s="31">
        <v>171800</v>
      </c>
      <c r="J2292" s="35" t="s">
        <v>1404</v>
      </c>
      <c r="K2292" s="36">
        <v>2024</v>
      </c>
    </row>
    <row r="2293" spans="1:11" ht="15" customHeight="1" x14ac:dyDescent="0.3">
      <c r="A2293" s="37">
        <v>2288</v>
      </c>
      <c r="B2293" s="38" t="s">
        <v>313</v>
      </c>
      <c r="C2293" s="38" t="s">
        <v>4940</v>
      </c>
      <c r="D2293" s="38" t="s">
        <v>671</v>
      </c>
      <c r="E2293" s="38" t="s">
        <v>4941</v>
      </c>
      <c r="F2293" s="38" t="s">
        <v>4942</v>
      </c>
      <c r="G2293" s="39">
        <v>3619</v>
      </c>
      <c r="H2293" s="40">
        <v>5.0919999999999996</v>
      </c>
      <c r="I2293" s="37">
        <v>311800</v>
      </c>
      <c r="J2293" s="41" t="s">
        <v>1404</v>
      </c>
      <c r="K2293" s="42">
        <v>2024</v>
      </c>
    </row>
    <row r="2294" spans="1:11" ht="15" customHeight="1" x14ac:dyDescent="0.3">
      <c r="A2294" s="31">
        <v>2289</v>
      </c>
      <c r="B2294" s="32" t="s">
        <v>313</v>
      </c>
      <c r="C2294" s="32" t="s">
        <v>4943</v>
      </c>
      <c r="D2294" s="32" t="s">
        <v>4944</v>
      </c>
      <c r="E2294" s="32" t="s">
        <v>35</v>
      </c>
      <c r="F2294" s="32" t="s">
        <v>1560</v>
      </c>
      <c r="G2294" s="33">
        <v>6323</v>
      </c>
      <c r="H2294" s="34">
        <v>14.741</v>
      </c>
      <c r="I2294" s="31">
        <v>520800</v>
      </c>
      <c r="J2294" s="35" t="s">
        <v>1404</v>
      </c>
      <c r="K2294" s="36">
        <v>2024</v>
      </c>
    </row>
    <row r="2295" spans="1:11" ht="15" customHeight="1" x14ac:dyDescent="0.3">
      <c r="A2295" s="37">
        <v>2290</v>
      </c>
      <c r="B2295" s="38" t="s">
        <v>313</v>
      </c>
      <c r="C2295" s="38" t="s">
        <v>4945</v>
      </c>
      <c r="D2295" s="38" t="s">
        <v>4946</v>
      </c>
      <c r="E2295" s="38" t="s">
        <v>3293</v>
      </c>
      <c r="F2295" s="38" t="s">
        <v>517</v>
      </c>
      <c r="G2295" s="39">
        <v>2106</v>
      </c>
      <c r="H2295" s="40">
        <v>7.43</v>
      </c>
      <c r="I2295" s="37">
        <v>385800</v>
      </c>
      <c r="J2295" s="41" t="s">
        <v>1404</v>
      </c>
      <c r="K2295" s="42">
        <v>2024</v>
      </c>
    </row>
    <row r="2296" spans="1:11" ht="15" customHeight="1" x14ac:dyDescent="0.3">
      <c r="A2296" s="31">
        <v>2291</v>
      </c>
      <c r="B2296" s="32" t="s">
        <v>313</v>
      </c>
      <c r="C2296" s="32" t="s">
        <v>4947</v>
      </c>
      <c r="D2296" s="32" t="s">
        <v>4948</v>
      </c>
      <c r="E2296" s="32" t="s">
        <v>4949</v>
      </c>
      <c r="F2296" s="32" t="s">
        <v>312</v>
      </c>
      <c r="G2296" s="33">
        <v>231</v>
      </c>
      <c r="H2296" s="34">
        <v>4.6260000000000003</v>
      </c>
      <c r="I2296" s="31">
        <v>283800</v>
      </c>
      <c r="J2296" s="35" t="s">
        <v>1404</v>
      </c>
      <c r="K2296" s="36">
        <v>2024</v>
      </c>
    </row>
    <row r="2297" spans="1:11" ht="15" customHeight="1" x14ac:dyDescent="0.3">
      <c r="A2297" s="37">
        <v>2292</v>
      </c>
      <c r="B2297" s="38" t="s">
        <v>313</v>
      </c>
      <c r="C2297" s="38" t="s">
        <v>4931</v>
      </c>
      <c r="D2297" s="38" t="s">
        <v>4618</v>
      </c>
      <c r="E2297" s="38" t="s">
        <v>2820</v>
      </c>
      <c r="F2297" s="38" t="s">
        <v>689</v>
      </c>
      <c r="G2297" s="39">
        <v>4568</v>
      </c>
      <c r="H2297" s="40">
        <v>7.8479999999999999</v>
      </c>
      <c r="I2297" s="37">
        <v>356000</v>
      </c>
      <c r="J2297" s="41" t="s">
        <v>1404</v>
      </c>
      <c r="K2297" s="42">
        <v>2024</v>
      </c>
    </row>
    <row r="2298" spans="1:11" ht="15" customHeight="1" x14ac:dyDescent="0.3">
      <c r="A2298" s="31">
        <v>2293</v>
      </c>
      <c r="B2298" s="32" t="s">
        <v>313</v>
      </c>
      <c r="C2298" s="32" t="s">
        <v>4950</v>
      </c>
      <c r="D2298" s="32" t="s">
        <v>4951</v>
      </c>
      <c r="E2298" s="32" t="s">
        <v>4952</v>
      </c>
      <c r="F2298" s="32" t="s">
        <v>276</v>
      </c>
      <c r="G2298" s="33">
        <v>180</v>
      </c>
      <c r="H2298" s="34">
        <v>0.79400000000000004</v>
      </c>
      <c r="I2298" s="31">
        <v>171800</v>
      </c>
      <c r="J2298" s="35" t="s">
        <v>1404</v>
      </c>
      <c r="K2298" s="36">
        <v>2024</v>
      </c>
    </row>
    <row r="2299" spans="1:11" ht="15" customHeight="1" x14ac:dyDescent="0.3">
      <c r="A2299" s="37">
        <v>2294</v>
      </c>
      <c r="B2299" s="38" t="s">
        <v>313</v>
      </c>
      <c r="C2299" s="38" t="s">
        <v>4953</v>
      </c>
      <c r="D2299" s="38" t="s">
        <v>4954</v>
      </c>
      <c r="E2299" s="38" t="s">
        <v>4955</v>
      </c>
      <c r="F2299" s="38" t="s">
        <v>689</v>
      </c>
      <c r="G2299" s="39">
        <v>903.5</v>
      </c>
      <c r="H2299" s="40">
        <v>9.7509999999999994</v>
      </c>
      <c r="I2299" s="37">
        <v>385800</v>
      </c>
      <c r="J2299" s="41" t="s">
        <v>1404</v>
      </c>
      <c r="K2299" s="42">
        <v>2024</v>
      </c>
    </row>
    <row r="2300" spans="1:11" ht="15" customHeight="1" x14ac:dyDescent="0.3">
      <c r="A2300" s="31">
        <v>2295</v>
      </c>
      <c r="B2300" s="32" t="s">
        <v>4482</v>
      </c>
      <c r="C2300" s="32" t="s">
        <v>4956</v>
      </c>
      <c r="D2300" s="32" t="s">
        <v>4003</v>
      </c>
      <c r="E2300" s="32" t="s">
        <v>4957</v>
      </c>
      <c r="F2300" s="32" t="s">
        <v>287</v>
      </c>
      <c r="G2300" s="33">
        <v>4658.16</v>
      </c>
      <c r="H2300" s="34">
        <v>7.56</v>
      </c>
      <c r="I2300" s="31">
        <v>331800</v>
      </c>
      <c r="J2300" s="35" t="s">
        <v>1404</v>
      </c>
      <c r="K2300" s="36">
        <v>2024</v>
      </c>
    </row>
    <row r="2301" spans="1:11" ht="15" customHeight="1" x14ac:dyDescent="0.3">
      <c r="A2301" s="37">
        <v>2296</v>
      </c>
      <c r="B2301" s="38" t="s">
        <v>4482</v>
      </c>
      <c r="C2301" s="38" t="s">
        <v>4958</v>
      </c>
      <c r="D2301" s="38" t="s">
        <v>2846</v>
      </c>
      <c r="E2301" s="38" t="s">
        <v>4959</v>
      </c>
      <c r="F2301" s="38" t="s">
        <v>435</v>
      </c>
      <c r="G2301" s="39">
        <v>1035</v>
      </c>
      <c r="H2301" s="40">
        <v>1.833</v>
      </c>
      <c r="I2301" s="37">
        <v>169000</v>
      </c>
      <c r="J2301" s="41" t="s">
        <v>1404</v>
      </c>
      <c r="K2301" s="42">
        <v>2024</v>
      </c>
    </row>
    <row r="2302" spans="1:11" ht="15" customHeight="1" x14ac:dyDescent="0.3">
      <c r="A2302" s="31">
        <v>2297</v>
      </c>
      <c r="B2302" s="32" t="s">
        <v>4482</v>
      </c>
      <c r="C2302" s="32" t="s">
        <v>4960</v>
      </c>
      <c r="D2302" s="32" t="s">
        <v>2846</v>
      </c>
      <c r="E2302" s="32" t="s">
        <v>35</v>
      </c>
      <c r="F2302" s="32" t="s">
        <v>689</v>
      </c>
      <c r="G2302" s="33">
        <v>1020</v>
      </c>
      <c r="H2302" s="34">
        <v>3.335</v>
      </c>
      <c r="I2302" s="31">
        <v>311800</v>
      </c>
      <c r="J2302" s="35" t="s">
        <v>1404</v>
      </c>
      <c r="K2302" s="36">
        <v>2024</v>
      </c>
    </row>
    <row r="2303" spans="1:11" ht="15" customHeight="1" x14ac:dyDescent="0.3">
      <c r="A2303" s="37">
        <v>2298</v>
      </c>
      <c r="B2303" s="38" t="s">
        <v>4482</v>
      </c>
      <c r="C2303" s="38" t="s">
        <v>4961</v>
      </c>
      <c r="D2303" s="38" t="s">
        <v>3783</v>
      </c>
      <c r="E2303" s="38" t="s">
        <v>4962</v>
      </c>
      <c r="F2303" s="38" t="s">
        <v>316</v>
      </c>
      <c r="G2303" s="39">
        <v>340</v>
      </c>
      <c r="H2303" s="40">
        <v>3.609</v>
      </c>
      <c r="I2303" s="37">
        <v>283800</v>
      </c>
      <c r="J2303" s="41" t="s">
        <v>1404</v>
      </c>
      <c r="K2303" s="42">
        <v>2024</v>
      </c>
    </row>
    <row r="2304" spans="1:11" ht="15" customHeight="1" x14ac:dyDescent="0.3">
      <c r="A2304" s="31">
        <v>2299</v>
      </c>
      <c r="B2304" s="32" t="s">
        <v>4482</v>
      </c>
      <c r="C2304" s="32" t="s">
        <v>4963</v>
      </c>
      <c r="D2304" s="32" t="s">
        <v>2781</v>
      </c>
      <c r="E2304" s="32" t="s">
        <v>3904</v>
      </c>
      <c r="F2304" s="32" t="s">
        <v>276</v>
      </c>
      <c r="G2304" s="33">
        <v>625</v>
      </c>
      <c r="H2304" s="34">
        <v>1.411</v>
      </c>
      <c r="I2304" s="31">
        <v>199800</v>
      </c>
      <c r="J2304" s="35" t="s">
        <v>1404</v>
      </c>
      <c r="K2304" s="36">
        <v>2024</v>
      </c>
    </row>
    <row r="2305" spans="1:11" ht="15" customHeight="1" x14ac:dyDescent="0.3">
      <c r="A2305" s="37">
        <v>2300</v>
      </c>
      <c r="B2305" s="38" t="s">
        <v>4482</v>
      </c>
      <c r="C2305" s="38" t="s">
        <v>4964</v>
      </c>
      <c r="D2305" s="38" t="s">
        <v>4965</v>
      </c>
      <c r="E2305" s="38" t="s">
        <v>45</v>
      </c>
      <c r="F2305" s="38" t="s">
        <v>4966</v>
      </c>
      <c r="G2305" s="39">
        <v>520</v>
      </c>
      <c r="H2305" s="40">
        <v>3.7149999999999999</v>
      </c>
      <c r="I2305" s="37">
        <v>329000</v>
      </c>
      <c r="J2305" s="41" t="s">
        <v>1404</v>
      </c>
      <c r="K2305" s="42">
        <v>2024</v>
      </c>
    </row>
    <row r="2306" spans="1:11" ht="15" customHeight="1" x14ac:dyDescent="0.3">
      <c r="A2306" s="31">
        <v>2301</v>
      </c>
      <c r="B2306" s="32" t="s">
        <v>4482</v>
      </c>
      <c r="C2306" s="32" t="s">
        <v>4967</v>
      </c>
      <c r="D2306" s="32" t="s">
        <v>4968</v>
      </c>
      <c r="E2306" s="32" t="s">
        <v>3422</v>
      </c>
      <c r="F2306" s="32" t="s">
        <v>4761</v>
      </c>
      <c r="G2306" s="33">
        <v>1917</v>
      </c>
      <c r="H2306" s="34">
        <v>5</v>
      </c>
      <c r="I2306" s="31">
        <v>255800</v>
      </c>
      <c r="J2306" s="35" t="s">
        <v>1404</v>
      </c>
      <c r="K2306" s="36">
        <v>2024</v>
      </c>
    </row>
    <row r="2307" spans="1:11" ht="15" customHeight="1" x14ac:dyDescent="0.3">
      <c r="A2307" s="37">
        <v>2302</v>
      </c>
      <c r="B2307" s="38" t="s">
        <v>4482</v>
      </c>
      <c r="C2307" s="38" t="s">
        <v>4969</v>
      </c>
      <c r="D2307" s="38" t="s">
        <v>4970</v>
      </c>
      <c r="E2307" s="38" t="s">
        <v>37</v>
      </c>
      <c r="F2307" s="38" t="s">
        <v>312</v>
      </c>
      <c r="G2307" s="39">
        <v>1350</v>
      </c>
      <c r="H2307" s="40">
        <v>11.144</v>
      </c>
      <c r="I2307" s="37">
        <v>412800</v>
      </c>
      <c r="J2307" s="41" t="s">
        <v>1404</v>
      </c>
      <c r="K2307" s="42">
        <v>2024</v>
      </c>
    </row>
    <row r="2308" spans="1:11" ht="15" customHeight="1" x14ac:dyDescent="0.3">
      <c r="A2308" s="31">
        <v>2303</v>
      </c>
      <c r="B2308" s="32" t="s">
        <v>1059</v>
      </c>
      <c r="C2308" s="32" t="s">
        <v>4971</v>
      </c>
      <c r="D2308" s="32" t="s">
        <v>4972</v>
      </c>
      <c r="E2308" s="32" t="s">
        <v>3928</v>
      </c>
      <c r="F2308" s="32" t="s">
        <v>4343</v>
      </c>
      <c r="G2308" s="33">
        <v>322.7</v>
      </c>
      <c r="H2308" s="34">
        <v>3.27</v>
      </c>
      <c r="I2308" s="31">
        <v>199800</v>
      </c>
      <c r="J2308" s="35" t="s">
        <v>1514</v>
      </c>
      <c r="K2308" s="36">
        <v>2024</v>
      </c>
    </row>
    <row r="2309" spans="1:11" ht="15" customHeight="1" x14ac:dyDescent="0.3">
      <c r="A2309" s="37">
        <v>2304</v>
      </c>
      <c r="B2309" s="38" t="s">
        <v>1059</v>
      </c>
      <c r="C2309" s="38" t="s">
        <v>4973</v>
      </c>
      <c r="D2309" s="38" t="s">
        <v>3579</v>
      </c>
      <c r="E2309" s="38" t="s">
        <v>61</v>
      </c>
      <c r="F2309" s="38" t="s">
        <v>287</v>
      </c>
      <c r="G2309" s="39">
        <v>4071.6</v>
      </c>
      <c r="H2309" s="40">
        <v>4.2119999999999997</v>
      </c>
      <c r="I2309" s="37">
        <v>225000</v>
      </c>
      <c r="J2309" s="41" t="s">
        <v>1514</v>
      </c>
      <c r="K2309" s="42">
        <v>2024</v>
      </c>
    </row>
    <row r="2310" spans="1:11" ht="15" customHeight="1" x14ac:dyDescent="0.3">
      <c r="A2310" s="31">
        <v>2305</v>
      </c>
      <c r="B2310" s="32" t="s">
        <v>1059</v>
      </c>
      <c r="C2310" s="32" t="s">
        <v>4974</v>
      </c>
      <c r="D2310" s="32" t="s">
        <v>4975</v>
      </c>
      <c r="E2310" s="32" t="s">
        <v>3206</v>
      </c>
      <c r="F2310" s="32" t="s">
        <v>316</v>
      </c>
      <c r="G2310" s="33">
        <v>787</v>
      </c>
      <c r="H2310" s="34">
        <v>2.6880000000000002</v>
      </c>
      <c r="I2310" s="31">
        <v>199800</v>
      </c>
      <c r="J2310" s="35" t="s">
        <v>1514</v>
      </c>
      <c r="K2310" s="36">
        <v>2024</v>
      </c>
    </row>
    <row r="2311" spans="1:11" ht="15" customHeight="1" x14ac:dyDescent="0.3">
      <c r="A2311" s="37">
        <v>2306</v>
      </c>
      <c r="B2311" s="38" t="s">
        <v>1059</v>
      </c>
      <c r="C2311" s="38" t="s">
        <v>4976</v>
      </c>
      <c r="D2311" s="38" t="s">
        <v>4977</v>
      </c>
      <c r="E2311" s="38" t="s">
        <v>4978</v>
      </c>
      <c r="F2311" s="38" t="s">
        <v>4979</v>
      </c>
      <c r="G2311" s="39">
        <v>3560</v>
      </c>
      <c r="H2311" s="40">
        <v>13.138999999999999</v>
      </c>
      <c r="I2311" s="37">
        <v>385800</v>
      </c>
      <c r="J2311" s="41" t="s">
        <v>1514</v>
      </c>
      <c r="K2311" s="42">
        <v>2024</v>
      </c>
    </row>
    <row r="2312" spans="1:11" ht="15" customHeight="1" x14ac:dyDescent="0.3">
      <c r="A2312" s="31">
        <v>2307</v>
      </c>
      <c r="B2312" s="32" t="s">
        <v>1059</v>
      </c>
      <c r="C2312" s="32" t="s">
        <v>4980</v>
      </c>
      <c r="D2312" s="32" t="s">
        <v>4981</v>
      </c>
      <c r="E2312" s="32" t="s">
        <v>4982</v>
      </c>
      <c r="F2312" s="32" t="s">
        <v>316</v>
      </c>
      <c r="G2312" s="33">
        <v>930</v>
      </c>
      <c r="H2312" s="34">
        <v>0.97199999999999998</v>
      </c>
      <c r="I2312" s="31">
        <v>145800</v>
      </c>
      <c r="J2312" s="35" t="s">
        <v>1514</v>
      </c>
      <c r="K2312" s="36">
        <v>2024</v>
      </c>
    </row>
    <row r="2313" spans="1:11" ht="15" customHeight="1" x14ac:dyDescent="0.3">
      <c r="A2313" s="37">
        <v>2308</v>
      </c>
      <c r="B2313" s="38" t="s">
        <v>1059</v>
      </c>
      <c r="C2313" s="38" t="s">
        <v>4983</v>
      </c>
      <c r="D2313" s="38" t="s">
        <v>3493</v>
      </c>
      <c r="E2313" s="38" t="s">
        <v>4984</v>
      </c>
      <c r="F2313" s="38" t="s">
        <v>316</v>
      </c>
      <c r="G2313" s="39">
        <v>558</v>
      </c>
      <c r="H2313" s="40">
        <v>2.6269999999999998</v>
      </c>
      <c r="I2313" s="37">
        <v>199800</v>
      </c>
      <c r="J2313" s="41" t="s">
        <v>1514</v>
      </c>
      <c r="K2313" s="42">
        <v>2024</v>
      </c>
    </row>
    <row r="2314" spans="1:11" ht="15" customHeight="1" x14ac:dyDescent="0.3">
      <c r="A2314" s="31">
        <v>2309</v>
      </c>
      <c r="B2314" s="32" t="s">
        <v>313</v>
      </c>
      <c r="C2314" s="32" t="s">
        <v>4985</v>
      </c>
      <c r="D2314" s="32" t="s">
        <v>4649</v>
      </c>
      <c r="E2314" s="32" t="s">
        <v>35</v>
      </c>
      <c r="F2314" s="32" t="s">
        <v>4986</v>
      </c>
      <c r="G2314" s="33">
        <v>4680</v>
      </c>
      <c r="H2314" s="34">
        <v>2.1269999999999998</v>
      </c>
      <c r="I2314" s="31">
        <v>331800</v>
      </c>
      <c r="J2314" s="35" t="s">
        <v>1514</v>
      </c>
      <c r="K2314" s="36">
        <v>2024</v>
      </c>
    </row>
    <row r="2315" spans="1:11" ht="15" customHeight="1" x14ac:dyDescent="0.3">
      <c r="A2315" s="37">
        <v>2310</v>
      </c>
      <c r="B2315" s="38" t="s">
        <v>313</v>
      </c>
      <c r="C2315" s="38" t="s">
        <v>4987</v>
      </c>
      <c r="D2315" s="38" t="s">
        <v>2846</v>
      </c>
      <c r="E2315" s="38" t="s">
        <v>35</v>
      </c>
      <c r="F2315" s="38" t="s">
        <v>276</v>
      </c>
      <c r="G2315" s="39">
        <v>300</v>
      </c>
      <c r="H2315" s="40">
        <v>1.169</v>
      </c>
      <c r="I2315" s="37">
        <v>227800</v>
      </c>
      <c r="J2315" s="41" t="s">
        <v>1514</v>
      </c>
      <c r="K2315" s="42">
        <v>2024</v>
      </c>
    </row>
    <row r="2316" spans="1:11" ht="15" customHeight="1" x14ac:dyDescent="0.3">
      <c r="A2316" s="31">
        <v>2311</v>
      </c>
      <c r="B2316" s="32" t="s">
        <v>313</v>
      </c>
      <c r="C2316" s="32" t="s">
        <v>4988</v>
      </c>
      <c r="D2316" s="32" t="s">
        <v>4989</v>
      </c>
      <c r="E2316" s="32" t="s">
        <v>35</v>
      </c>
      <c r="F2316" s="32" t="s">
        <v>4897</v>
      </c>
      <c r="G2316" s="33">
        <v>807</v>
      </c>
      <c r="H2316" s="34">
        <v>2.101</v>
      </c>
      <c r="I2316" s="31">
        <v>283800</v>
      </c>
      <c r="J2316" s="35" t="s">
        <v>1514</v>
      </c>
      <c r="K2316" s="36">
        <v>2024</v>
      </c>
    </row>
    <row r="2317" spans="1:11" ht="15" customHeight="1" x14ac:dyDescent="0.3">
      <c r="A2317" s="37">
        <v>2312</v>
      </c>
      <c r="B2317" s="38" t="s">
        <v>313</v>
      </c>
      <c r="C2317" s="38" t="s">
        <v>4990</v>
      </c>
      <c r="D2317" s="38" t="s">
        <v>4991</v>
      </c>
      <c r="E2317" s="38" t="s">
        <v>4992</v>
      </c>
      <c r="F2317" s="38" t="s">
        <v>4897</v>
      </c>
      <c r="G2317" s="39">
        <v>5312.8</v>
      </c>
      <c r="H2317" s="40">
        <v>11.725</v>
      </c>
      <c r="I2317" s="37">
        <v>383000</v>
      </c>
      <c r="J2317" s="41" t="s">
        <v>1514</v>
      </c>
      <c r="K2317" s="42">
        <v>2024</v>
      </c>
    </row>
    <row r="2318" spans="1:11" ht="15" customHeight="1" x14ac:dyDescent="0.3">
      <c r="A2318" s="31">
        <v>2313</v>
      </c>
      <c r="B2318" s="32" t="s">
        <v>313</v>
      </c>
      <c r="C2318" s="32" t="s">
        <v>4993</v>
      </c>
      <c r="D2318" s="32" t="s">
        <v>40</v>
      </c>
      <c r="E2318" s="32" t="s">
        <v>35</v>
      </c>
      <c r="F2318" s="32" t="s">
        <v>316</v>
      </c>
      <c r="G2318" s="33">
        <v>6200</v>
      </c>
      <c r="H2318" s="34">
        <v>3.8420000000000001</v>
      </c>
      <c r="I2318" s="31">
        <v>3850000</v>
      </c>
      <c r="J2318" s="35" t="s">
        <v>1514</v>
      </c>
      <c r="K2318" s="36">
        <v>2024</v>
      </c>
    </row>
    <row r="2319" spans="1:11" ht="15" customHeight="1" x14ac:dyDescent="0.3">
      <c r="A2319" s="37">
        <v>2314</v>
      </c>
      <c r="B2319" s="38" t="s">
        <v>313</v>
      </c>
      <c r="C2319" s="38" t="s">
        <v>4994</v>
      </c>
      <c r="D2319" s="38" t="s">
        <v>4353</v>
      </c>
      <c r="E2319" s="38" t="s">
        <v>35</v>
      </c>
      <c r="F2319" s="38" t="s">
        <v>4022</v>
      </c>
      <c r="G2319" s="39">
        <v>111</v>
      </c>
      <c r="H2319" s="40">
        <v>0.36</v>
      </c>
      <c r="I2319" s="37">
        <v>199800</v>
      </c>
      <c r="J2319" s="41" t="s">
        <v>1514</v>
      </c>
      <c r="K2319" s="42">
        <v>2024</v>
      </c>
    </row>
    <row r="2320" spans="1:11" ht="15" customHeight="1" x14ac:dyDescent="0.3">
      <c r="A2320" s="31">
        <v>2315</v>
      </c>
      <c r="B2320" s="32" t="s">
        <v>313</v>
      </c>
      <c r="C2320" s="32" t="s">
        <v>4995</v>
      </c>
      <c r="D2320" s="32" t="s">
        <v>4996</v>
      </c>
      <c r="E2320" s="32" t="s">
        <v>4997</v>
      </c>
      <c r="F2320" s="32" t="s">
        <v>287</v>
      </c>
      <c r="G2320" s="33">
        <v>484</v>
      </c>
      <c r="H2320" s="34">
        <v>2.3039999999999998</v>
      </c>
      <c r="I2320" s="31">
        <v>169000</v>
      </c>
      <c r="J2320" s="35" t="s">
        <v>1514</v>
      </c>
      <c r="K2320" s="36">
        <v>2024</v>
      </c>
    </row>
    <row r="2321" spans="1:11" ht="15" customHeight="1" x14ac:dyDescent="0.3">
      <c r="A2321" s="37">
        <v>2316</v>
      </c>
      <c r="B2321" s="38" t="s">
        <v>4482</v>
      </c>
      <c r="C2321" s="38" t="s">
        <v>4998</v>
      </c>
      <c r="D2321" s="38" t="s">
        <v>2846</v>
      </c>
      <c r="E2321" s="38" t="s">
        <v>35</v>
      </c>
      <c r="F2321" s="38" t="s">
        <v>689</v>
      </c>
      <c r="G2321" s="39">
        <v>1041</v>
      </c>
      <c r="H2321" s="40">
        <v>2.6520000000000001</v>
      </c>
      <c r="I2321" s="37">
        <v>331800</v>
      </c>
      <c r="J2321" s="41" t="s">
        <v>1514</v>
      </c>
      <c r="K2321" s="42">
        <v>2024</v>
      </c>
    </row>
    <row r="2322" spans="1:11" ht="15" customHeight="1" x14ac:dyDescent="0.3">
      <c r="A2322" s="31">
        <v>2317</v>
      </c>
      <c r="B2322" s="32" t="s">
        <v>4482</v>
      </c>
      <c r="C2322" s="32" t="s">
        <v>4999</v>
      </c>
      <c r="D2322" s="32" t="s">
        <v>1574</v>
      </c>
      <c r="E2322" s="32" t="s">
        <v>35</v>
      </c>
      <c r="F2322" s="32" t="s">
        <v>373</v>
      </c>
      <c r="G2322" s="33">
        <v>3175</v>
      </c>
      <c r="H2322" s="34">
        <v>3.3</v>
      </c>
      <c r="I2322" s="31">
        <v>358800</v>
      </c>
      <c r="J2322" s="35" t="s">
        <v>1514</v>
      </c>
      <c r="K2322" s="36">
        <v>2024</v>
      </c>
    </row>
    <row r="2323" spans="1:11" ht="15" customHeight="1" x14ac:dyDescent="0.3">
      <c r="A2323" s="37">
        <v>2318</v>
      </c>
      <c r="B2323" s="38" t="s">
        <v>4482</v>
      </c>
      <c r="C2323" s="38" t="s">
        <v>5000</v>
      </c>
      <c r="D2323" s="38" t="s">
        <v>5001</v>
      </c>
      <c r="E2323" s="38" t="s">
        <v>964</v>
      </c>
      <c r="F2323" s="38" t="s">
        <v>4343</v>
      </c>
      <c r="G2323" s="39">
        <v>1102</v>
      </c>
      <c r="H2323" s="40">
        <v>7.1609999999999996</v>
      </c>
      <c r="I2323" s="37">
        <v>311800</v>
      </c>
      <c r="J2323" s="41" t="s">
        <v>1514</v>
      </c>
      <c r="K2323" s="42">
        <v>2024</v>
      </c>
    </row>
    <row r="2324" spans="1:11" ht="15" customHeight="1" x14ac:dyDescent="0.3">
      <c r="A2324" s="31">
        <v>2319</v>
      </c>
      <c r="B2324" s="32" t="s">
        <v>4482</v>
      </c>
      <c r="C2324" s="32" t="s">
        <v>5002</v>
      </c>
      <c r="D2324" s="32" t="s">
        <v>5003</v>
      </c>
      <c r="E2324" s="32" t="s">
        <v>5004</v>
      </c>
      <c r="F2324" s="32" t="s">
        <v>4343</v>
      </c>
      <c r="G2324" s="33">
        <v>430</v>
      </c>
      <c r="H2324" s="34">
        <v>5.5869999999999997</v>
      </c>
      <c r="I2324" s="31">
        <v>283800</v>
      </c>
      <c r="J2324" s="35" t="s">
        <v>1514</v>
      </c>
      <c r="K2324" s="36">
        <v>2024</v>
      </c>
    </row>
    <row r="2325" spans="1:11" ht="15" customHeight="1" x14ac:dyDescent="0.3">
      <c r="A2325" s="37">
        <v>2320</v>
      </c>
      <c r="B2325" s="38" t="s">
        <v>4482</v>
      </c>
      <c r="C2325" s="38" t="s">
        <v>5005</v>
      </c>
      <c r="D2325" s="38" t="s">
        <v>5006</v>
      </c>
      <c r="E2325" s="38" t="s">
        <v>4860</v>
      </c>
      <c r="F2325" s="38" t="s">
        <v>276</v>
      </c>
      <c r="G2325" s="39">
        <v>387200</v>
      </c>
      <c r="H2325" s="40">
        <v>0.91200000000000003</v>
      </c>
      <c r="I2325" s="37">
        <v>143000</v>
      </c>
      <c r="J2325" s="41" t="s">
        <v>1514</v>
      </c>
      <c r="K2325" s="42">
        <v>2024</v>
      </c>
    </row>
    <row r="2326" spans="1:11" ht="15" customHeight="1" x14ac:dyDescent="0.3">
      <c r="A2326" s="31">
        <v>2321</v>
      </c>
      <c r="B2326" s="32" t="s">
        <v>4482</v>
      </c>
      <c r="C2326" s="32" t="s">
        <v>5007</v>
      </c>
      <c r="D2326" s="32" t="s">
        <v>5008</v>
      </c>
      <c r="E2326" s="32" t="s">
        <v>5009</v>
      </c>
      <c r="F2326" s="32" t="s">
        <v>658</v>
      </c>
      <c r="G2326" s="33">
        <v>754</v>
      </c>
      <c r="H2326" s="34">
        <v>4.8600000000000003</v>
      </c>
      <c r="I2326" s="31">
        <v>309000</v>
      </c>
      <c r="J2326" s="35" t="s">
        <v>1514</v>
      </c>
      <c r="K2326" s="36">
        <v>2024</v>
      </c>
    </row>
    <row r="2327" spans="1:11" ht="15" customHeight="1" x14ac:dyDescent="0.3">
      <c r="A2327" s="37">
        <v>2322</v>
      </c>
      <c r="B2327" s="38" t="s">
        <v>4482</v>
      </c>
      <c r="C2327" s="38" t="s">
        <v>5010</v>
      </c>
      <c r="D2327" s="38" t="s">
        <v>5011</v>
      </c>
      <c r="E2327" s="38" t="s">
        <v>5012</v>
      </c>
      <c r="F2327" s="38" t="s">
        <v>4986</v>
      </c>
      <c r="G2327" s="39">
        <v>828</v>
      </c>
      <c r="H2327" s="40">
        <v>1.2</v>
      </c>
      <c r="I2327" s="37">
        <v>197000</v>
      </c>
      <c r="J2327" s="41" t="s">
        <v>1514</v>
      </c>
      <c r="K2327" s="42">
        <v>2024</v>
      </c>
    </row>
    <row r="2328" spans="1:11" ht="15" customHeight="1" x14ac:dyDescent="0.3">
      <c r="A2328" s="31">
        <v>2323</v>
      </c>
      <c r="B2328" s="32" t="s">
        <v>4482</v>
      </c>
      <c r="C2328" s="32" t="s">
        <v>5013</v>
      </c>
      <c r="D2328" s="32" t="s">
        <v>5014</v>
      </c>
      <c r="E2328" s="32" t="s">
        <v>5015</v>
      </c>
      <c r="F2328" s="32" t="s">
        <v>4343</v>
      </c>
      <c r="G2328" s="33">
        <v>1931</v>
      </c>
      <c r="H2328" s="34">
        <v>4.5209999999999999</v>
      </c>
      <c r="I2328" s="31">
        <v>255800</v>
      </c>
      <c r="J2328" s="35" t="s">
        <v>1514</v>
      </c>
      <c r="K2328" s="36">
        <v>2024</v>
      </c>
    </row>
    <row r="2329" spans="1:11" ht="15" customHeight="1" x14ac:dyDescent="0.3">
      <c r="A2329" s="37">
        <v>2324</v>
      </c>
      <c r="B2329" s="38" t="s">
        <v>4482</v>
      </c>
      <c r="C2329" s="38" t="s">
        <v>5016</v>
      </c>
      <c r="D2329" s="38" t="s">
        <v>5017</v>
      </c>
      <c r="E2329" s="38" t="s">
        <v>35</v>
      </c>
      <c r="F2329" s="38" t="s">
        <v>5018</v>
      </c>
      <c r="G2329" s="39">
        <v>1496</v>
      </c>
      <c r="H2329" s="40">
        <v>8.7799999999999994</v>
      </c>
      <c r="I2329" s="37">
        <v>385800</v>
      </c>
      <c r="J2329" s="41" t="s">
        <v>1514</v>
      </c>
      <c r="K2329" s="42">
        <v>2024</v>
      </c>
    </row>
    <row r="2330" spans="1:11" ht="15" customHeight="1" x14ac:dyDescent="0.3">
      <c r="A2330" s="31">
        <v>2325</v>
      </c>
      <c r="B2330" s="32" t="s">
        <v>4482</v>
      </c>
      <c r="C2330" s="32" t="s">
        <v>5019</v>
      </c>
      <c r="D2330" s="32" t="s">
        <v>2022</v>
      </c>
      <c r="E2330" s="32" t="s">
        <v>37</v>
      </c>
      <c r="F2330" s="32" t="s">
        <v>276</v>
      </c>
      <c r="G2330" s="33">
        <v>2930</v>
      </c>
      <c r="H2330" s="34">
        <v>8.43</v>
      </c>
      <c r="I2330" s="31">
        <v>385800</v>
      </c>
      <c r="J2330" s="35" t="s">
        <v>1514</v>
      </c>
      <c r="K2330" s="36">
        <v>2024</v>
      </c>
    </row>
    <row r="2331" spans="1:11" ht="15" customHeight="1" x14ac:dyDescent="0.3">
      <c r="A2331" s="37">
        <v>2326</v>
      </c>
      <c r="B2331" s="38" t="s">
        <v>4332</v>
      </c>
      <c r="C2331" s="38" t="s">
        <v>5020</v>
      </c>
      <c r="D2331" s="38" t="s">
        <v>4334</v>
      </c>
      <c r="E2331" s="38" t="s">
        <v>35</v>
      </c>
      <c r="F2331" s="38" t="s">
        <v>4335</v>
      </c>
      <c r="G2331" s="39">
        <v>237</v>
      </c>
      <c r="H2331" s="40">
        <v>0.67200000000000004</v>
      </c>
      <c r="I2331" s="37">
        <v>145800</v>
      </c>
      <c r="J2331" s="41" t="s">
        <v>78</v>
      </c>
      <c r="K2331" s="42">
        <v>2025</v>
      </c>
    </row>
    <row r="2332" spans="1:11" ht="15" customHeight="1" x14ac:dyDescent="0.3">
      <c r="A2332" s="31">
        <v>2327</v>
      </c>
      <c r="B2332" s="32" t="s">
        <v>4332</v>
      </c>
      <c r="C2332" s="32" t="s">
        <v>4333</v>
      </c>
      <c r="D2332" s="32" t="s">
        <v>52</v>
      </c>
      <c r="E2332" s="32" t="s">
        <v>4337</v>
      </c>
      <c r="F2332" s="32" t="s">
        <v>4335</v>
      </c>
      <c r="G2332" s="33">
        <v>278</v>
      </c>
      <c r="H2332" s="34">
        <v>0.56200000000000006</v>
      </c>
      <c r="I2332" s="31">
        <v>145800</v>
      </c>
      <c r="J2332" s="35" t="s">
        <v>78</v>
      </c>
      <c r="K2332" s="36">
        <v>2025</v>
      </c>
    </row>
    <row r="2333" spans="1:11" ht="15" customHeight="1" x14ac:dyDescent="0.3">
      <c r="A2333" s="37">
        <v>2328</v>
      </c>
      <c r="B2333" s="38" t="s">
        <v>4332</v>
      </c>
      <c r="C2333" s="38" t="s">
        <v>4336</v>
      </c>
      <c r="D2333" s="38" t="s">
        <v>3704</v>
      </c>
      <c r="E2333" s="38" t="s">
        <v>35</v>
      </c>
      <c r="F2333" s="38" t="s">
        <v>4269</v>
      </c>
      <c r="G2333" s="39">
        <v>2105</v>
      </c>
      <c r="H2333" s="40">
        <v>0.79900000000000004</v>
      </c>
      <c r="I2333" s="37">
        <v>255800</v>
      </c>
      <c r="J2333" s="41" t="s">
        <v>78</v>
      </c>
      <c r="K2333" s="42">
        <v>2025</v>
      </c>
    </row>
    <row r="2334" spans="1:11" ht="15" customHeight="1" x14ac:dyDescent="0.3">
      <c r="A2334" s="31">
        <v>2329</v>
      </c>
      <c r="B2334" s="32" t="s">
        <v>4332</v>
      </c>
      <c r="C2334" s="32" t="s">
        <v>4338</v>
      </c>
      <c r="D2334" s="32" t="s">
        <v>4340</v>
      </c>
      <c r="E2334" s="32" t="s">
        <v>35</v>
      </c>
      <c r="F2334" s="32" t="s">
        <v>741</v>
      </c>
      <c r="G2334" s="33">
        <v>178</v>
      </c>
      <c r="H2334" s="34">
        <v>0.62</v>
      </c>
      <c r="I2334" s="31">
        <v>145800</v>
      </c>
      <c r="J2334" s="35" t="s">
        <v>78</v>
      </c>
      <c r="K2334" s="36">
        <v>2025</v>
      </c>
    </row>
    <row r="2335" spans="1:11" ht="15" customHeight="1" x14ac:dyDescent="0.3">
      <c r="A2335" s="37">
        <v>2330</v>
      </c>
      <c r="B2335" s="38" t="s">
        <v>5021</v>
      </c>
      <c r="C2335" s="38" t="s">
        <v>5022</v>
      </c>
      <c r="D2335" s="38" t="s">
        <v>413</v>
      </c>
      <c r="E2335" s="38" t="s">
        <v>35</v>
      </c>
      <c r="F2335" s="38" t="s">
        <v>5023</v>
      </c>
      <c r="G2335" s="39">
        <v>640</v>
      </c>
      <c r="H2335" s="40">
        <v>1.7150000000000001</v>
      </c>
      <c r="I2335" s="37">
        <v>227800</v>
      </c>
      <c r="J2335" s="41" t="s">
        <v>78</v>
      </c>
      <c r="K2335" s="42">
        <v>2025</v>
      </c>
    </row>
    <row r="2336" spans="1:11" ht="15" customHeight="1" x14ac:dyDescent="0.3">
      <c r="A2336" s="31">
        <v>2331</v>
      </c>
      <c r="B2336" s="32" t="s">
        <v>5021</v>
      </c>
      <c r="C2336" s="32" t="s">
        <v>5024</v>
      </c>
      <c r="D2336" s="32" t="s">
        <v>371</v>
      </c>
      <c r="E2336" s="32" t="s">
        <v>4337</v>
      </c>
      <c r="F2336" s="32" t="s">
        <v>3099</v>
      </c>
      <c r="G2336" s="33">
        <v>105</v>
      </c>
      <c r="H2336" s="34">
        <v>1.264</v>
      </c>
      <c r="I2336" s="31">
        <v>255800</v>
      </c>
      <c r="J2336" s="35" t="s">
        <v>78</v>
      </c>
      <c r="K2336" s="36">
        <v>2025</v>
      </c>
    </row>
    <row r="2337" spans="1:11" ht="15" customHeight="1" x14ac:dyDescent="0.3">
      <c r="A2337" s="37">
        <v>2332</v>
      </c>
      <c r="B2337" s="38" t="s">
        <v>5021</v>
      </c>
      <c r="C2337" s="38" t="s">
        <v>5025</v>
      </c>
      <c r="D2337" s="38" t="s">
        <v>5026</v>
      </c>
      <c r="E2337" s="38" t="s">
        <v>35</v>
      </c>
      <c r="F2337" s="38" t="s">
        <v>5027</v>
      </c>
      <c r="G2337" s="39">
        <v>217</v>
      </c>
      <c r="H2337" s="40">
        <v>0.99099999999999999</v>
      </c>
      <c r="I2337" s="37">
        <v>199800</v>
      </c>
      <c r="J2337" s="41" t="s">
        <v>78</v>
      </c>
      <c r="K2337" s="42">
        <v>2025</v>
      </c>
    </row>
    <row r="2338" spans="1:11" ht="15" customHeight="1" x14ac:dyDescent="0.3">
      <c r="A2338" s="31">
        <v>2333</v>
      </c>
      <c r="B2338" s="32" t="s">
        <v>5021</v>
      </c>
      <c r="C2338" s="32" t="s">
        <v>5028</v>
      </c>
      <c r="D2338" s="32" t="s">
        <v>4858</v>
      </c>
      <c r="E2338" s="32" t="s">
        <v>5029</v>
      </c>
      <c r="F2338" s="32" t="s">
        <v>4897</v>
      </c>
      <c r="G2338" s="33">
        <v>2957.6089999999999</v>
      </c>
      <c r="H2338" s="34">
        <v>6.5179999999999998</v>
      </c>
      <c r="I2338" s="31">
        <v>309000</v>
      </c>
      <c r="J2338" s="35" t="s">
        <v>78</v>
      </c>
      <c r="K2338" s="36">
        <v>2025</v>
      </c>
    </row>
    <row r="2339" spans="1:11" ht="15" customHeight="1" x14ac:dyDescent="0.3">
      <c r="A2339" s="37">
        <v>2334</v>
      </c>
      <c r="B2339" s="38" t="s">
        <v>5021</v>
      </c>
      <c r="C2339" s="38" t="s">
        <v>5030</v>
      </c>
      <c r="D2339" s="38" t="s">
        <v>5031</v>
      </c>
      <c r="E2339" s="38" t="s">
        <v>5032</v>
      </c>
      <c r="F2339" s="38" t="s">
        <v>5033</v>
      </c>
      <c r="G2339" s="39">
        <v>3690</v>
      </c>
      <c r="H2339" s="40">
        <v>9.24</v>
      </c>
      <c r="I2339" s="37">
        <v>358800</v>
      </c>
      <c r="J2339" s="41" t="s">
        <v>78</v>
      </c>
      <c r="K2339" s="42">
        <v>2025</v>
      </c>
    </row>
    <row r="2340" spans="1:11" ht="15" customHeight="1" x14ac:dyDescent="0.3">
      <c r="A2340" s="31">
        <v>2335</v>
      </c>
      <c r="B2340" s="32" t="s">
        <v>5021</v>
      </c>
      <c r="C2340" s="32" t="s">
        <v>5034</v>
      </c>
      <c r="D2340" s="32" t="s">
        <v>5035</v>
      </c>
      <c r="E2340" s="32" t="s">
        <v>1387</v>
      </c>
      <c r="F2340" s="32" t="s">
        <v>395</v>
      </c>
      <c r="G2340" s="33">
        <v>1842.55</v>
      </c>
      <c r="H2340" s="34">
        <v>12.48</v>
      </c>
      <c r="I2340" s="31">
        <v>383000</v>
      </c>
      <c r="J2340" s="35" t="s">
        <v>78</v>
      </c>
      <c r="K2340" s="36">
        <v>2025</v>
      </c>
    </row>
    <row r="2341" spans="1:11" ht="15" customHeight="1" x14ac:dyDescent="0.3">
      <c r="A2341" s="37">
        <v>2336</v>
      </c>
      <c r="B2341" s="38" t="s">
        <v>5036</v>
      </c>
      <c r="C2341" s="38" t="s">
        <v>5037</v>
      </c>
      <c r="D2341" s="38" t="s">
        <v>5038</v>
      </c>
      <c r="E2341" s="38" t="s">
        <v>5039</v>
      </c>
      <c r="F2341" s="38" t="s">
        <v>5033</v>
      </c>
      <c r="G2341" s="39">
        <v>4724</v>
      </c>
      <c r="H2341" s="40">
        <v>9.0719999999999992</v>
      </c>
      <c r="I2341" s="37">
        <v>383000</v>
      </c>
      <c r="J2341" s="41" t="s">
        <v>78</v>
      </c>
      <c r="K2341" s="42">
        <v>2025</v>
      </c>
    </row>
    <row r="2342" spans="1:11" ht="15" customHeight="1" x14ac:dyDescent="0.3">
      <c r="A2342" s="31">
        <v>2337</v>
      </c>
      <c r="B2342" s="32" t="s">
        <v>5036</v>
      </c>
      <c r="C2342" s="32" t="s">
        <v>5040</v>
      </c>
      <c r="D2342" s="32" t="s">
        <v>5041</v>
      </c>
      <c r="E2342" s="32" t="s">
        <v>5042</v>
      </c>
      <c r="F2342" s="32" t="s">
        <v>5023</v>
      </c>
      <c r="G2342" s="33">
        <v>191</v>
      </c>
      <c r="H2342" s="34">
        <v>0.47299999999999998</v>
      </c>
      <c r="I2342" s="31">
        <v>145800</v>
      </c>
      <c r="J2342" s="35" t="s">
        <v>78</v>
      </c>
      <c r="K2342" s="36">
        <v>2025</v>
      </c>
    </row>
    <row r="2343" spans="1:11" ht="15" customHeight="1" x14ac:dyDescent="0.3">
      <c r="A2343" s="37">
        <v>2338</v>
      </c>
      <c r="B2343" s="38" t="s">
        <v>5036</v>
      </c>
      <c r="C2343" s="38" t="s">
        <v>5043</v>
      </c>
      <c r="D2343" s="38" t="s">
        <v>5044</v>
      </c>
      <c r="E2343" s="38" t="s">
        <v>5045</v>
      </c>
      <c r="F2343" s="38" t="s">
        <v>4058</v>
      </c>
      <c r="G2343" s="39">
        <v>7000</v>
      </c>
      <c r="H2343" s="40">
        <v>2.31</v>
      </c>
      <c r="I2343" s="37">
        <v>227800</v>
      </c>
      <c r="J2343" s="41" t="s">
        <v>78</v>
      </c>
      <c r="K2343" s="42">
        <v>2025</v>
      </c>
    </row>
    <row r="2344" spans="1:11" ht="15" customHeight="1" x14ac:dyDescent="0.3">
      <c r="A2344" s="31">
        <v>2339</v>
      </c>
      <c r="B2344" s="32" t="s">
        <v>5036</v>
      </c>
      <c r="C2344" s="32" t="s">
        <v>5046</v>
      </c>
      <c r="D2344" s="32" t="s">
        <v>5047</v>
      </c>
      <c r="E2344" s="32" t="s">
        <v>5048</v>
      </c>
      <c r="F2344" s="32" t="s">
        <v>4343</v>
      </c>
      <c r="G2344" s="33">
        <v>1977.7560000000001</v>
      </c>
      <c r="H2344" s="34">
        <v>3.6819999999999999</v>
      </c>
      <c r="I2344" s="31">
        <v>197000</v>
      </c>
      <c r="J2344" s="35" t="s">
        <v>78</v>
      </c>
      <c r="K2344" s="36">
        <v>2025</v>
      </c>
    </row>
    <row r="2345" spans="1:11" ht="15" customHeight="1" x14ac:dyDescent="0.3">
      <c r="A2345" s="37">
        <v>2340</v>
      </c>
      <c r="B2345" s="38" t="s">
        <v>5036</v>
      </c>
      <c r="C2345" s="38" t="s">
        <v>5049</v>
      </c>
      <c r="D2345" s="38" t="s">
        <v>4334</v>
      </c>
      <c r="E2345" s="38" t="s">
        <v>35</v>
      </c>
      <c r="F2345" s="38" t="s">
        <v>4335</v>
      </c>
      <c r="G2345" s="39">
        <v>184</v>
      </c>
      <c r="H2345" s="40">
        <v>0.28799999999999998</v>
      </c>
      <c r="I2345" s="37">
        <v>145800</v>
      </c>
      <c r="J2345" s="41" t="s">
        <v>78</v>
      </c>
      <c r="K2345" s="42">
        <v>2025</v>
      </c>
    </row>
    <row r="2346" spans="1:11" ht="15" customHeight="1" x14ac:dyDescent="0.3">
      <c r="A2346" s="31">
        <v>2341</v>
      </c>
      <c r="B2346" s="32" t="s">
        <v>5036</v>
      </c>
      <c r="C2346" s="32" t="s">
        <v>5050</v>
      </c>
      <c r="D2346" s="32" t="s">
        <v>5051</v>
      </c>
      <c r="E2346" s="32" t="s">
        <v>5052</v>
      </c>
      <c r="F2346" s="32" t="s">
        <v>4986</v>
      </c>
      <c r="G2346" s="33">
        <v>178</v>
      </c>
      <c r="H2346" s="34">
        <v>0.72899999999999998</v>
      </c>
      <c r="I2346" s="31">
        <v>145800</v>
      </c>
      <c r="J2346" s="35" t="s">
        <v>78</v>
      </c>
      <c r="K2346" s="36">
        <v>2025</v>
      </c>
    </row>
    <row r="2347" spans="1:11" ht="15" customHeight="1" x14ac:dyDescent="0.3">
      <c r="A2347" s="37">
        <v>2342</v>
      </c>
      <c r="B2347" s="38" t="s">
        <v>5036</v>
      </c>
      <c r="C2347" s="38" t="s">
        <v>5053</v>
      </c>
      <c r="D2347" s="38" t="s">
        <v>5054</v>
      </c>
      <c r="E2347" s="38" t="s">
        <v>1415</v>
      </c>
      <c r="F2347" s="38" t="s">
        <v>5023</v>
      </c>
      <c r="G2347" s="39">
        <v>445.15199999999999</v>
      </c>
      <c r="H2347" s="40">
        <v>1.2</v>
      </c>
      <c r="I2347" s="37">
        <v>143000</v>
      </c>
      <c r="J2347" s="41" t="s">
        <v>78</v>
      </c>
      <c r="K2347" s="42">
        <v>2025</v>
      </c>
    </row>
    <row r="2348" spans="1:11" ht="15" customHeight="1" x14ac:dyDescent="0.3">
      <c r="A2348" s="31">
        <v>2343</v>
      </c>
      <c r="B2348" s="32" t="s">
        <v>5036</v>
      </c>
      <c r="C2348" s="32" t="s">
        <v>5055</v>
      </c>
      <c r="D2348" s="32" t="s">
        <v>5054</v>
      </c>
      <c r="E2348" s="32" t="s">
        <v>5056</v>
      </c>
      <c r="F2348" s="32" t="s">
        <v>4986</v>
      </c>
      <c r="G2348" s="33">
        <v>4071.6</v>
      </c>
      <c r="H2348" s="34">
        <v>4.2119999999999997</v>
      </c>
      <c r="I2348" s="31">
        <v>225000</v>
      </c>
      <c r="J2348" s="35" t="s">
        <v>78</v>
      </c>
      <c r="K2348" s="36">
        <v>2025</v>
      </c>
    </row>
    <row r="2349" spans="1:11" ht="15" customHeight="1" x14ac:dyDescent="0.3">
      <c r="A2349" s="37">
        <v>2344</v>
      </c>
      <c r="B2349" s="38" t="s">
        <v>5036</v>
      </c>
      <c r="C2349" s="38" t="s">
        <v>5057</v>
      </c>
      <c r="D2349" s="38" t="s">
        <v>5058</v>
      </c>
      <c r="E2349" s="38" t="s">
        <v>5059</v>
      </c>
      <c r="F2349" s="38" t="s">
        <v>5023</v>
      </c>
      <c r="G2349" s="39">
        <v>135.5</v>
      </c>
      <c r="H2349" s="40">
        <v>0.72</v>
      </c>
      <c r="I2349" s="37">
        <v>145800</v>
      </c>
      <c r="J2349" s="41" t="s">
        <v>78</v>
      </c>
      <c r="K2349" s="42">
        <v>2025</v>
      </c>
    </row>
    <row r="2350" spans="1:11" ht="15" customHeight="1" x14ac:dyDescent="0.3">
      <c r="A2350" s="31">
        <v>2345</v>
      </c>
      <c r="B2350" s="32" t="s">
        <v>5036</v>
      </c>
      <c r="C2350" s="32" t="s">
        <v>5060</v>
      </c>
      <c r="D2350" s="32" t="s">
        <v>5061</v>
      </c>
      <c r="E2350" s="32" t="s">
        <v>35</v>
      </c>
      <c r="F2350" s="32" t="s">
        <v>5062</v>
      </c>
      <c r="G2350" s="33">
        <v>9.75</v>
      </c>
      <c r="H2350" s="34">
        <v>5.1999999999999998E-2</v>
      </c>
      <c r="I2350" s="31">
        <v>240000</v>
      </c>
      <c r="J2350" s="35" t="s">
        <v>78</v>
      </c>
      <c r="K2350" s="36">
        <v>2025</v>
      </c>
    </row>
    <row r="2351" spans="1:11" ht="15" customHeight="1" x14ac:dyDescent="0.3">
      <c r="A2351" s="37">
        <v>2346</v>
      </c>
      <c r="B2351" s="38" t="s">
        <v>5036</v>
      </c>
      <c r="C2351" s="38" t="s">
        <v>5063</v>
      </c>
      <c r="D2351" s="38" t="s">
        <v>4773</v>
      </c>
      <c r="E2351" s="38" t="s">
        <v>5056</v>
      </c>
      <c r="F2351" s="38" t="s">
        <v>4343</v>
      </c>
      <c r="G2351" s="39">
        <v>3498.4</v>
      </c>
      <c r="H2351" s="40">
        <v>5.9249999999999998</v>
      </c>
      <c r="I2351" s="37">
        <v>281000</v>
      </c>
      <c r="J2351" s="41" t="s">
        <v>78</v>
      </c>
      <c r="K2351" s="42">
        <v>2025</v>
      </c>
    </row>
    <row r="2352" spans="1:11" ht="15" customHeight="1" x14ac:dyDescent="0.3">
      <c r="A2352" s="31">
        <v>2347</v>
      </c>
      <c r="B2352" s="32" t="s">
        <v>5036</v>
      </c>
      <c r="C2352" s="32" t="s">
        <v>5064</v>
      </c>
      <c r="D2352" s="32" t="s">
        <v>4618</v>
      </c>
      <c r="E2352" s="32" t="s">
        <v>5029</v>
      </c>
      <c r="F2352" s="32" t="s">
        <v>395</v>
      </c>
      <c r="G2352" s="33">
        <v>5579.5</v>
      </c>
      <c r="H2352" s="34">
        <v>9.9659999999999993</v>
      </c>
      <c r="I2352" s="31">
        <v>356000</v>
      </c>
      <c r="J2352" s="35" t="s">
        <v>78</v>
      </c>
      <c r="K2352" s="36">
        <v>2025</v>
      </c>
    </row>
    <row r="2353" spans="1:11" ht="15" customHeight="1" x14ac:dyDescent="0.3">
      <c r="A2353" s="37">
        <v>2348</v>
      </c>
      <c r="B2353" s="38" t="s">
        <v>5036</v>
      </c>
      <c r="C2353" s="38" t="s">
        <v>5065</v>
      </c>
      <c r="D2353" s="38" t="s">
        <v>4996</v>
      </c>
      <c r="E2353" s="38" t="s">
        <v>3895</v>
      </c>
      <c r="F2353" s="38" t="s">
        <v>5033</v>
      </c>
      <c r="G2353" s="39">
        <v>1010</v>
      </c>
      <c r="H2353" s="40">
        <v>4.992</v>
      </c>
      <c r="I2353" s="37">
        <v>253000</v>
      </c>
      <c r="J2353" s="41" t="s">
        <v>78</v>
      </c>
      <c r="K2353" s="42">
        <v>2025</v>
      </c>
    </row>
    <row r="2354" spans="1:11" ht="15" customHeight="1" x14ac:dyDescent="0.3">
      <c r="A2354" s="31">
        <v>2349</v>
      </c>
      <c r="B2354" s="32" t="s">
        <v>3100</v>
      </c>
      <c r="C2354" s="32" t="s">
        <v>5066</v>
      </c>
      <c r="D2354" s="32" t="s">
        <v>52</v>
      </c>
      <c r="E2354" s="32" t="s">
        <v>5067</v>
      </c>
      <c r="F2354" s="32" t="s">
        <v>5023</v>
      </c>
      <c r="G2354" s="33">
        <v>900</v>
      </c>
      <c r="H2354" s="34">
        <v>1.4690000000000001</v>
      </c>
      <c r="I2354" s="31">
        <v>283800</v>
      </c>
      <c r="J2354" s="35" t="s">
        <v>78</v>
      </c>
      <c r="K2354" s="36">
        <v>2025</v>
      </c>
    </row>
    <row r="2355" spans="1:11" ht="15" customHeight="1" x14ac:dyDescent="0.3">
      <c r="A2355" s="37">
        <v>2350</v>
      </c>
      <c r="B2355" s="38" t="s">
        <v>3100</v>
      </c>
      <c r="C2355" s="38" t="s">
        <v>5068</v>
      </c>
      <c r="D2355" s="38" t="s">
        <v>5069</v>
      </c>
      <c r="E2355" s="38" t="s">
        <v>5070</v>
      </c>
      <c r="F2355" s="38" t="s">
        <v>5071</v>
      </c>
      <c r="G2355" s="39">
        <v>324</v>
      </c>
      <c r="H2355" s="40">
        <v>4.641</v>
      </c>
      <c r="I2355" s="37">
        <v>309000</v>
      </c>
      <c r="J2355" s="41" t="s">
        <v>78</v>
      </c>
      <c r="K2355" s="42">
        <v>2025</v>
      </c>
    </row>
    <row r="2356" spans="1:11" ht="15" customHeight="1" x14ac:dyDescent="0.3">
      <c r="A2356" s="31">
        <v>2351</v>
      </c>
      <c r="B2356" s="32" t="s">
        <v>3100</v>
      </c>
      <c r="C2356" s="32" t="s">
        <v>5072</v>
      </c>
      <c r="D2356" s="32" t="s">
        <v>5073</v>
      </c>
      <c r="E2356" s="32" t="s">
        <v>5074</v>
      </c>
      <c r="F2356" s="32" t="s">
        <v>517</v>
      </c>
      <c r="G2356" s="33">
        <v>1765</v>
      </c>
      <c r="H2356" s="34">
        <v>4.6950000000000003</v>
      </c>
      <c r="I2356" s="31">
        <v>255800</v>
      </c>
      <c r="J2356" s="35" t="s">
        <v>78</v>
      </c>
      <c r="K2356" s="36">
        <v>2025</v>
      </c>
    </row>
    <row r="2357" spans="1:11" ht="15" customHeight="1" x14ac:dyDescent="0.3">
      <c r="A2357" s="37">
        <v>2352</v>
      </c>
      <c r="B2357" s="38" t="s">
        <v>3100</v>
      </c>
      <c r="C2357" s="38" t="s">
        <v>5075</v>
      </c>
      <c r="D2357" s="38" t="s">
        <v>5076</v>
      </c>
      <c r="E2357" s="38" t="s">
        <v>5077</v>
      </c>
      <c r="F2357" s="38" t="s">
        <v>5078</v>
      </c>
      <c r="G2357" s="39">
        <v>2174</v>
      </c>
      <c r="H2357" s="40">
        <v>5.1139999999999999</v>
      </c>
      <c r="I2357" s="37">
        <v>255800</v>
      </c>
      <c r="J2357" s="41" t="s">
        <v>78</v>
      </c>
      <c r="K2357" s="42">
        <v>2025</v>
      </c>
    </row>
    <row r="2358" spans="1:11" ht="15" customHeight="1" x14ac:dyDescent="0.3">
      <c r="A2358" s="31">
        <v>2353</v>
      </c>
      <c r="B2358" s="32" t="s">
        <v>3100</v>
      </c>
      <c r="C2358" s="32" t="s">
        <v>5079</v>
      </c>
      <c r="D2358" s="32" t="s">
        <v>40</v>
      </c>
      <c r="E2358" s="32" t="s">
        <v>35</v>
      </c>
      <c r="F2358" s="32" t="s">
        <v>4986</v>
      </c>
      <c r="G2358" s="33">
        <v>6285</v>
      </c>
      <c r="H2358" s="34">
        <v>4.0609999999999999</v>
      </c>
      <c r="I2358" s="31">
        <v>385800</v>
      </c>
      <c r="J2358" s="35" t="s">
        <v>78</v>
      </c>
      <c r="K2358" s="36">
        <v>2025</v>
      </c>
    </row>
    <row r="2359" spans="1:11" ht="15" customHeight="1" x14ac:dyDescent="0.3">
      <c r="A2359" s="37">
        <v>2354</v>
      </c>
      <c r="B2359" s="38" t="s">
        <v>3100</v>
      </c>
      <c r="C2359" s="38" t="s">
        <v>5080</v>
      </c>
      <c r="D2359" s="38" t="s">
        <v>5081</v>
      </c>
      <c r="E2359" s="38" t="s">
        <v>5082</v>
      </c>
      <c r="F2359" s="38" t="s">
        <v>3099</v>
      </c>
      <c r="G2359" s="39">
        <v>196</v>
      </c>
      <c r="H2359" s="40">
        <v>3.4649999999999999</v>
      </c>
      <c r="I2359" s="37">
        <v>197000</v>
      </c>
      <c r="J2359" s="41" t="s">
        <v>78</v>
      </c>
      <c r="K2359" s="42">
        <v>2025</v>
      </c>
    </row>
    <row r="2360" spans="1:11" ht="15" customHeight="1" x14ac:dyDescent="0.3">
      <c r="A2360" s="31">
        <v>2355</v>
      </c>
      <c r="B2360" s="32" t="s">
        <v>3100</v>
      </c>
      <c r="C2360" s="32" t="s">
        <v>5083</v>
      </c>
      <c r="D2360" s="32" t="s">
        <v>3023</v>
      </c>
      <c r="E2360" s="32" t="s">
        <v>3577</v>
      </c>
      <c r="F2360" s="32" t="s">
        <v>5023</v>
      </c>
      <c r="G2360" s="33">
        <v>325</v>
      </c>
      <c r="H2360" s="34">
        <v>0.56599999999999995</v>
      </c>
      <c r="I2360" s="31">
        <v>255800</v>
      </c>
      <c r="J2360" s="35" t="s">
        <v>78</v>
      </c>
      <c r="K2360" s="36">
        <v>2025</v>
      </c>
    </row>
    <row r="2361" spans="1:11" ht="15" customHeight="1" x14ac:dyDescent="0.3">
      <c r="A2361" s="37">
        <v>2356</v>
      </c>
      <c r="B2361" s="38" t="s">
        <v>3100</v>
      </c>
      <c r="C2361" s="38" t="s">
        <v>5084</v>
      </c>
      <c r="D2361" s="38" t="s">
        <v>5085</v>
      </c>
      <c r="E2361" s="38" t="s">
        <v>1833</v>
      </c>
      <c r="F2361" s="38" t="s">
        <v>5023</v>
      </c>
      <c r="G2361" s="39">
        <v>600</v>
      </c>
      <c r="H2361" s="40">
        <v>1.7749999999999999</v>
      </c>
      <c r="I2361" s="37">
        <v>171800</v>
      </c>
      <c r="J2361" s="41" t="s">
        <v>78</v>
      </c>
      <c r="K2361" s="42">
        <v>2025</v>
      </c>
    </row>
    <row r="2362" spans="1:11" ht="15" customHeight="1" x14ac:dyDescent="0.3">
      <c r="A2362" s="31">
        <v>2357</v>
      </c>
      <c r="B2362" s="32" t="s">
        <v>3100</v>
      </c>
      <c r="C2362" s="32" t="s">
        <v>5086</v>
      </c>
      <c r="D2362" s="32" t="s">
        <v>5087</v>
      </c>
      <c r="E2362" s="32" t="s">
        <v>5088</v>
      </c>
      <c r="F2362" s="32" t="s">
        <v>4335</v>
      </c>
      <c r="G2362" s="33">
        <v>980</v>
      </c>
      <c r="H2362" s="34">
        <v>2.903</v>
      </c>
      <c r="I2362" s="31">
        <v>197000</v>
      </c>
      <c r="J2362" s="35" t="s">
        <v>78</v>
      </c>
      <c r="K2362" s="36">
        <v>2025</v>
      </c>
    </row>
    <row r="2363" spans="1:11" ht="15" customHeight="1" x14ac:dyDescent="0.3">
      <c r="A2363" s="37">
        <v>2358</v>
      </c>
      <c r="B2363" s="38" t="s">
        <v>3100</v>
      </c>
      <c r="C2363" s="38" t="s">
        <v>5089</v>
      </c>
      <c r="D2363" s="38" t="s">
        <v>3354</v>
      </c>
      <c r="E2363" s="38" t="s">
        <v>3415</v>
      </c>
      <c r="F2363" s="38" t="s">
        <v>1031</v>
      </c>
      <c r="G2363" s="39">
        <v>660</v>
      </c>
      <c r="H2363" s="40">
        <v>1.5009999999999999</v>
      </c>
      <c r="I2363" s="37">
        <v>169000</v>
      </c>
      <c r="J2363" s="41" t="s">
        <v>78</v>
      </c>
      <c r="K2363" s="42">
        <v>2025</v>
      </c>
    </row>
    <row r="2364" spans="1:11" ht="15" customHeight="1" x14ac:dyDescent="0.3">
      <c r="A2364" s="31">
        <v>2359</v>
      </c>
      <c r="B2364" s="32" t="s">
        <v>3100</v>
      </c>
      <c r="C2364" s="32" t="s">
        <v>5090</v>
      </c>
      <c r="D2364" s="32" t="s">
        <v>5091</v>
      </c>
      <c r="E2364" s="32" t="s">
        <v>1746</v>
      </c>
      <c r="F2364" s="32" t="s">
        <v>4335</v>
      </c>
      <c r="G2364" s="33">
        <v>200</v>
      </c>
      <c r="H2364" s="34">
        <v>0.71699999999999997</v>
      </c>
      <c r="I2364" s="31">
        <v>309000</v>
      </c>
      <c r="J2364" s="35" t="s">
        <v>78</v>
      </c>
      <c r="K2364" s="36">
        <v>2025</v>
      </c>
    </row>
    <row r="2365" spans="1:11" ht="15" customHeight="1" x14ac:dyDescent="0.3">
      <c r="A2365" s="37">
        <v>2360</v>
      </c>
      <c r="B2365" s="38" t="s">
        <v>5021</v>
      </c>
      <c r="C2365" s="38" t="s">
        <v>5092</v>
      </c>
      <c r="D2365" s="38" t="s">
        <v>322</v>
      </c>
      <c r="E2365" s="38" t="s">
        <v>4671</v>
      </c>
      <c r="F2365" s="38" t="s">
        <v>698</v>
      </c>
      <c r="G2365" s="39">
        <v>614</v>
      </c>
      <c r="H2365" s="40">
        <v>5.6929999999999996</v>
      </c>
      <c r="I2365" s="37">
        <v>358800</v>
      </c>
      <c r="J2365" s="41" t="s">
        <v>126</v>
      </c>
      <c r="K2365" s="42">
        <v>2025</v>
      </c>
    </row>
    <row r="2366" spans="1:11" ht="15" customHeight="1" x14ac:dyDescent="0.3">
      <c r="A2366" s="31">
        <v>2361</v>
      </c>
      <c r="B2366" s="32" t="s">
        <v>5021</v>
      </c>
      <c r="C2366" s="32" t="s">
        <v>5093</v>
      </c>
      <c r="D2366" s="32" t="s">
        <v>4901</v>
      </c>
      <c r="E2366" s="32" t="s">
        <v>35</v>
      </c>
      <c r="F2366" s="32" t="s">
        <v>4335</v>
      </c>
      <c r="G2366" s="33">
        <v>295</v>
      </c>
      <c r="H2366" s="34">
        <v>0.78600000000000003</v>
      </c>
      <c r="I2366" s="31">
        <v>227800</v>
      </c>
      <c r="J2366" s="35" t="s">
        <v>126</v>
      </c>
      <c r="K2366" s="36">
        <v>2025</v>
      </c>
    </row>
    <row r="2367" spans="1:11" ht="15" customHeight="1" x14ac:dyDescent="0.3">
      <c r="A2367" s="37">
        <v>2362</v>
      </c>
      <c r="B2367" s="38" t="s">
        <v>5021</v>
      </c>
      <c r="C2367" s="38" t="s">
        <v>5094</v>
      </c>
      <c r="D2367" s="38" t="s">
        <v>763</v>
      </c>
      <c r="E2367" s="38" t="s">
        <v>5095</v>
      </c>
      <c r="F2367" s="38" t="s">
        <v>4758</v>
      </c>
      <c r="G2367" s="39">
        <v>1719</v>
      </c>
      <c r="H2367" s="40">
        <v>3.64</v>
      </c>
      <c r="I2367" s="37">
        <v>227800</v>
      </c>
      <c r="J2367" s="41" t="s">
        <v>126</v>
      </c>
      <c r="K2367" s="42">
        <v>2025</v>
      </c>
    </row>
    <row r="2368" spans="1:11" ht="15" customHeight="1" x14ac:dyDescent="0.3">
      <c r="A2368" s="31">
        <v>2363</v>
      </c>
      <c r="B2368" s="32" t="s">
        <v>5021</v>
      </c>
      <c r="C2368" s="32" t="s">
        <v>5096</v>
      </c>
      <c r="D2368" s="32" t="s">
        <v>5097</v>
      </c>
      <c r="E2368" s="32" t="s">
        <v>5098</v>
      </c>
      <c r="F2368" s="32" t="s">
        <v>4343</v>
      </c>
      <c r="G2368" s="33">
        <v>4024</v>
      </c>
      <c r="H2368" s="34">
        <v>4.3929999999999998</v>
      </c>
      <c r="I2368" s="31">
        <v>331800</v>
      </c>
      <c r="J2368" s="35" t="s">
        <v>126</v>
      </c>
      <c r="K2368" s="36">
        <v>2025</v>
      </c>
    </row>
    <row r="2369" spans="1:11" ht="15" customHeight="1" x14ac:dyDescent="0.3">
      <c r="A2369" s="37">
        <v>2364</v>
      </c>
      <c r="B2369" s="38" t="s">
        <v>5021</v>
      </c>
      <c r="C2369" s="38" t="s">
        <v>5099</v>
      </c>
      <c r="D2369" s="38" t="s">
        <v>5100</v>
      </c>
      <c r="E2369" s="38" t="s">
        <v>964</v>
      </c>
      <c r="F2369" s="38" t="s">
        <v>5101</v>
      </c>
      <c r="G2369" s="39">
        <v>325</v>
      </c>
      <c r="H2369" s="40">
        <v>0.57599999999999996</v>
      </c>
      <c r="I2369" s="37">
        <v>145800</v>
      </c>
      <c r="J2369" s="41" t="s">
        <v>126</v>
      </c>
      <c r="K2369" s="42">
        <v>2025</v>
      </c>
    </row>
    <row r="2370" spans="1:11" ht="15" customHeight="1" x14ac:dyDescent="0.3">
      <c r="A2370" s="31">
        <v>2365</v>
      </c>
      <c r="B2370" s="32" t="s">
        <v>5021</v>
      </c>
      <c r="C2370" s="32" t="s">
        <v>5102</v>
      </c>
      <c r="D2370" s="32" t="s">
        <v>5103</v>
      </c>
      <c r="E2370" s="32" t="s">
        <v>5104</v>
      </c>
      <c r="F2370" s="32" t="s">
        <v>4915</v>
      </c>
      <c r="G2370" s="33">
        <v>2988</v>
      </c>
      <c r="H2370" s="34">
        <v>7.6</v>
      </c>
      <c r="I2370" s="31">
        <v>329000</v>
      </c>
      <c r="J2370" s="35" t="s">
        <v>126</v>
      </c>
      <c r="K2370" s="36">
        <v>2025</v>
      </c>
    </row>
    <row r="2371" spans="1:11" ht="15" customHeight="1" x14ac:dyDescent="0.3">
      <c r="A2371" s="37">
        <v>2366</v>
      </c>
      <c r="B2371" s="38" t="s">
        <v>5021</v>
      </c>
      <c r="C2371" s="38" t="s">
        <v>5105</v>
      </c>
      <c r="D2371" s="38" t="s">
        <v>5106</v>
      </c>
      <c r="E2371" s="38" t="s">
        <v>3468</v>
      </c>
      <c r="F2371" s="38" t="s">
        <v>4986</v>
      </c>
      <c r="G2371" s="39">
        <v>575</v>
      </c>
      <c r="H2371" s="40">
        <v>2.0099999999999998</v>
      </c>
      <c r="I2371" s="37">
        <v>171800</v>
      </c>
      <c r="J2371" s="41" t="s">
        <v>126</v>
      </c>
      <c r="K2371" s="42">
        <v>2025</v>
      </c>
    </row>
    <row r="2372" spans="1:11" ht="15" customHeight="1" x14ac:dyDescent="0.3">
      <c r="A2372" s="31">
        <v>2367</v>
      </c>
      <c r="B2372" s="32" t="s">
        <v>5021</v>
      </c>
      <c r="C2372" s="32" t="s">
        <v>5107</v>
      </c>
      <c r="D2372" s="32" t="s">
        <v>5108</v>
      </c>
      <c r="E2372" s="32" t="s">
        <v>5109</v>
      </c>
      <c r="F2372" s="32" t="s">
        <v>5101</v>
      </c>
      <c r="G2372" s="33">
        <v>316</v>
      </c>
      <c r="H2372" s="34">
        <v>0.86399999999999999</v>
      </c>
      <c r="I2372" s="31">
        <v>145800</v>
      </c>
      <c r="J2372" s="35" t="s">
        <v>126</v>
      </c>
      <c r="K2372" s="36">
        <v>2025</v>
      </c>
    </row>
    <row r="2373" spans="1:11" ht="15" customHeight="1" x14ac:dyDescent="0.3">
      <c r="A2373" s="37">
        <v>2368</v>
      </c>
      <c r="B2373" s="38" t="s">
        <v>5021</v>
      </c>
      <c r="C2373" s="38" t="s">
        <v>5110</v>
      </c>
      <c r="D2373" s="38" t="s">
        <v>48</v>
      </c>
      <c r="E2373" s="38" t="s">
        <v>35</v>
      </c>
      <c r="F2373" s="38" t="s">
        <v>4758</v>
      </c>
      <c r="G2373" s="39">
        <v>258</v>
      </c>
      <c r="H2373" s="40">
        <v>0.83499999999999996</v>
      </c>
      <c r="I2373" s="37">
        <v>227800</v>
      </c>
      <c r="J2373" s="41" t="s">
        <v>126</v>
      </c>
      <c r="K2373" s="42">
        <v>2025</v>
      </c>
    </row>
    <row r="2374" spans="1:11" ht="15" customHeight="1" x14ac:dyDescent="0.3">
      <c r="A2374" s="31">
        <v>2369</v>
      </c>
      <c r="B2374" s="32" t="s">
        <v>5021</v>
      </c>
      <c r="C2374" s="32" t="s">
        <v>5111</v>
      </c>
      <c r="D2374" s="32" t="s">
        <v>4773</v>
      </c>
      <c r="E2374" s="32" t="s">
        <v>2886</v>
      </c>
      <c r="F2374" s="32" t="s">
        <v>4758</v>
      </c>
      <c r="G2374" s="33">
        <v>2342.9450000000002</v>
      </c>
      <c r="H2374" s="34">
        <v>4.2850000000000001</v>
      </c>
      <c r="I2374" s="31">
        <v>225000</v>
      </c>
      <c r="J2374" s="35" t="s">
        <v>126</v>
      </c>
      <c r="K2374" s="36">
        <v>2025</v>
      </c>
    </row>
    <row r="2375" spans="1:11" ht="15" customHeight="1" x14ac:dyDescent="0.3">
      <c r="A2375" s="37">
        <v>2370</v>
      </c>
      <c r="B2375" s="38" t="s">
        <v>5021</v>
      </c>
      <c r="C2375" s="38" t="s">
        <v>5112</v>
      </c>
      <c r="D2375" s="38" t="s">
        <v>5113</v>
      </c>
      <c r="E2375" s="38" t="s">
        <v>1387</v>
      </c>
      <c r="F2375" s="38" t="s">
        <v>5101</v>
      </c>
      <c r="G2375" s="39">
        <v>537</v>
      </c>
      <c r="H2375" s="40">
        <v>0.90200000000000002</v>
      </c>
      <c r="I2375" s="37">
        <v>143000</v>
      </c>
      <c r="J2375" s="41" t="s">
        <v>126</v>
      </c>
      <c r="K2375" s="42">
        <v>2025</v>
      </c>
    </row>
    <row r="2376" spans="1:11" ht="15" customHeight="1" x14ac:dyDescent="0.3">
      <c r="A2376" s="31">
        <v>2371</v>
      </c>
      <c r="B2376" s="32" t="s">
        <v>5021</v>
      </c>
      <c r="C2376" s="32" t="s">
        <v>5114</v>
      </c>
      <c r="D2376" s="32" t="s">
        <v>242</v>
      </c>
      <c r="E2376" s="32" t="s">
        <v>243</v>
      </c>
      <c r="F2376" s="32" t="s">
        <v>316</v>
      </c>
      <c r="G2376" s="33">
        <v>1384.8</v>
      </c>
      <c r="H2376" s="34">
        <v>2.3330000000000002</v>
      </c>
      <c r="I2376" s="31">
        <v>169000</v>
      </c>
      <c r="J2376" s="35" t="s">
        <v>126</v>
      </c>
      <c r="K2376" s="36">
        <v>2025</v>
      </c>
    </row>
    <row r="2377" spans="1:11" ht="15" customHeight="1" x14ac:dyDescent="0.3">
      <c r="A2377" s="37">
        <v>2372</v>
      </c>
      <c r="B2377" s="38" t="s">
        <v>5021</v>
      </c>
      <c r="C2377" s="38" t="s">
        <v>5115</v>
      </c>
      <c r="D2377" s="38" t="s">
        <v>4858</v>
      </c>
      <c r="E2377" s="38" t="s">
        <v>1415</v>
      </c>
      <c r="F2377" s="38" t="s">
        <v>4343</v>
      </c>
      <c r="G2377" s="39">
        <v>1787.76</v>
      </c>
      <c r="H2377" s="40">
        <v>3.149</v>
      </c>
      <c r="I2377" s="37">
        <v>197000</v>
      </c>
      <c r="J2377" s="41" t="s">
        <v>126</v>
      </c>
      <c r="K2377" s="42">
        <v>2025</v>
      </c>
    </row>
    <row r="2378" spans="1:11" ht="15" customHeight="1" x14ac:dyDescent="0.3">
      <c r="A2378" s="31">
        <v>2373</v>
      </c>
      <c r="B2378" s="32" t="s">
        <v>313</v>
      </c>
      <c r="C2378" s="32" t="s">
        <v>5116</v>
      </c>
      <c r="D2378" s="32" t="s">
        <v>5117</v>
      </c>
      <c r="E2378" s="32" t="s">
        <v>5118</v>
      </c>
      <c r="F2378" s="32" t="s">
        <v>4335</v>
      </c>
      <c r="G2378" s="33">
        <v>1450</v>
      </c>
      <c r="H2378" s="34">
        <v>5.2389999999999999</v>
      </c>
      <c r="I2378" s="31">
        <v>253000</v>
      </c>
      <c r="J2378" s="35" t="s">
        <v>207</v>
      </c>
      <c r="K2378" s="36">
        <v>2025</v>
      </c>
    </row>
    <row r="2379" spans="1:11" ht="15" customHeight="1" x14ac:dyDescent="0.3">
      <c r="A2379" s="37">
        <v>2374</v>
      </c>
      <c r="B2379" s="38" t="s">
        <v>313</v>
      </c>
      <c r="C2379" s="38" t="s">
        <v>5119</v>
      </c>
      <c r="D2379" s="38" t="s">
        <v>2608</v>
      </c>
      <c r="E2379" s="38" t="s">
        <v>2886</v>
      </c>
      <c r="F2379" s="38" t="s">
        <v>3831</v>
      </c>
      <c r="G2379" s="39">
        <v>551.66700000000003</v>
      </c>
      <c r="H2379" s="40">
        <v>0.95099999999999996</v>
      </c>
      <c r="I2379" s="37">
        <v>143000</v>
      </c>
      <c r="J2379" s="41" t="s">
        <v>207</v>
      </c>
      <c r="K2379" s="42">
        <v>2025</v>
      </c>
    </row>
    <row r="2380" spans="1:11" ht="15" customHeight="1" x14ac:dyDescent="0.3">
      <c r="A2380" s="31">
        <v>2375</v>
      </c>
      <c r="B2380" s="32" t="s">
        <v>313</v>
      </c>
      <c r="C2380" s="32" t="s">
        <v>5120</v>
      </c>
      <c r="D2380" s="32" t="s">
        <v>5121</v>
      </c>
      <c r="E2380" s="32" t="s">
        <v>35</v>
      </c>
      <c r="F2380" s="32" t="s">
        <v>306</v>
      </c>
      <c r="G2380" s="33">
        <v>602</v>
      </c>
      <c r="H2380" s="34">
        <v>0.73899999999999999</v>
      </c>
      <c r="I2380" s="31">
        <v>255800</v>
      </c>
      <c r="J2380" s="35" t="s">
        <v>207</v>
      </c>
      <c r="K2380" s="36">
        <v>2025</v>
      </c>
    </row>
    <row r="2381" spans="1:11" ht="15" customHeight="1" x14ac:dyDescent="0.3">
      <c r="A2381" s="37">
        <v>2376</v>
      </c>
      <c r="B2381" s="38" t="s">
        <v>313</v>
      </c>
      <c r="C2381" s="38" t="s">
        <v>5122</v>
      </c>
      <c r="D2381" s="38" t="s">
        <v>5123</v>
      </c>
      <c r="E2381" s="38" t="s">
        <v>35</v>
      </c>
      <c r="F2381" s="38" t="s">
        <v>373</v>
      </c>
      <c r="G2381" s="39">
        <v>3240</v>
      </c>
      <c r="H2381" s="40">
        <v>1.17</v>
      </c>
      <c r="I2381" s="37">
        <v>331800</v>
      </c>
      <c r="J2381" s="41" t="s">
        <v>207</v>
      </c>
      <c r="K2381" s="42">
        <v>2025</v>
      </c>
    </row>
    <row r="2382" spans="1:11" ht="15" customHeight="1" x14ac:dyDescent="0.3">
      <c r="A2382" s="31">
        <v>2377</v>
      </c>
      <c r="B2382" s="32" t="s">
        <v>313</v>
      </c>
      <c r="C2382" s="32" t="s">
        <v>5124</v>
      </c>
      <c r="D2382" s="32" t="s">
        <v>2506</v>
      </c>
      <c r="E2382" s="32" t="s">
        <v>35</v>
      </c>
      <c r="F2382" s="32" t="s">
        <v>4335</v>
      </c>
      <c r="G2382" s="33">
        <v>390</v>
      </c>
      <c r="H2382" s="34">
        <v>2.048</v>
      </c>
      <c r="I2382" s="31">
        <v>311800</v>
      </c>
      <c r="J2382" s="35" t="s">
        <v>207</v>
      </c>
      <c r="K2382" s="36">
        <v>2025</v>
      </c>
    </row>
    <row r="2383" spans="1:11" ht="15" customHeight="1" x14ac:dyDescent="0.3">
      <c r="A2383" s="37">
        <v>2378</v>
      </c>
      <c r="B2383" s="38" t="s">
        <v>313</v>
      </c>
      <c r="C2383" s="38" t="s">
        <v>5125</v>
      </c>
      <c r="D2383" s="38" t="s">
        <v>5126</v>
      </c>
      <c r="E2383" s="38" t="s">
        <v>4337</v>
      </c>
      <c r="F2383" s="38" t="s">
        <v>4335</v>
      </c>
      <c r="G2383" s="39">
        <v>317</v>
      </c>
      <c r="H2383" s="40">
        <v>0.39</v>
      </c>
      <c r="I2383" s="37">
        <v>145800</v>
      </c>
      <c r="J2383" s="41" t="s">
        <v>207</v>
      </c>
      <c r="K2383" s="42">
        <v>2025</v>
      </c>
    </row>
    <row r="2384" spans="1:11" ht="15" customHeight="1" x14ac:dyDescent="0.3">
      <c r="A2384" s="31">
        <v>2379</v>
      </c>
      <c r="B2384" s="32" t="s">
        <v>313</v>
      </c>
      <c r="C2384" s="32" t="s">
        <v>5127</v>
      </c>
      <c r="D2384" s="32" t="s">
        <v>5128</v>
      </c>
      <c r="E2384" s="32" t="s">
        <v>2770</v>
      </c>
      <c r="F2384" s="32" t="s">
        <v>5129</v>
      </c>
      <c r="G2384" s="33">
        <v>1048</v>
      </c>
      <c r="H2384" s="34">
        <v>4.9429999999999996</v>
      </c>
      <c r="I2384" s="31">
        <v>255800</v>
      </c>
      <c r="J2384" s="35" t="s">
        <v>207</v>
      </c>
      <c r="K2384" s="36">
        <v>2025</v>
      </c>
    </row>
    <row r="2385" spans="1:11" ht="15" customHeight="1" x14ac:dyDescent="0.3">
      <c r="A2385" s="37">
        <v>2380</v>
      </c>
      <c r="B2385" s="38" t="s">
        <v>313</v>
      </c>
      <c r="C2385" s="38" t="s">
        <v>5130</v>
      </c>
      <c r="D2385" s="38" t="s">
        <v>5131</v>
      </c>
      <c r="E2385" s="38" t="s">
        <v>5042</v>
      </c>
      <c r="F2385" s="38" t="s">
        <v>5132</v>
      </c>
      <c r="G2385" s="39">
        <v>608.02</v>
      </c>
      <c r="H2385" s="40">
        <v>1</v>
      </c>
      <c r="I2385" s="37">
        <v>283800</v>
      </c>
      <c r="J2385" s="41" t="s">
        <v>207</v>
      </c>
      <c r="K2385" s="42">
        <v>2025</v>
      </c>
    </row>
    <row r="2386" spans="1:11" ht="15" customHeight="1" x14ac:dyDescent="0.3">
      <c r="A2386" s="31">
        <v>2381</v>
      </c>
      <c r="B2386" s="32" t="s">
        <v>313</v>
      </c>
      <c r="C2386" s="32" t="s">
        <v>5133</v>
      </c>
      <c r="D2386" s="32" t="s">
        <v>5134</v>
      </c>
      <c r="E2386" s="32" t="s">
        <v>5135</v>
      </c>
      <c r="F2386" s="32" t="s">
        <v>406</v>
      </c>
      <c r="G2386" s="33">
        <v>462</v>
      </c>
      <c r="H2386" s="34">
        <v>3.72</v>
      </c>
      <c r="I2386" s="31">
        <v>311800</v>
      </c>
      <c r="J2386" s="35" t="s">
        <v>207</v>
      </c>
      <c r="K2386" s="36">
        <v>2025</v>
      </c>
    </row>
    <row r="2387" spans="1:11" ht="15" customHeight="1" x14ac:dyDescent="0.3">
      <c r="A2387" s="37">
        <v>2382</v>
      </c>
      <c r="B2387" s="38" t="s">
        <v>313</v>
      </c>
      <c r="C2387" s="38" t="s">
        <v>5136</v>
      </c>
      <c r="D2387" s="38" t="s">
        <v>5137</v>
      </c>
      <c r="E2387" s="38" t="s">
        <v>35</v>
      </c>
      <c r="F2387" s="38" t="s">
        <v>4758</v>
      </c>
      <c r="G2387" s="39">
        <v>1808</v>
      </c>
      <c r="H2387" s="40">
        <v>1.881</v>
      </c>
      <c r="I2387" s="37">
        <v>311800</v>
      </c>
      <c r="J2387" s="41" t="s">
        <v>207</v>
      </c>
      <c r="K2387" s="42">
        <v>2025</v>
      </c>
    </row>
    <row r="2388" spans="1:11" ht="15" customHeight="1" x14ac:dyDescent="0.3">
      <c r="A2388" s="31">
        <v>2383</v>
      </c>
      <c r="B2388" s="32" t="s">
        <v>313</v>
      </c>
      <c r="C2388" s="32" t="s">
        <v>5138</v>
      </c>
      <c r="D2388" s="32" t="s">
        <v>5139</v>
      </c>
      <c r="E2388" s="32" t="s">
        <v>5140</v>
      </c>
      <c r="F2388" s="32" t="s">
        <v>3831</v>
      </c>
      <c r="G2388" s="33">
        <v>200</v>
      </c>
      <c r="H2388" s="34">
        <v>0.88200000000000001</v>
      </c>
      <c r="I2388" s="31">
        <v>227800</v>
      </c>
      <c r="J2388" s="35" t="s">
        <v>207</v>
      </c>
      <c r="K2388" s="36">
        <v>2025</v>
      </c>
    </row>
    <row r="2389" spans="1:11" ht="15" customHeight="1" x14ac:dyDescent="0.3">
      <c r="A2389" s="37">
        <v>2384</v>
      </c>
      <c r="B2389" s="38" t="s">
        <v>313</v>
      </c>
      <c r="C2389" s="38" t="s">
        <v>5141</v>
      </c>
      <c r="D2389" s="38" t="s">
        <v>5142</v>
      </c>
      <c r="E2389" s="38" t="s">
        <v>5143</v>
      </c>
      <c r="F2389" s="38" t="s">
        <v>1953</v>
      </c>
      <c r="G2389" s="39">
        <v>696</v>
      </c>
      <c r="H2389" s="40">
        <v>2.9420000000000002</v>
      </c>
      <c r="I2389" s="37">
        <v>311800</v>
      </c>
      <c r="J2389" s="41" t="s">
        <v>207</v>
      </c>
      <c r="K2389" s="42">
        <v>2025</v>
      </c>
    </row>
    <row r="2390" spans="1:11" ht="15" customHeight="1" x14ac:dyDescent="0.3">
      <c r="A2390" s="31">
        <v>2385</v>
      </c>
      <c r="B2390" s="32" t="s">
        <v>313</v>
      </c>
      <c r="C2390" s="32" t="s">
        <v>5144</v>
      </c>
      <c r="D2390" s="32" t="s">
        <v>5145</v>
      </c>
      <c r="E2390" s="32" t="s">
        <v>4395</v>
      </c>
      <c r="F2390" s="32" t="s">
        <v>5146</v>
      </c>
      <c r="G2390" s="33">
        <v>1348.9</v>
      </c>
      <c r="H2390" s="34">
        <v>4.4800000000000004</v>
      </c>
      <c r="I2390" s="31">
        <v>311800</v>
      </c>
      <c r="J2390" s="35" t="s">
        <v>207</v>
      </c>
      <c r="K2390" s="36">
        <v>2025</v>
      </c>
    </row>
    <row r="2391" spans="1:11" ht="15" customHeight="1" x14ac:dyDescent="0.3">
      <c r="A2391" s="37">
        <v>2386</v>
      </c>
      <c r="B2391" s="38" t="s">
        <v>313</v>
      </c>
      <c r="C2391" s="38" t="s">
        <v>5147</v>
      </c>
      <c r="D2391" s="38" t="s">
        <v>5148</v>
      </c>
      <c r="E2391" s="38" t="s">
        <v>5149</v>
      </c>
      <c r="F2391" s="38" t="s">
        <v>3831</v>
      </c>
      <c r="G2391" s="39">
        <v>346.88</v>
      </c>
      <c r="H2391" s="40">
        <v>1.89</v>
      </c>
      <c r="I2391" s="37">
        <v>171800</v>
      </c>
      <c r="J2391" s="41" t="s">
        <v>207</v>
      </c>
      <c r="K2391" s="42">
        <v>2025</v>
      </c>
    </row>
    <row r="2392" spans="1:11" ht="15" customHeight="1" x14ac:dyDescent="0.3">
      <c r="A2392" s="31">
        <v>2387</v>
      </c>
      <c r="B2392" s="32" t="s">
        <v>5150</v>
      </c>
      <c r="C2392" s="32" t="s">
        <v>5151</v>
      </c>
      <c r="D2392" s="32" t="s">
        <v>5152</v>
      </c>
      <c r="E2392" s="32" t="s">
        <v>35</v>
      </c>
      <c r="F2392" s="32" t="s">
        <v>435</v>
      </c>
      <c r="G2392" s="33">
        <v>6335.9</v>
      </c>
      <c r="H2392" s="34">
        <v>16.425999999999998</v>
      </c>
      <c r="I2392" s="31">
        <v>574800</v>
      </c>
      <c r="J2392" s="35" t="s">
        <v>207</v>
      </c>
      <c r="K2392" s="36">
        <v>2025</v>
      </c>
    </row>
    <row r="2393" spans="1:11" ht="15" customHeight="1" x14ac:dyDescent="0.3">
      <c r="A2393" s="37">
        <v>2388</v>
      </c>
      <c r="B2393" s="38" t="s">
        <v>5150</v>
      </c>
      <c r="C2393" s="38" t="s">
        <v>5153</v>
      </c>
      <c r="D2393" s="38" t="s">
        <v>4811</v>
      </c>
      <c r="E2393" s="38" t="s">
        <v>3732</v>
      </c>
      <c r="F2393" s="38" t="s">
        <v>4758</v>
      </c>
      <c r="G2393" s="39">
        <v>1632.29</v>
      </c>
      <c r="H2393" s="40">
        <v>4.28</v>
      </c>
      <c r="I2393" s="37">
        <v>227800</v>
      </c>
      <c r="J2393" s="41" t="s">
        <v>207</v>
      </c>
      <c r="K2393" s="42">
        <v>2025</v>
      </c>
    </row>
    <row r="2394" spans="1:11" ht="15" customHeight="1" x14ac:dyDescent="0.3">
      <c r="A2394" s="31">
        <v>2389</v>
      </c>
      <c r="B2394" s="32" t="s">
        <v>5150</v>
      </c>
      <c r="C2394" s="32" t="s">
        <v>5154</v>
      </c>
      <c r="D2394" s="32" t="s">
        <v>5155</v>
      </c>
      <c r="E2394" s="32" t="s">
        <v>5156</v>
      </c>
      <c r="F2394" s="32" t="s">
        <v>5157</v>
      </c>
      <c r="G2394" s="33">
        <v>670</v>
      </c>
      <c r="H2394" s="34">
        <v>3.3769999999999998</v>
      </c>
      <c r="I2394" s="31">
        <v>199800</v>
      </c>
      <c r="J2394" s="35" t="s">
        <v>207</v>
      </c>
      <c r="K2394" s="36">
        <v>2025</v>
      </c>
    </row>
    <row r="2395" spans="1:11" ht="15" customHeight="1" x14ac:dyDescent="0.3">
      <c r="A2395" s="37">
        <v>2390</v>
      </c>
      <c r="B2395" s="38" t="s">
        <v>5150</v>
      </c>
      <c r="C2395" s="38" t="s">
        <v>5158</v>
      </c>
      <c r="D2395" s="38" t="s">
        <v>5159</v>
      </c>
      <c r="E2395" s="38" t="s">
        <v>5160</v>
      </c>
      <c r="F2395" s="38" t="s">
        <v>373</v>
      </c>
      <c r="G2395" s="39">
        <v>1220</v>
      </c>
      <c r="H2395" s="40">
        <v>1.6519999999999999</v>
      </c>
      <c r="I2395" s="37">
        <v>143000</v>
      </c>
      <c r="J2395" s="41" t="s">
        <v>207</v>
      </c>
      <c r="K2395" s="42">
        <v>2025</v>
      </c>
    </row>
    <row r="2396" spans="1:11" ht="15" customHeight="1" x14ac:dyDescent="0.3">
      <c r="A2396" s="31">
        <v>2391</v>
      </c>
      <c r="B2396" s="32" t="s">
        <v>5150</v>
      </c>
      <c r="C2396" s="32" t="s">
        <v>5161</v>
      </c>
      <c r="D2396" s="32" t="s">
        <v>5162</v>
      </c>
      <c r="E2396" s="32" t="s">
        <v>5163</v>
      </c>
      <c r="F2396" s="32" t="s">
        <v>3831</v>
      </c>
      <c r="G2396" s="33">
        <v>55</v>
      </c>
      <c r="H2396" s="34">
        <v>1.0269999999999999</v>
      </c>
      <c r="I2396" s="31">
        <v>227800</v>
      </c>
      <c r="J2396" s="35" t="s">
        <v>207</v>
      </c>
      <c r="K2396" s="36">
        <v>2025</v>
      </c>
    </row>
    <row r="2397" spans="1:11" ht="15" customHeight="1" x14ac:dyDescent="0.3">
      <c r="A2397" s="37">
        <v>2392</v>
      </c>
      <c r="B2397" s="38" t="s">
        <v>5150</v>
      </c>
      <c r="C2397" s="38" t="s">
        <v>5164</v>
      </c>
      <c r="D2397" s="38" t="s">
        <v>5165</v>
      </c>
      <c r="E2397" s="38" t="s">
        <v>35</v>
      </c>
      <c r="F2397" s="38" t="s">
        <v>3831</v>
      </c>
      <c r="G2397" s="39">
        <v>12</v>
      </c>
      <c r="H2397" s="40">
        <v>0.104</v>
      </c>
      <c r="I2397" s="37">
        <v>145800</v>
      </c>
      <c r="J2397" s="41" t="s">
        <v>207</v>
      </c>
      <c r="K2397" s="42">
        <v>2025</v>
      </c>
    </row>
    <row r="2398" spans="1:11" ht="15" customHeight="1" x14ac:dyDescent="0.3">
      <c r="A2398" s="31">
        <v>2393</v>
      </c>
      <c r="B2398" s="32" t="s">
        <v>5150</v>
      </c>
      <c r="C2398" s="32" t="s">
        <v>5166</v>
      </c>
      <c r="D2398" s="32" t="s">
        <v>46</v>
      </c>
      <c r="E2398" s="32" t="s">
        <v>53</v>
      </c>
      <c r="F2398" s="32" t="s">
        <v>3831</v>
      </c>
      <c r="G2398" s="33">
        <v>402</v>
      </c>
      <c r="H2398" s="34">
        <v>10.925000000000001</v>
      </c>
      <c r="I2398" s="31">
        <v>4454600</v>
      </c>
      <c r="J2398" s="35" t="s">
        <v>207</v>
      </c>
      <c r="K2398" s="36">
        <v>2025</v>
      </c>
    </row>
    <row r="2399" spans="1:11" ht="15" customHeight="1" x14ac:dyDescent="0.3">
      <c r="A2399" s="37">
        <v>2394</v>
      </c>
      <c r="B2399" s="38" t="s">
        <v>5150</v>
      </c>
      <c r="C2399" s="38" t="s">
        <v>5167</v>
      </c>
      <c r="D2399" s="38" t="s">
        <v>5168</v>
      </c>
      <c r="E2399" s="38" t="s">
        <v>5169</v>
      </c>
      <c r="F2399" s="38" t="s">
        <v>406</v>
      </c>
      <c r="G2399" s="39">
        <v>389500</v>
      </c>
      <c r="H2399" s="40">
        <v>1.7949999999999999</v>
      </c>
      <c r="I2399" s="37">
        <v>171800</v>
      </c>
      <c r="J2399" s="41" t="s">
        <v>207</v>
      </c>
      <c r="K2399" s="42">
        <v>2025</v>
      </c>
    </row>
    <row r="2400" spans="1:11" ht="15" customHeight="1" x14ac:dyDescent="0.3">
      <c r="A2400" s="31">
        <v>2395</v>
      </c>
      <c r="B2400" s="32" t="s">
        <v>5150</v>
      </c>
      <c r="C2400" s="32" t="s">
        <v>5170</v>
      </c>
      <c r="D2400" s="32" t="s">
        <v>3159</v>
      </c>
      <c r="E2400" s="32" t="s">
        <v>35</v>
      </c>
      <c r="F2400" s="32" t="s">
        <v>306</v>
      </c>
      <c r="G2400" s="33">
        <v>665</v>
      </c>
      <c r="H2400" s="34">
        <v>0.432</v>
      </c>
      <c r="I2400" s="31">
        <v>283800</v>
      </c>
      <c r="J2400" s="35" t="s">
        <v>207</v>
      </c>
      <c r="K2400" s="36">
        <v>2025</v>
      </c>
    </row>
    <row r="2401" spans="1:11" ht="15" customHeight="1" x14ac:dyDescent="0.3">
      <c r="A2401" s="37">
        <v>2396</v>
      </c>
      <c r="B2401" s="38" t="s">
        <v>5150</v>
      </c>
      <c r="C2401" s="38" t="s">
        <v>5171</v>
      </c>
      <c r="D2401" s="38" t="s">
        <v>5172</v>
      </c>
      <c r="E2401" s="38" t="s">
        <v>206</v>
      </c>
      <c r="F2401" s="38" t="s">
        <v>4758</v>
      </c>
      <c r="G2401" s="39">
        <v>4068.5</v>
      </c>
      <c r="H2401" s="40">
        <v>7.1130000000000004</v>
      </c>
      <c r="I2401" s="37">
        <v>311800</v>
      </c>
      <c r="J2401" s="41" t="s">
        <v>207</v>
      </c>
      <c r="K2401" s="42">
        <v>2025</v>
      </c>
    </row>
    <row r="2402" spans="1:11" ht="15" customHeight="1" x14ac:dyDescent="0.3">
      <c r="A2402" s="31">
        <v>2397</v>
      </c>
      <c r="B2402" s="32" t="s">
        <v>5150</v>
      </c>
      <c r="C2402" s="32" t="s">
        <v>5173</v>
      </c>
      <c r="D2402" s="32" t="s">
        <v>5174</v>
      </c>
      <c r="E2402" s="32" t="s">
        <v>5175</v>
      </c>
      <c r="F2402" s="32" t="s">
        <v>316</v>
      </c>
      <c r="G2402" s="33">
        <v>251</v>
      </c>
      <c r="H2402" s="34">
        <v>2.3980000000000001</v>
      </c>
      <c r="I2402" s="31">
        <v>169000</v>
      </c>
      <c r="J2402" s="35" t="s">
        <v>668</v>
      </c>
      <c r="K2402" s="36">
        <v>2025</v>
      </c>
    </row>
    <row r="2403" spans="1:11" ht="15" customHeight="1" x14ac:dyDescent="0.3">
      <c r="A2403" s="37">
        <v>2398</v>
      </c>
      <c r="B2403" s="38" t="s">
        <v>5150</v>
      </c>
      <c r="C2403" s="38" t="s">
        <v>5176</v>
      </c>
      <c r="D2403" s="38" t="s">
        <v>3618</v>
      </c>
      <c r="E2403" s="38" t="s">
        <v>35</v>
      </c>
      <c r="F2403" s="38" t="s">
        <v>3831</v>
      </c>
      <c r="G2403" s="39">
        <v>1310</v>
      </c>
      <c r="H2403" s="40">
        <v>0.67500000000000004</v>
      </c>
      <c r="I2403" s="37">
        <v>283800</v>
      </c>
      <c r="J2403" s="41" t="s">
        <v>668</v>
      </c>
      <c r="K2403" s="42">
        <v>2025</v>
      </c>
    </row>
    <row r="2404" spans="1:11" ht="15" customHeight="1" x14ac:dyDescent="0.3">
      <c r="A2404" s="31">
        <v>2399</v>
      </c>
      <c r="B2404" s="32" t="s">
        <v>5150</v>
      </c>
      <c r="C2404" s="32" t="s">
        <v>5177</v>
      </c>
      <c r="D2404" s="32" t="s">
        <v>5178</v>
      </c>
      <c r="E2404" s="32" t="s">
        <v>5179</v>
      </c>
      <c r="F2404" s="32" t="s">
        <v>316</v>
      </c>
      <c r="G2404" s="33">
        <v>403</v>
      </c>
      <c r="H2404" s="34">
        <v>3.68</v>
      </c>
      <c r="I2404" s="31">
        <v>227800</v>
      </c>
      <c r="J2404" s="35" t="s">
        <v>668</v>
      </c>
      <c r="K2404" s="36">
        <v>2025</v>
      </c>
    </row>
    <row r="2405" spans="1:11" ht="15" customHeight="1" x14ac:dyDescent="0.3">
      <c r="A2405" s="37">
        <v>2400</v>
      </c>
      <c r="B2405" s="38" t="s">
        <v>5150</v>
      </c>
      <c r="C2405" s="38" t="s">
        <v>5180</v>
      </c>
      <c r="D2405" s="38" t="s">
        <v>5181</v>
      </c>
      <c r="E2405" s="38" t="s">
        <v>3124</v>
      </c>
      <c r="F2405" s="38" t="s">
        <v>435</v>
      </c>
      <c r="G2405" s="39">
        <v>1051</v>
      </c>
      <c r="H2405" s="40">
        <v>5.9139999999999997</v>
      </c>
      <c r="I2405" s="37">
        <v>358800</v>
      </c>
      <c r="J2405" s="41" t="s">
        <v>668</v>
      </c>
      <c r="K2405" s="42">
        <v>2025</v>
      </c>
    </row>
    <row r="2406" spans="1:11" ht="15" customHeight="1" x14ac:dyDescent="0.3">
      <c r="A2406" s="31">
        <v>2401</v>
      </c>
      <c r="B2406" s="32" t="s">
        <v>5150</v>
      </c>
      <c r="C2406" s="32" t="s">
        <v>5182</v>
      </c>
      <c r="D2406" s="32" t="s">
        <v>5183</v>
      </c>
      <c r="E2406" s="32" t="s">
        <v>5184</v>
      </c>
      <c r="F2406" s="32" t="s">
        <v>406</v>
      </c>
      <c r="G2406" s="33">
        <v>2800</v>
      </c>
      <c r="H2406" s="34">
        <v>7.9880000000000004</v>
      </c>
      <c r="I2406" s="31">
        <v>331800</v>
      </c>
      <c r="J2406" s="35" t="s">
        <v>668</v>
      </c>
      <c r="K2406" s="36">
        <v>2025</v>
      </c>
    </row>
    <row r="2407" spans="1:11" ht="15" customHeight="1" x14ac:dyDescent="0.3">
      <c r="A2407" s="37">
        <v>2402</v>
      </c>
      <c r="B2407" s="38" t="s">
        <v>5150</v>
      </c>
      <c r="C2407" s="38" t="s">
        <v>5185</v>
      </c>
      <c r="D2407" s="38" t="s">
        <v>5186</v>
      </c>
      <c r="E2407" s="38" t="s">
        <v>35</v>
      </c>
      <c r="F2407" s="38" t="s">
        <v>3831</v>
      </c>
      <c r="G2407" s="39">
        <v>43</v>
      </c>
      <c r="H2407" s="40">
        <v>0.33600000000000002</v>
      </c>
      <c r="I2407" s="37">
        <v>227800</v>
      </c>
      <c r="J2407" s="41" t="s">
        <v>668</v>
      </c>
      <c r="K2407" s="42">
        <v>2025</v>
      </c>
    </row>
    <row r="2408" spans="1:11" ht="15" customHeight="1" x14ac:dyDescent="0.3">
      <c r="A2408" s="31">
        <v>2403</v>
      </c>
      <c r="B2408" s="32" t="s">
        <v>4482</v>
      </c>
      <c r="C2408" s="32" t="s">
        <v>5187</v>
      </c>
      <c r="D2408" s="32" t="s">
        <v>5123</v>
      </c>
      <c r="E2408" s="32" t="s">
        <v>35</v>
      </c>
      <c r="F2408" s="32" t="s">
        <v>5188</v>
      </c>
      <c r="G2408" s="33">
        <v>1938</v>
      </c>
      <c r="H2408" s="34">
        <v>1.696</v>
      </c>
      <c r="I2408" s="31">
        <v>311800</v>
      </c>
      <c r="J2408" s="35" t="s">
        <v>668</v>
      </c>
      <c r="K2408" s="36">
        <v>2025</v>
      </c>
    </row>
    <row r="2409" spans="1:11" ht="15" customHeight="1" x14ac:dyDescent="0.3">
      <c r="A2409" s="37">
        <v>2404</v>
      </c>
      <c r="B2409" s="38" t="s">
        <v>4482</v>
      </c>
      <c r="C2409" s="38" t="s">
        <v>5189</v>
      </c>
      <c r="D2409" s="38" t="s">
        <v>766</v>
      </c>
      <c r="E2409" s="38" t="s">
        <v>35</v>
      </c>
      <c r="F2409" s="38" t="s">
        <v>316</v>
      </c>
      <c r="G2409" s="39">
        <v>617</v>
      </c>
      <c r="H2409" s="40">
        <v>1.7150000000000001</v>
      </c>
      <c r="I2409" s="37">
        <v>169000</v>
      </c>
      <c r="J2409" s="41" t="s">
        <v>668</v>
      </c>
      <c r="K2409" s="42">
        <v>2025</v>
      </c>
    </row>
    <row r="2410" spans="1:11" ht="15" customHeight="1" x14ac:dyDescent="0.3">
      <c r="A2410" s="31">
        <v>2405</v>
      </c>
      <c r="B2410" s="32" t="s">
        <v>4482</v>
      </c>
      <c r="C2410" s="32" t="s">
        <v>5190</v>
      </c>
      <c r="D2410" s="32" t="s">
        <v>5191</v>
      </c>
      <c r="E2410" s="32" t="s">
        <v>3241</v>
      </c>
      <c r="F2410" s="32" t="s">
        <v>316</v>
      </c>
      <c r="G2410" s="33">
        <v>360</v>
      </c>
      <c r="H2410" s="34">
        <v>2.31</v>
      </c>
      <c r="I2410" s="31">
        <v>358800</v>
      </c>
      <c r="J2410" s="35" t="s">
        <v>668</v>
      </c>
      <c r="K2410" s="36">
        <v>2025</v>
      </c>
    </row>
    <row r="2411" spans="1:11" ht="15" customHeight="1" x14ac:dyDescent="0.3">
      <c r="A2411" s="37">
        <v>2406</v>
      </c>
      <c r="B2411" s="38" t="s">
        <v>4482</v>
      </c>
      <c r="C2411" s="38" t="s">
        <v>5192</v>
      </c>
      <c r="D2411" s="38" t="s">
        <v>1574</v>
      </c>
      <c r="E2411" s="38" t="s">
        <v>35</v>
      </c>
      <c r="F2411" s="38" t="s">
        <v>4335</v>
      </c>
      <c r="G2411" s="39">
        <v>500</v>
      </c>
      <c r="H2411" s="40">
        <v>0.57199999999999995</v>
      </c>
      <c r="I2411" s="37">
        <v>311800</v>
      </c>
      <c r="J2411" s="41" t="s">
        <v>668</v>
      </c>
      <c r="K2411" s="42">
        <v>2025</v>
      </c>
    </row>
    <row r="2412" spans="1:11" ht="15" customHeight="1" x14ac:dyDescent="0.3">
      <c r="A2412" s="31">
        <v>2407</v>
      </c>
      <c r="B2412" s="32" t="s">
        <v>4482</v>
      </c>
      <c r="C2412" s="32" t="s">
        <v>5193</v>
      </c>
      <c r="D2412" s="32" t="s">
        <v>5194</v>
      </c>
      <c r="E2412" s="32" t="s">
        <v>35</v>
      </c>
      <c r="F2412" s="32" t="s">
        <v>5195</v>
      </c>
      <c r="G2412" s="33">
        <v>4977</v>
      </c>
      <c r="H2412" s="34">
        <v>11.175000000000001</v>
      </c>
      <c r="I2412" s="31">
        <v>493800</v>
      </c>
      <c r="J2412" s="35" t="s">
        <v>668</v>
      </c>
      <c r="K2412" s="36">
        <v>2025</v>
      </c>
    </row>
    <row r="2413" spans="1:11" ht="15" customHeight="1" x14ac:dyDescent="0.3">
      <c r="A2413" s="37">
        <v>2408</v>
      </c>
      <c r="B2413" s="38" t="s">
        <v>4482</v>
      </c>
      <c r="C2413" s="38" t="s">
        <v>5196</v>
      </c>
      <c r="D2413" s="38" t="s">
        <v>5197</v>
      </c>
      <c r="E2413" s="38" t="s">
        <v>5198</v>
      </c>
      <c r="F2413" s="38" t="s">
        <v>435</v>
      </c>
      <c r="G2413" s="39">
        <v>4480</v>
      </c>
      <c r="H2413" s="40">
        <v>3.6480000000000001</v>
      </c>
      <c r="I2413" s="37">
        <v>227800</v>
      </c>
      <c r="J2413" s="41" t="s">
        <v>668</v>
      </c>
      <c r="K2413" s="42">
        <v>2025</v>
      </c>
    </row>
    <row r="2414" spans="1:11" ht="15" customHeight="1" x14ac:dyDescent="0.3">
      <c r="A2414" s="31">
        <v>2409</v>
      </c>
      <c r="B2414" s="32" t="s">
        <v>4482</v>
      </c>
      <c r="C2414" s="32" t="s">
        <v>5199</v>
      </c>
      <c r="D2414" s="32" t="s">
        <v>5200</v>
      </c>
      <c r="E2414" s="32" t="s">
        <v>5201</v>
      </c>
      <c r="F2414" s="32" t="s">
        <v>3831</v>
      </c>
      <c r="G2414" s="33">
        <v>119000</v>
      </c>
      <c r="H2414" s="34">
        <v>0.39700000000000002</v>
      </c>
      <c r="I2414" s="31">
        <v>227800</v>
      </c>
      <c r="J2414" s="35" t="s">
        <v>668</v>
      </c>
      <c r="K2414" s="36">
        <v>2025</v>
      </c>
    </row>
    <row r="2415" spans="1:11" ht="15" customHeight="1" x14ac:dyDescent="0.3">
      <c r="A2415" s="37">
        <v>2410</v>
      </c>
      <c r="B2415" s="38" t="s">
        <v>4482</v>
      </c>
      <c r="C2415" s="38" t="s">
        <v>5202</v>
      </c>
      <c r="D2415" s="38" t="s">
        <v>5203</v>
      </c>
      <c r="E2415" s="38" t="s">
        <v>5204</v>
      </c>
      <c r="F2415" s="38" t="s">
        <v>316</v>
      </c>
      <c r="G2415" s="39">
        <v>2844</v>
      </c>
      <c r="H2415" s="40">
        <v>3.105</v>
      </c>
      <c r="I2415" s="37">
        <v>197000</v>
      </c>
      <c r="J2415" s="41" t="s">
        <v>668</v>
      </c>
      <c r="K2415" s="42">
        <v>2025</v>
      </c>
    </row>
    <row r="2416" spans="1:11" ht="15" customHeight="1" x14ac:dyDescent="0.3">
      <c r="A2416" s="31">
        <v>2411</v>
      </c>
      <c r="B2416" s="32" t="s">
        <v>4482</v>
      </c>
      <c r="C2416" s="32" t="s">
        <v>5205</v>
      </c>
      <c r="D2416" s="32" t="s">
        <v>5206</v>
      </c>
      <c r="E2416" s="32" t="s">
        <v>5207</v>
      </c>
      <c r="F2416" s="32" t="s">
        <v>4758</v>
      </c>
      <c r="G2416" s="33">
        <v>1675</v>
      </c>
      <c r="H2416" s="34">
        <v>4.8570000000000002</v>
      </c>
      <c r="I2416" s="31">
        <v>255800</v>
      </c>
      <c r="J2416" s="35" t="s">
        <v>668</v>
      </c>
      <c r="K2416" s="36">
        <v>2025</v>
      </c>
    </row>
    <row r="2417" spans="1:11" ht="15" customHeight="1" x14ac:dyDescent="0.3">
      <c r="A2417" s="37">
        <v>2412</v>
      </c>
      <c r="B2417" s="38" t="s">
        <v>4482</v>
      </c>
      <c r="C2417" s="38" t="s">
        <v>5208</v>
      </c>
      <c r="D2417" s="38" t="s">
        <v>5209</v>
      </c>
      <c r="E2417" s="38" t="s">
        <v>1897</v>
      </c>
      <c r="F2417" s="38" t="s">
        <v>2112</v>
      </c>
      <c r="G2417" s="39">
        <v>145.5</v>
      </c>
      <c r="H2417" s="40">
        <v>0.19700000000000001</v>
      </c>
      <c r="I2417" s="37">
        <v>145800</v>
      </c>
      <c r="J2417" s="41" t="s">
        <v>668</v>
      </c>
      <c r="K2417" s="42">
        <v>2025</v>
      </c>
    </row>
    <row r="2418" spans="1:11" ht="15" customHeight="1" x14ac:dyDescent="0.3">
      <c r="A2418" s="31">
        <v>2413</v>
      </c>
      <c r="B2418" s="32" t="s">
        <v>4482</v>
      </c>
      <c r="C2418" s="32" t="s">
        <v>5210</v>
      </c>
      <c r="D2418" s="32" t="s">
        <v>4965</v>
      </c>
      <c r="E2418" s="32" t="s">
        <v>45</v>
      </c>
      <c r="F2418" s="32" t="s">
        <v>373</v>
      </c>
      <c r="G2418" s="33">
        <v>269.8</v>
      </c>
      <c r="H2418" s="34">
        <v>1.6220000000000001</v>
      </c>
      <c r="I2418" s="31">
        <v>253000</v>
      </c>
      <c r="J2418" s="35" t="s">
        <v>668</v>
      </c>
      <c r="K2418" s="36">
        <v>2025</v>
      </c>
    </row>
    <row r="2419" spans="1:11" ht="15" customHeight="1" x14ac:dyDescent="0.3">
      <c r="A2419" s="37">
        <v>2414</v>
      </c>
      <c r="B2419" s="38" t="s">
        <v>5150</v>
      </c>
      <c r="C2419" s="38" t="s">
        <v>5173</v>
      </c>
      <c r="D2419" s="38" t="s">
        <v>5174</v>
      </c>
      <c r="E2419" s="38" t="s">
        <v>5175</v>
      </c>
      <c r="F2419" s="38" t="s">
        <v>316</v>
      </c>
      <c r="G2419" s="39">
        <v>251</v>
      </c>
      <c r="H2419" s="40">
        <v>2.3980000000000001</v>
      </c>
      <c r="I2419" s="37">
        <v>169000</v>
      </c>
      <c r="J2419" s="41" t="s">
        <v>805</v>
      </c>
      <c r="K2419" s="42">
        <v>2025</v>
      </c>
    </row>
    <row r="2420" spans="1:11" ht="15" customHeight="1" x14ac:dyDescent="0.3">
      <c r="A2420" s="31">
        <v>2415</v>
      </c>
      <c r="B2420" s="32" t="s">
        <v>5150</v>
      </c>
      <c r="C2420" s="32" t="s">
        <v>5176</v>
      </c>
      <c r="D2420" s="32" t="s">
        <v>3618</v>
      </c>
      <c r="E2420" s="32" t="s">
        <v>35</v>
      </c>
      <c r="F2420" s="32" t="s">
        <v>3831</v>
      </c>
      <c r="G2420" s="33">
        <v>1310</v>
      </c>
      <c r="H2420" s="34">
        <v>0.67500000000000004</v>
      </c>
      <c r="I2420" s="31">
        <v>283800</v>
      </c>
      <c r="J2420" s="35" t="s">
        <v>805</v>
      </c>
      <c r="K2420" s="36">
        <v>2025</v>
      </c>
    </row>
    <row r="2421" spans="1:11" ht="15" customHeight="1" x14ac:dyDescent="0.3">
      <c r="A2421" s="37">
        <v>2416</v>
      </c>
      <c r="B2421" s="38" t="s">
        <v>5150</v>
      </c>
      <c r="C2421" s="38" t="s">
        <v>5177</v>
      </c>
      <c r="D2421" s="38" t="s">
        <v>5178</v>
      </c>
      <c r="E2421" s="38" t="s">
        <v>5179</v>
      </c>
      <c r="F2421" s="38" t="s">
        <v>316</v>
      </c>
      <c r="G2421" s="39">
        <v>403</v>
      </c>
      <c r="H2421" s="40">
        <v>3.68</v>
      </c>
      <c r="I2421" s="37">
        <v>227800</v>
      </c>
      <c r="J2421" s="41" t="s">
        <v>805</v>
      </c>
      <c r="K2421" s="42">
        <v>2025</v>
      </c>
    </row>
    <row r="2422" spans="1:11" ht="15" customHeight="1" x14ac:dyDescent="0.3">
      <c r="A2422" s="31">
        <v>2417</v>
      </c>
      <c r="B2422" s="32" t="s">
        <v>5150</v>
      </c>
      <c r="C2422" s="32" t="s">
        <v>5180</v>
      </c>
      <c r="D2422" s="32" t="s">
        <v>5181</v>
      </c>
      <c r="E2422" s="32" t="s">
        <v>3124</v>
      </c>
      <c r="F2422" s="32" t="s">
        <v>435</v>
      </c>
      <c r="G2422" s="33">
        <v>1051</v>
      </c>
      <c r="H2422" s="34">
        <v>5.9139999999999997</v>
      </c>
      <c r="I2422" s="31">
        <v>358800</v>
      </c>
      <c r="J2422" s="35" t="s">
        <v>805</v>
      </c>
      <c r="K2422" s="36">
        <v>2025</v>
      </c>
    </row>
    <row r="2423" spans="1:11" ht="15" customHeight="1" x14ac:dyDescent="0.3">
      <c r="A2423" s="37">
        <v>2418</v>
      </c>
      <c r="B2423" s="38" t="s">
        <v>5150</v>
      </c>
      <c r="C2423" s="38" t="s">
        <v>5182</v>
      </c>
      <c r="D2423" s="38" t="s">
        <v>5183</v>
      </c>
      <c r="E2423" s="38" t="s">
        <v>5184</v>
      </c>
      <c r="F2423" s="38" t="s">
        <v>406</v>
      </c>
      <c r="G2423" s="39">
        <v>2800</v>
      </c>
      <c r="H2423" s="40">
        <v>7.9880000000000004</v>
      </c>
      <c r="I2423" s="37">
        <v>331800</v>
      </c>
      <c r="J2423" s="41" t="s">
        <v>805</v>
      </c>
      <c r="K2423" s="42">
        <v>2025</v>
      </c>
    </row>
    <row r="2424" spans="1:11" ht="15" customHeight="1" x14ac:dyDescent="0.3">
      <c r="A2424" s="31">
        <v>2419</v>
      </c>
      <c r="B2424" s="32" t="s">
        <v>5150</v>
      </c>
      <c r="C2424" s="32" t="s">
        <v>5185</v>
      </c>
      <c r="D2424" s="32" t="s">
        <v>5186</v>
      </c>
      <c r="E2424" s="32" t="s">
        <v>35</v>
      </c>
      <c r="F2424" s="32" t="s">
        <v>3831</v>
      </c>
      <c r="G2424" s="33">
        <v>43</v>
      </c>
      <c r="H2424" s="34">
        <v>0.33600000000000002</v>
      </c>
      <c r="I2424" s="31">
        <v>227800</v>
      </c>
      <c r="J2424" s="35" t="s">
        <v>805</v>
      </c>
      <c r="K2424" s="36">
        <v>2025</v>
      </c>
    </row>
    <row r="2425" spans="1:11" ht="15" customHeight="1" x14ac:dyDescent="0.3">
      <c r="A2425" s="37">
        <v>2420</v>
      </c>
      <c r="B2425" s="38" t="s">
        <v>4482</v>
      </c>
      <c r="C2425" s="38" t="s">
        <v>5187</v>
      </c>
      <c r="D2425" s="38" t="s">
        <v>5123</v>
      </c>
      <c r="E2425" s="38" t="s">
        <v>35</v>
      </c>
      <c r="F2425" s="38" t="s">
        <v>5188</v>
      </c>
      <c r="G2425" s="39">
        <v>1938</v>
      </c>
      <c r="H2425" s="40">
        <v>1.696</v>
      </c>
      <c r="I2425" s="37">
        <v>311800</v>
      </c>
      <c r="J2425" s="41" t="s">
        <v>805</v>
      </c>
      <c r="K2425" s="42">
        <v>2025</v>
      </c>
    </row>
    <row r="2426" spans="1:11" ht="15" customHeight="1" x14ac:dyDescent="0.3">
      <c r="A2426" s="31">
        <v>2421</v>
      </c>
      <c r="B2426" s="32" t="s">
        <v>4482</v>
      </c>
      <c r="C2426" s="32" t="s">
        <v>5189</v>
      </c>
      <c r="D2426" s="32" t="s">
        <v>766</v>
      </c>
      <c r="E2426" s="32" t="s">
        <v>35</v>
      </c>
      <c r="F2426" s="32" t="s">
        <v>316</v>
      </c>
      <c r="G2426" s="33">
        <v>617</v>
      </c>
      <c r="H2426" s="34">
        <v>1.7150000000000001</v>
      </c>
      <c r="I2426" s="31">
        <v>169000</v>
      </c>
      <c r="J2426" s="35" t="s">
        <v>805</v>
      </c>
      <c r="K2426" s="36">
        <v>2025</v>
      </c>
    </row>
    <row r="2427" spans="1:11" ht="15" customHeight="1" x14ac:dyDescent="0.3">
      <c r="A2427" s="37">
        <v>2422</v>
      </c>
      <c r="B2427" s="38" t="s">
        <v>4482</v>
      </c>
      <c r="C2427" s="38" t="s">
        <v>5190</v>
      </c>
      <c r="D2427" s="38" t="s">
        <v>5191</v>
      </c>
      <c r="E2427" s="38" t="s">
        <v>3241</v>
      </c>
      <c r="F2427" s="38" t="s">
        <v>316</v>
      </c>
      <c r="G2427" s="39">
        <v>360</v>
      </c>
      <c r="H2427" s="40">
        <v>2.31</v>
      </c>
      <c r="I2427" s="37">
        <v>358800</v>
      </c>
      <c r="J2427" s="41" t="s">
        <v>805</v>
      </c>
      <c r="K2427" s="42">
        <v>2025</v>
      </c>
    </row>
    <row r="2428" spans="1:11" ht="15" customHeight="1" x14ac:dyDescent="0.3">
      <c r="A2428" s="31">
        <v>2423</v>
      </c>
      <c r="B2428" s="32" t="s">
        <v>4482</v>
      </c>
      <c r="C2428" s="32" t="s">
        <v>5192</v>
      </c>
      <c r="D2428" s="32" t="s">
        <v>1574</v>
      </c>
      <c r="E2428" s="32" t="s">
        <v>35</v>
      </c>
      <c r="F2428" s="32" t="s">
        <v>4335</v>
      </c>
      <c r="G2428" s="33">
        <v>500</v>
      </c>
      <c r="H2428" s="34">
        <v>0.57199999999999995</v>
      </c>
      <c r="I2428" s="31">
        <v>311800</v>
      </c>
      <c r="J2428" s="35" t="s">
        <v>805</v>
      </c>
      <c r="K2428" s="36">
        <v>2025</v>
      </c>
    </row>
    <row r="2429" spans="1:11" ht="15" customHeight="1" x14ac:dyDescent="0.3">
      <c r="A2429" s="37">
        <v>2424</v>
      </c>
      <c r="B2429" s="38" t="s">
        <v>4482</v>
      </c>
      <c r="C2429" s="38" t="s">
        <v>5193</v>
      </c>
      <c r="D2429" s="38" t="s">
        <v>5194</v>
      </c>
      <c r="E2429" s="38" t="s">
        <v>35</v>
      </c>
      <c r="F2429" s="38" t="s">
        <v>5195</v>
      </c>
      <c r="G2429" s="39">
        <v>4977</v>
      </c>
      <c r="H2429" s="40">
        <v>11.175000000000001</v>
      </c>
      <c r="I2429" s="37">
        <v>493800</v>
      </c>
      <c r="J2429" s="41" t="s">
        <v>805</v>
      </c>
      <c r="K2429" s="42">
        <v>2025</v>
      </c>
    </row>
    <row r="2430" spans="1:11" ht="15" customHeight="1" x14ac:dyDescent="0.3">
      <c r="A2430" s="31">
        <v>2425</v>
      </c>
      <c r="B2430" s="32" t="s">
        <v>4482</v>
      </c>
      <c r="C2430" s="32" t="s">
        <v>5196</v>
      </c>
      <c r="D2430" s="32" t="s">
        <v>5197</v>
      </c>
      <c r="E2430" s="32" t="s">
        <v>5198</v>
      </c>
      <c r="F2430" s="32" t="s">
        <v>435</v>
      </c>
      <c r="G2430" s="33">
        <v>4480</v>
      </c>
      <c r="H2430" s="34">
        <v>3.6480000000000001</v>
      </c>
      <c r="I2430" s="31">
        <v>227800</v>
      </c>
      <c r="J2430" s="35" t="s">
        <v>805</v>
      </c>
      <c r="K2430" s="36">
        <v>2025</v>
      </c>
    </row>
    <row r="2431" spans="1:11" ht="15" customHeight="1" x14ac:dyDescent="0.3">
      <c r="A2431" s="37">
        <v>2426</v>
      </c>
      <c r="B2431" s="38" t="s">
        <v>4482</v>
      </c>
      <c r="C2431" s="38" t="s">
        <v>5199</v>
      </c>
      <c r="D2431" s="38" t="s">
        <v>5200</v>
      </c>
      <c r="E2431" s="38" t="s">
        <v>5201</v>
      </c>
      <c r="F2431" s="38" t="s">
        <v>3831</v>
      </c>
      <c r="G2431" s="39">
        <v>119000</v>
      </c>
      <c r="H2431" s="40">
        <v>0.39700000000000002</v>
      </c>
      <c r="I2431" s="37">
        <v>227800</v>
      </c>
      <c r="J2431" s="41" t="s">
        <v>805</v>
      </c>
      <c r="K2431" s="42">
        <v>2025</v>
      </c>
    </row>
    <row r="2432" spans="1:11" ht="15" customHeight="1" x14ac:dyDescent="0.3">
      <c r="A2432" s="31">
        <v>2427</v>
      </c>
      <c r="B2432" s="32" t="s">
        <v>4482</v>
      </c>
      <c r="C2432" s="32" t="s">
        <v>5202</v>
      </c>
      <c r="D2432" s="32" t="s">
        <v>5203</v>
      </c>
      <c r="E2432" s="32" t="s">
        <v>5204</v>
      </c>
      <c r="F2432" s="32" t="s">
        <v>316</v>
      </c>
      <c r="G2432" s="33">
        <v>2844</v>
      </c>
      <c r="H2432" s="34">
        <v>3.105</v>
      </c>
      <c r="I2432" s="31">
        <v>197000</v>
      </c>
      <c r="J2432" s="35" t="s">
        <v>805</v>
      </c>
      <c r="K2432" s="36">
        <v>2025</v>
      </c>
    </row>
    <row r="2433" spans="1:11" ht="15" customHeight="1" x14ac:dyDescent="0.3">
      <c r="A2433" s="37">
        <v>2428</v>
      </c>
      <c r="B2433" s="38" t="s">
        <v>4482</v>
      </c>
      <c r="C2433" s="38" t="s">
        <v>5205</v>
      </c>
      <c r="D2433" s="38" t="s">
        <v>5206</v>
      </c>
      <c r="E2433" s="38" t="s">
        <v>5207</v>
      </c>
      <c r="F2433" s="38" t="s">
        <v>4758</v>
      </c>
      <c r="G2433" s="39">
        <v>1675</v>
      </c>
      <c r="H2433" s="40">
        <v>4.8570000000000002</v>
      </c>
      <c r="I2433" s="37">
        <v>255800</v>
      </c>
      <c r="J2433" s="41" t="s">
        <v>805</v>
      </c>
      <c r="K2433" s="42">
        <v>2025</v>
      </c>
    </row>
    <row r="2434" spans="1:11" ht="15" customHeight="1" x14ac:dyDescent="0.3">
      <c r="A2434" s="31">
        <v>2429</v>
      </c>
      <c r="B2434" s="32" t="s">
        <v>4482</v>
      </c>
      <c r="C2434" s="32" t="s">
        <v>5208</v>
      </c>
      <c r="D2434" s="32" t="s">
        <v>5209</v>
      </c>
      <c r="E2434" s="32" t="s">
        <v>1897</v>
      </c>
      <c r="F2434" s="32" t="s">
        <v>2112</v>
      </c>
      <c r="G2434" s="33">
        <v>145.5</v>
      </c>
      <c r="H2434" s="34">
        <v>0.19700000000000001</v>
      </c>
      <c r="I2434" s="31">
        <v>145800</v>
      </c>
      <c r="J2434" s="35" t="s">
        <v>805</v>
      </c>
      <c r="K2434" s="36">
        <v>2025</v>
      </c>
    </row>
    <row r="2435" spans="1:11" ht="15" customHeight="1" x14ac:dyDescent="0.3">
      <c r="A2435" s="37">
        <v>2430</v>
      </c>
      <c r="B2435" s="38" t="s">
        <v>4482</v>
      </c>
      <c r="C2435" s="38" t="s">
        <v>5210</v>
      </c>
      <c r="D2435" s="38" t="s">
        <v>4965</v>
      </c>
      <c r="E2435" s="38" t="s">
        <v>45</v>
      </c>
      <c r="F2435" s="38" t="s">
        <v>373</v>
      </c>
      <c r="G2435" s="39">
        <v>269.8</v>
      </c>
      <c r="H2435" s="40">
        <v>1.6220000000000001</v>
      </c>
      <c r="I2435" s="37">
        <v>253000</v>
      </c>
      <c r="J2435" s="41" t="s">
        <v>805</v>
      </c>
      <c r="K2435" s="42">
        <v>2025</v>
      </c>
    </row>
    <row r="2436" spans="1:11" ht="15" customHeight="1" x14ac:dyDescent="0.3">
      <c r="A2436" s="31">
        <v>2431</v>
      </c>
      <c r="B2436" s="32" t="s">
        <v>313</v>
      </c>
      <c r="C2436" s="32" t="s">
        <v>5211</v>
      </c>
      <c r="D2436" s="32" t="s">
        <v>5212</v>
      </c>
      <c r="E2436" s="32" t="s">
        <v>5213</v>
      </c>
      <c r="F2436" s="32" t="s">
        <v>3858</v>
      </c>
      <c r="G2436" s="33">
        <v>1037</v>
      </c>
      <c r="H2436" s="34">
        <v>7.5789999999999997</v>
      </c>
      <c r="I2436" s="31">
        <v>331800</v>
      </c>
      <c r="J2436" s="35" t="s">
        <v>920</v>
      </c>
      <c r="K2436" s="36">
        <v>2025</v>
      </c>
    </row>
    <row r="2437" spans="1:11" ht="15" customHeight="1" x14ac:dyDescent="0.3">
      <c r="A2437" s="37">
        <v>2432</v>
      </c>
      <c r="B2437" s="38" t="s">
        <v>313</v>
      </c>
      <c r="C2437" s="38" t="s">
        <v>5214</v>
      </c>
      <c r="D2437" s="38" t="s">
        <v>5215</v>
      </c>
      <c r="E2437" s="38" t="s">
        <v>5067</v>
      </c>
      <c r="F2437" s="38" t="s">
        <v>4879</v>
      </c>
      <c r="G2437" s="39">
        <v>660</v>
      </c>
      <c r="H2437" s="40">
        <v>1.056</v>
      </c>
      <c r="I2437" s="37">
        <v>145800</v>
      </c>
      <c r="J2437" s="41" t="s">
        <v>920</v>
      </c>
      <c r="K2437" s="42">
        <v>2025</v>
      </c>
    </row>
    <row r="2438" spans="1:11" ht="15" customHeight="1" x14ac:dyDescent="0.3">
      <c r="A2438" s="31">
        <v>2433</v>
      </c>
      <c r="B2438" s="32" t="s">
        <v>313</v>
      </c>
      <c r="C2438" s="32" t="s">
        <v>5216</v>
      </c>
      <c r="D2438" s="32" t="s">
        <v>5215</v>
      </c>
      <c r="E2438" s="32" t="s">
        <v>5217</v>
      </c>
      <c r="F2438" s="32" t="s">
        <v>5218</v>
      </c>
      <c r="G2438" s="33">
        <v>245</v>
      </c>
      <c r="H2438" s="34">
        <v>0.34599999999999997</v>
      </c>
      <c r="I2438" s="31">
        <v>143000</v>
      </c>
      <c r="J2438" s="35" t="s">
        <v>920</v>
      </c>
      <c r="K2438" s="36">
        <v>2025</v>
      </c>
    </row>
    <row r="2439" spans="1:11" ht="15" customHeight="1" x14ac:dyDescent="0.3">
      <c r="A2439" s="37">
        <v>2434</v>
      </c>
      <c r="B2439" s="38" t="s">
        <v>313</v>
      </c>
      <c r="C2439" s="38" t="s">
        <v>5219</v>
      </c>
      <c r="D2439" s="38" t="s">
        <v>5220</v>
      </c>
      <c r="E2439" s="38" t="s">
        <v>5221</v>
      </c>
      <c r="F2439" s="38" t="s">
        <v>4758</v>
      </c>
      <c r="G2439" s="39">
        <v>754</v>
      </c>
      <c r="H2439" s="40">
        <v>7.5</v>
      </c>
      <c r="I2439" s="37">
        <v>331800</v>
      </c>
      <c r="J2439" s="41" t="s">
        <v>920</v>
      </c>
      <c r="K2439" s="42">
        <v>2025</v>
      </c>
    </row>
    <row r="2440" spans="1:11" ht="15" customHeight="1" x14ac:dyDescent="0.3">
      <c r="A2440" s="31">
        <v>2435</v>
      </c>
      <c r="B2440" s="32" t="s">
        <v>313</v>
      </c>
      <c r="C2440" s="32" t="s">
        <v>5222</v>
      </c>
      <c r="D2440" s="32" t="s">
        <v>5223</v>
      </c>
      <c r="E2440" s="32" t="s">
        <v>35</v>
      </c>
      <c r="F2440" s="32" t="s">
        <v>4986</v>
      </c>
      <c r="G2440" s="33">
        <v>519</v>
      </c>
      <c r="H2440" s="34">
        <v>2.1869999999999998</v>
      </c>
      <c r="I2440" s="31">
        <v>311800</v>
      </c>
      <c r="J2440" s="35" t="s">
        <v>920</v>
      </c>
      <c r="K2440" s="36">
        <v>2025</v>
      </c>
    </row>
    <row r="2441" spans="1:11" ht="15" customHeight="1" x14ac:dyDescent="0.3">
      <c r="A2441" s="37">
        <v>2436</v>
      </c>
      <c r="B2441" s="38" t="s">
        <v>313</v>
      </c>
      <c r="C2441" s="38" t="s">
        <v>5224</v>
      </c>
      <c r="D2441" s="38" t="s">
        <v>5225</v>
      </c>
      <c r="E2441" s="38" t="s">
        <v>1774</v>
      </c>
      <c r="F2441" s="38" t="s">
        <v>4758</v>
      </c>
      <c r="G2441" s="39">
        <v>1422</v>
      </c>
      <c r="H2441" s="40">
        <v>3.9359999999999999</v>
      </c>
      <c r="I2441" s="37">
        <v>227800</v>
      </c>
      <c r="J2441" s="41" t="s">
        <v>920</v>
      </c>
      <c r="K2441" s="42">
        <v>2025</v>
      </c>
    </row>
    <row r="2442" spans="1:11" ht="15" customHeight="1" x14ac:dyDescent="0.3">
      <c r="A2442" s="31">
        <v>2437</v>
      </c>
      <c r="B2442" s="32" t="s">
        <v>313</v>
      </c>
      <c r="C2442" s="32" t="s">
        <v>5226</v>
      </c>
      <c r="D2442" s="32" t="s">
        <v>5227</v>
      </c>
      <c r="E2442" s="32" t="s">
        <v>5228</v>
      </c>
      <c r="F2442" s="32" t="s">
        <v>5218</v>
      </c>
      <c r="G2442" s="33">
        <v>58.85</v>
      </c>
      <c r="H2442" s="34">
        <v>0.49399999999999999</v>
      </c>
      <c r="I2442" s="31">
        <v>145800</v>
      </c>
      <c r="J2442" s="35" t="s">
        <v>920</v>
      </c>
      <c r="K2442" s="36">
        <v>2025</v>
      </c>
    </row>
    <row r="2443" spans="1:11" ht="15" customHeight="1" x14ac:dyDescent="0.3">
      <c r="A2443" s="37">
        <v>2438</v>
      </c>
      <c r="B2443" s="38" t="s">
        <v>313</v>
      </c>
      <c r="C2443" s="38" t="s">
        <v>5229</v>
      </c>
      <c r="D2443" s="38" t="s">
        <v>5230</v>
      </c>
      <c r="E2443" s="38" t="s">
        <v>4658</v>
      </c>
      <c r="F2443" s="38" t="s">
        <v>435</v>
      </c>
      <c r="G2443" s="39">
        <v>4148.25</v>
      </c>
      <c r="H2443" s="40">
        <v>4.1379999999999999</v>
      </c>
      <c r="I2443" s="37">
        <v>227800</v>
      </c>
      <c r="J2443" s="41" t="s">
        <v>920</v>
      </c>
      <c r="K2443" s="42">
        <v>2025</v>
      </c>
    </row>
    <row r="2444" spans="1:11" ht="15" customHeight="1" x14ac:dyDescent="0.3">
      <c r="A2444" s="31">
        <v>2439</v>
      </c>
      <c r="B2444" s="32" t="s">
        <v>1059</v>
      </c>
      <c r="C2444" s="32" t="s">
        <v>5231</v>
      </c>
      <c r="D2444" s="32" t="s">
        <v>5014</v>
      </c>
      <c r="E2444" s="32" t="s">
        <v>5232</v>
      </c>
      <c r="F2444" s="32" t="s">
        <v>4879</v>
      </c>
      <c r="G2444" s="33">
        <v>1050</v>
      </c>
      <c r="H2444" s="34">
        <v>2.1120000000000001</v>
      </c>
      <c r="I2444" s="31">
        <v>227800</v>
      </c>
      <c r="J2444" s="35" t="s">
        <v>1006</v>
      </c>
      <c r="K2444" s="36">
        <v>2025</v>
      </c>
    </row>
    <row r="2445" spans="1:11" ht="15" customHeight="1" x14ac:dyDescent="0.3">
      <c r="A2445" s="37">
        <v>2440</v>
      </c>
      <c r="B2445" s="38" t="s">
        <v>1059</v>
      </c>
      <c r="C2445" s="38" t="s">
        <v>5233</v>
      </c>
      <c r="D2445" s="38" t="s">
        <v>5206</v>
      </c>
      <c r="E2445" s="38" t="s">
        <v>5234</v>
      </c>
      <c r="F2445" s="38" t="s">
        <v>276</v>
      </c>
      <c r="G2445" s="39">
        <v>425</v>
      </c>
      <c r="H2445" s="40">
        <v>0.93700000000000006</v>
      </c>
      <c r="I2445" s="37">
        <v>227800</v>
      </c>
      <c r="J2445" s="41" t="s">
        <v>1006</v>
      </c>
      <c r="K2445" s="42">
        <v>2025</v>
      </c>
    </row>
    <row r="2446" spans="1:11" ht="15" customHeight="1" x14ac:dyDescent="0.3">
      <c r="A2446" s="31">
        <v>2441</v>
      </c>
      <c r="B2446" s="32" t="s">
        <v>1059</v>
      </c>
      <c r="C2446" s="32" t="s">
        <v>5235</v>
      </c>
      <c r="D2446" s="32" t="s">
        <v>5215</v>
      </c>
      <c r="E2446" s="32" t="s">
        <v>4216</v>
      </c>
      <c r="F2446" s="32" t="s">
        <v>276</v>
      </c>
      <c r="G2446" s="33">
        <v>9.6</v>
      </c>
      <c r="H2446" s="34">
        <v>0.34399999999999997</v>
      </c>
      <c r="I2446" s="31">
        <v>385800</v>
      </c>
      <c r="J2446" s="35" t="s">
        <v>1006</v>
      </c>
      <c r="K2446" s="36">
        <v>2025</v>
      </c>
    </row>
    <row r="2447" spans="1:11" ht="15" customHeight="1" x14ac:dyDescent="0.3">
      <c r="A2447" s="37">
        <v>2442</v>
      </c>
      <c r="B2447" s="38" t="s">
        <v>1059</v>
      </c>
      <c r="C2447" s="38" t="s">
        <v>5236</v>
      </c>
      <c r="D2447" s="38" t="s">
        <v>5237</v>
      </c>
      <c r="E2447" s="38" t="s">
        <v>5238</v>
      </c>
      <c r="F2447" s="38" t="s">
        <v>287</v>
      </c>
      <c r="G2447" s="39">
        <v>430</v>
      </c>
      <c r="H2447" s="40">
        <v>4.851</v>
      </c>
      <c r="I2447" s="37">
        <v>311.8</v>
      </c>
      <c r="J2447" s="41" t="s">
        <v>1006</v>
      </c>
      <c r="K2447" s="42">
        <v>2025</v>
      </c>
    </row>
    <row r="2448" spans="1:11" ht="15" customHeight="1" x14ac:dyDescent="0.3">
      <c r="A2448" s="31">
        <v>2443</v>
      </c>
      <c r="B2448" s="32" t="s">
        <v>1059</v>
      </c>
      <c r="C2448" s="32" t="s">
        <v>5239</v>
      </c>
      <c r="D2448" s="32" t="s">
        <v>5240</v>
      </c>
      <c r="E2448" s="32" t="s">
        <v>5241</v>
      </c>
      <c r="F2448" s="32" t="s">
        <v>5242</v>
      </c>
      <c r="G2448" s="33">
        <v>630</v>
      </c>
      <c r="H2448" s="34">
        <v>4.234</v>
      </c>
      <c r="I2448" s="31">
        <v>281000</v>
      </c>
      <c r="J2448" s="35" t="s">
        <v>1006</v>
      </c>
      <c r="K2448" s="36">
        <v>2025</v>
      </c>
    </row>
    <row r="2449" spans="1:11" ht="15" customHeight="1" x14ac:dyDescent="0.3">
      <c r="A2449" s="37">
        <v>2444</v>
      </c>
      <c r="B2449" s="38" t="s">
        <v>1059</v>
      </c>
      <c r="C2449" s="38" t="s">
        <v>5243</v>
      </c>
      <c r="D2449" s="38" t="s">
        <v>58</v>
      </c>
      <c r="E2449" s="38" t="s">
        <v>39</v>
      </c>
      <c r="F2449" s="38" t="s">
        <v>4879</v>
      </c>
      <c r="G2449" s="39">
        <v>256</v>
      </c>
      <c r="H2449" s="40">
        <v>1.2</v>
      </c>
      <c r="I2449" s="37">
        <v>2838700</v>
      </c>
      <c r="J2449" s="41" t="s">
        <v>1006</v>
      </c>
      <c r="K2449" s="42">
        <v>2025</v>
      </c>
    </row>
    <row r="2450" spans="1:11" ht="15" customHeight="1" x14ac:dyDescent="0.3">
      <c r="A2450" s="31">
        <v>2445</v>
      </c>
      <c r="B2450" s="32" t="s">
        <v>1059</v>
      </c>
      <c r="C2450" s="32" t="s">
        <v>5244</v>
      </c>
      <c r="D2450" s="32" t="s">
        <v>5245</v>
      </c>
      <c r="E2450" s="32" t="s">
        <v>5246</v>
      </c>
      <c r="F2450" s="32" t="s">
        <v>5247</v>
      </c>
      <c r="G2450" s="33">
        <v>2000.999</v>
      </c>
      <c r="H2450" s="34">
        <v>4.4160000000000004</v>
      </c>
      <c r="I2450" s="31">
        <v>311800</v>
      </c>
      <c r="J2450" s="35" t="s">
        <v>1006</v>
      </c>
      <c r="K2450" s="36">
        <v>2025</v>
      </c>
    </row>
    <row r="2451" spans="1:11" ht="15" customHeight="1" x14ac:dyDescent="0.3">
      <c r="A2451" s="37">
        <v>2446</v>
      </c>
      <c r="B2451" s="38" t="s">
        <v>5248</v>
      </c>
      <c r="C2451" s="38" t="s">
        <v>5249</v>
      </c>
      <c r="D2451" s="38" t="s">
        <v>4003</v>
      </c>
      <c r="E2451" s="38" t="s">
        <v>4261</v>
      </c>
      <c r="F2451" s="38" t="s">
        <v>4343</v>
      </c>
      <c r="G2451" s="39">
        <v>6355.2</v>
      </c>
      <c r="H2451" s="40">
        <v>10.32</v>
      </c>
      <c r="I2451" s="37">
        <v>385800</v>
      </c>
      <c r="J2451" s="41" t="s">
        <v>1006</v>
      </c>
      <c r="K2451" s="42">
        <v>2025</v>
      </c>
    </row>
    <row r="2452" spans="1:11" ht="15" customHeight="1" x14ac:dyDescent="0.3">
      <c r="A2452" s="31">
        <v>2447</v>
      </c>
      <c r="B2452" s="32" t="s">
        <v>5248</v>
      </c>
      <c r="C2452" s="32" t="s">
        <v>5250</v>
      </c>
      <c r="D2452" s="32" t="s">
        <v>5251</v>
      </c>
      <c r="E2452" s="32" t="s">
        <v>5252</v>
      </c>
      <c r="F2452" s="32" t="s">
        <v>4754</v>
      </c>
      <c r="G2452" s="33">
        <v>156</v>
      </c>
      <c r="H2452" s="34">
        <v>1.44</v>
      </c>
      <c r="I2452" s="31">
        <v>145800</v>
      </c>
      <c r="J2452" s="35" t="s">
        <v>1006</v>
      </c>
      <c r="K2452" s="36">
        <v>2025</v>
      </c>
    </row>
    <row r="2453" spans="1:11" ht="15" customHeight="1" x14ac:dyDescent="0.3">
      <c r="A2453" s="37">
        <v>2448</v>
      </c>
      <c r="B2453" s="38" t="s">
        <v>5248</v>
      </c>
      <c r="C2453" s="38" t="s">
        <v>5253</v>
      </c>
      <c r="D2453" s="38" t="s">
        <v>3973</v>
      </c>
      <c r="E2453" s="38" t="s">
        <v>35</v>
      </c>
      <c r="F2453" s="38" t="s">
        <v>276</v>
      </c>
      <c r="G2453" s="39">
        <v>227</v>
      </c>
      <c r="H2453" s="40">
        <v>0.74</v>
      </c>
      <c r="I2453" s="37">
        <v>311800</v>
      </c>
      <c r="J2453" s="41" t="s">
        <v>1006</v>
      </c>
      <c r="K2453" s="42">
        <v>2025</v>
      </c>
    </row>
    <row r="2454" spans="1:11" ht="15" customHeight="1" x14ac:dyDescent="0.3">
      <c r="A2454" s="31">
        <v>2449</v>
      </c>
      <c r="B2454" s="32" t="s">
        <v>5248</v>
      </c>
      <c r="C2454" s="32" t="s">
        <v>5254</v>
      </c>
      <c r="D2454" s="32" t="s">
        <v>5255</v>
      </c>
      <c r="E2454" s="32" t="s">
        <v>5256</v>
      </c>
      <c r="F2454" s="32" t="s">
        <v>287</v>
      </c>
      <c r="G2454" s="33">
        <v>1000</v>
      </c>
      <c r="H2454" s="34">
        <v>5.1429999999999998</v>
      </c>
      <c r="I2454" s="31">
        <v>255800</v>
      </c>
      <c r="J2454" s="35" t="s">
        <v>1006</v>
      </c>
      <c r="K2454" s="36">
        <v>2025</v>
      </c>
    </row>
    <row r="2455" spans="1:11" ht="15" customHeight="1" x14ac:dyDescent="0.3">
      <c r="A2455" s="37">
        <v>2450</v>
      </c>
      <c r="B2455" s="38" t="s">
        <v>5248</v>
      </c>
      <c r="C2455" s="38" t="s">
        <v>5257</v>
      </c>
      <c r="D2455" s="38" t="s">
        <v>5258</v>
      </c>
      <c r="E2455" s="38" t="s">
        <v>5149</v>
      </c>
      <c r="F2455" s="38" t="s">
        <v>4879</v>
      </c>
      <c r="G2455" s="39">
        <v>361.8</v>
      </c>
      <c r="H2455" s="40">
        <v>2</v>
      </c>
      <c r="I2455" s="37">
        <v>171800</v>
      </c>
      <c r="J2455" s="41" t="s">
        <v>1006</v>
      </c>
      <c r="K2455" s="42">
        <v>2025</v>
      </c>
    </row>
    <row r="2456" spans="1:11" ht="15" customHeight="1" x14ac:dyDescent="0.3">
      <c r="A2456" s="31">
        <v>2451</v>
      </c>
      <c r="B2456" s="32" t="s">
        <v>4482</v>
      </c>
      <c r="C2456" s="32" t="s">
        <v>5259</v>
      </c>
      <c r="D2456" s="32" t="s">
        <v>5260</v>
      </c>
      <c r="E2456" s="32" t="s">
        <v>5261</v>
      </c>
      <c r="F2456" s="32" t="s">
        <v>3831</v>
      </c>
      <c r="G2456" s="33">
        <v>400</v>
      </c>
      <c r="H2456" s="34">
        <v>2.7719999999999998</v>
      </c>
      <c r="I2456" s="31">
        <v>253000</v>
      </c>
      <c r="J2456" s="35" t="s">
        <v>1132</v>
      </c>
      <c r="K2456" s="36">
        <v>2025</v>
      </c>
    </row>
    <row r="2457" spans="1:11" ht="15" customHeight="1" x14ac:dyDescent="0.3">
      <c r="A2457" s="37">
        <v>2452</v>
      </c>
      <c r="B2457" s="38" t="s">
        <v>4482</v>
      </c>
      <c r="C2457" s="38" t="s">
        <v>5262</v>
      </c>
      <c r="D2457" s="38" t="s">
        <v>5263</v>
      </c>
      <c r="E2457" s="38" t="s">
        <v>45</v>
      </c>
      <c r="F2457" s="38" t="s">
        <v>3831</v>
      </c>
      <c r="G2457" s="39">
        <v>566</v>
      </c>
      <c r="H2457" s="40">
        <v>4.2649999999999997</v>
      </c>
      <c r="I2457" s="37">
        <v>225000</v>
      </c>
      <c r="J2457" s="41" t="s">
        <v>1132</v>
      </c>
      <c r="K2457" s="42">
        <v>2025</v>
      </c>
    </row>
    <row r="2458" spans="1:11" ht="15" customHeight="1" x14ac:dyDescent="0.3">
      <c r="A2458" s="31">
        <v>2453</v>
      </c>
      <c r="B2458" s="32" t="s">
        <v>4482</v>
      </c>
      <c r="C2458" s="32" t="s">
        <v>5264</v>
      </c>
      <c r="D2458" s="32" t="s">
        <v>5265</v>
      </c>
      <c r="E2458" s="32" t="s">
        <v>5266</v>
      </c>
      <c r="F2458" s="32" t="s">
        <v>4879</v>
      </c>
      <c r="G2458" s="33">
        <v>1106</v>
      </c>
      <c r="H2458" s="34">
        <v>2.5169999999999999</v>
      </c>
      <c r="I2458" s="31">
        <v>199800</v>
      </c>
      <c r="J2458" s="35" t="s">
        <v>1132</v>
      </c>
      <c r="K2458" s="36">
        <v>2025</v>
      </c>
    </row>
    <row r="2459" spans="1:11" ht="15" customHeight="1" x14ac:dyDescent="0.3">
      <c r="A2459" s="37">
        <v>2454</v>
      </c>
      <c r="B2459" s="38" t="s">
        <v>4482</v>
      </c>
      <c r="C2459" s="38" t="s">
        <v>5267</v>
      </c>
      <c r="D2459" s="38" t="s">
        <v>5215</v>
      </c>
      <c r="E2459" s="38" t="s">
        <v>63</v>
      </c>
      <c r="F2459" s="38" t="s">
        <v>5033</v>
      </c>
      <c r="G2459" s="39">
        <v>5143.8</v>
      </c>
      <c r="H2459" s="40">
        <v>9.0719999999999992</v>
      </c>
      <c r="I2459" s="37">
        <v>356000</v>
      </c>
      <c r="J2459" s="41" t="s">
        <v>1132</v>
      </c>
      <c r="K2459" s="42">
        <v>2025</v>
      </c>
    </row>
    <row r="2460" spans="1:11" ht="15" customHeight="1" x14ac:dyDescent="0.3">
      <c r="A2460" s="31">
        <v>2455</v>
      </c>
      <c r="B2460" s="32" t="s">
        <v>4482</v>
      </c>
      <c r="C2460" s="32" t="s">
        <v>5268</v>
      </c>
      <c r="D2460" s="32" t="s">
        <v>3618</v>
      </c>
      <c r="E2460" s="32" t="s">
        <v>35</v>
      </c>
      <c r="F2460" s="32" t="s">
        <v>4758</v>
      </c>
      <c r="G2460" s="33">
        <v>4254</v>
      </c>
      <c r="H2460" s="34">
        <v>2.02</v>
      </c>
      <c r="I2460" s="31">
        <v>385800</v>
      </c>
      <c r="J2460" s="35" t="s">
        <v>1132</v>
      </c>
      <c r="K2460" s="36">
        <v>2025</v>
      </c>
    </row>
    <row r="2461" spans="1:11" ht="15" customHeight="1" x14ac:dyDescent="0.3">
      <c r="A2461" s="37">
        <v>2456</v>
      </c>
      <c r="B2461" s="38" t="s">
        <v>4482</v>
      </c>
      <c r="C2461" s="38" t="s">
        <v>5269</v>
      </c>
      <c r="D2461" s="38" t="s">
        <v>5270</v>
      </c>
      <c r="E2461" s="38" t="s">
        <v>2697</v>
      </c>
      <c r="F2461" s="38" t="s">
        <v>5271</v>
      </c>
      <c r="G2461" s="39">
        <v>1850</v>
      </c>
      <c r="H2461" s="40">
        <v>5.57</v>
      </c>
      <c r="I2461" s="37">
        <v>281000</v>
      </c>
      <c r="J2461" s="41" t="s">
        <v>1132</v>
      </c>
      <c r="K2461" s="42">
        <v>2025</v>
      </c>
    </row>
    <row r="2462" spans="1:11" ht="15" customHeight="1" x14ac:dyDescent="0.3">
      <c r="A2462" s="31">
        <v>2457</v>
      </c>
      <c r="B2462" s="32" t="s">
        <v>4482</v>
      </c>
      <c r="C2462" s="32" t="s">
        <v>5272</v>
      </c>
      <c r="D2462" s="32" t="s">
        <v>5273</v>
      </c>
      <c r="E2462" s="32" t="s">
        <v>5274</v>
      </c>
      <c r="F2462" s="32" t="s">
        <v>5275</v>
      </c>
      <c r="G2462" s="33">
        <v>940</v>
      </c>
      <c r="H2462" s="34">
        <v>2</v>
      </c>
      <c r="I2462" s="31">
        <v>253000</v>
      </c>
      <c r="J2462" s="35" t="s">
        <v>1132</v>
      </c>
      <c r="K2462" s="36">
        <v>2025</v>
      </c>
    </row>
    <row r="2463" spans="1:11" ht="15" customHeight="1" x14ac:dyDescent="0.3">
      <c r="A2463" s="37">
        <v>2458</v>
      </c>
      <c r="B2463" s="38" t="s">
        <v>4482</v>
      </c>
      <c r="C2463" s="38" t="s">
        <v>5276</v>
      </c>
      <c r="D2463" s="38" t="s">
        <v>5277</v>
      </c>
      <c r="E2463" s="38" t="s">
        <v>5278</v>
      </c>
      <c r="F2463" s="38" t="s">
        <v>3831</v>
      </c>
      <c r="G2463" s="39">
        <v>835</v>
      </c>
      <c r="H2463" s="40">
        <v>2.0590000000000002</v>
      </c>
      <c r="I2463" s="37">
        <v>171800</v>
      </c>
      <c r="J2463" s="41" t="s">
        <v>1132</v>
      </c>
      <c r="K2463" s="42">
        <v>2025</v>
      </c>
    </row>
    <row r="2464" spans="1:11" ht="15" customHeight="1" x14ac:dyDescent="0.3">
      <c r="A2464" s="31">
        <v>2459</v>
      </c>
      <c r="B2464" s="32" t="s">
        <v>4482</v>
      </c>
      <c r="C2464" s="32" t="s">
        <v>5279</v>
      </c>
      <c r="D2464" s="32" t="s">
        <v>5280</v>
      </c>
      <c r="E2464" s="32" t="s">
        <v>5281</v>
      </c>
      <c r="F2464" s="32" t="s">
        <v>312</v>
      </c>
      <c r="G2464" s="33">
        <v>2500</v>
      </c>
      <c r="H2464" s="34">
        <v>5.7809999999999997</v>
      </c>
      <c r="I2464" s="31">
        <v>281000</v>
      </c>
      <c r="J2464" s="35" t="s">
        <v>1132</v>
      </c>
      <c r="K2464" s="36">
        <v>2025</v>
      </c>
    </row>
    <row r="2465" spans="1:11" ht="15" customHeight="1" x14ac:dyDescent="0.3">
      <c r="A2465" s="37">
        <v>2460</v>
      </c>
      <c r="B2465" s="38" t="s">
        <v>4482</v>
      </c>
      <c r="C2465" s="38" t="s">
        <v>5282</v>
      </c>
      <c r="D2465" s="38" t="s">
        <v>4618</v>
      </c>
      <c r="E2465" s="38" t="s">
        <v>63</v>
      </c>
      <c r="F2465" s="38" t="s">
        <v>4758</v>
      </c>
      <c r="G2465" s="39">
        <v>1715.5</v>
      </c>
      <c r="H2465" s="40">
        <v>3.4289999999999998</v>
      </c>
      <c r="I2465" s="37">
        <v>197000</v>
      </c>
      <c r="J2465" s="41" t="s">
        <v>1132</v>
      </c>
      <c r="K2465" s="42">
        <v>2025</v>
      </c>
    </row>
    <row r="2466" spans="1:11" ht="15" customHeight="1" x14ac:dyDescent="0.3">
      <c r="A2466" s="31">
        <v>2461</v>
      </c>
      <c r="B2466" s="32" t="s">
        <v>4482</v>
      </c>
      <c r="C2466" s="32" t="s">
        <v>5283</v>
      </c>
      <c r="D2466" s="32" t="s">
        <v>4571</v>
      </c>
      <c r="E2466" s="32" t="s">
        <v>35</v>
      </c>
      <c r="F2466" s="32" t="s">
        <v>312</v>
      </c>
      <c r="G2466" s="33">
        <v>288</v>
      </c>
      <c r="H2466" s="34">
        <v>1.3839999999999999</v>
      </c>
      <c r="I2466" s="31">
        <v>283800</v>
      </c>
      <c r="J2466" s="35" t="s">
        <v>1132</v>
      </c>
      <c r="K2466" s="36">
        <v>2025</v>
      </c>
    </row>
    <row r="2467" spans="1:11" ht="15" customHeight="1" x14ac:dyDescent="0.3">
      <c r="A2467" s="37">
        <v>2462</v>
      </c>
      <c r="B2467" s="38" t="s">
        <v>4482</v>
      </c>
      <c r="C2467" s="38" t="s">
        <v>5284</v>
      </c>
      <c r="D2467" s="38" t="s">
        <v>5285</v>
      </c>
      <c r="E2467" s="38" t="s">
        <v>5286</v>
      </c>
      <c r="F2467" s="38" t="s">
        <v>312</v>
      </c>
      <c r="G2467" s="39">
        <v>500</v>
      </c>
      <c r="H2467" s="40">
        <v>5.49</v>
      </c>
      <c r="I2467" s="37">
        <v>331800</v>
      </c>
      <c r="J2467" s="41" t="s">
        <v>1132</v>
      </c>
      <c r="K2467" s="42">
        <v>2025</v>
      </c>
    </row>
    <row r="2468" spans="1:11" ht="15" customHeight="1" x14ac:dyDescent="0.3">
      <c r="A2468" s="31">
        <v>2463</v>
      </c>
      <c r="B2468" s="32" t="s">
        <v>4482</v>
      </c>
      <c r="C2468" s="32" t="s">
        <v>5287</v>
      </c>
      <c r="D2468" s="32" t="s">
        <v>5288</v>
      </c>
      <c r="E2468" s="32" t="s">
        <v>5274</v>
      </c>
      <c r="F2468" s="32" t="s">
        <v>4758</v>
      </c>
      <c r="G2468" s="33">
        <v>1600</v>
      </c>
      <c r="H2468" s="34">
        <v>2.88</v>
      </c>
      <c r="I2468" s="31">
        <v>281000</v>
      </c>
      <c r="J2468" s="35" t="s">
        <v>1132</v>
      </c>
      <c r="K2468" s="36">
        <v>2025</v>
      </c>
    </row>
    <row r="2469" spans="1:11" ht="15" customHeight="1" x14ac:dyDescent="0.3">
      <c r="A2469" s="37">
        <v>2464</v>
      </c>
      <c r="B2469" s="38" t="s">
        <v>4482</v>
      </c>
      <c r="C2469" s="38" t="s">
        <v>1753</v>
      </c>
      <c r="D2469" s="38" t="s">
        <v>5289</v>
      </c>
      <c r="E2469" s="38" t="s">
        <v>5290</v>
      </c>
      <c r="F2469" s="38" t="s">
        <v>4879</v>
      </c>
      <c r="G2469" s="39">
        <v>400.4</v>
      </c>
      <c r="H2469" s="40">
        <v>1.5740000000000001</v>
      </c>
      <c r="I2469" s="37">
        <v>171800</v>
      </c>
      <c r="J2469" s="41" t="s">
        <v>1132</v>
      </c>
      <c r="K2469" s="42">
        <v>2025</v>
      </c>
    </row>
    <row r="2470" spans="1:11" ht="15" customHeight="1" x14ac:dyDescent="0.3">
      <c r="A2470" s="31">
        <v>2465</v>
      </c>
      <c r="B2470" s="32" t="s">
        <v>5291</v>
      </c>
      <c r="C2470" s="32" t="s">
        <v>5292</v>
      </c>
      <c r="D2470" s="32" t="s">
        <v>5293</v>
      </c>
      <c r="E2470" s="32" t="s">
        <v>35</v>
      </c>
      <c r="F2470" s="32" t="s">
        <v>3858</v>
      </c>
      <c r="G2470" s="33">
        <v>570</v>
      </c>
      <c r="H2470" s="34">
        <v>1.3680000000000001</v>
      </c>
      <c r="I2470" s="31">
        <v>283800</v>
      </c>
      <c r="J2470" s="35" t="s">
        <v>1132</v>
      </c>
      <c r="K2470" s="36">
        <v>2025</v>
      </c>
    </row>
    <row r="2471" spans="1:11" ht="15" customHeight="1" x14ac:dyDescent="0.3">
      <c r="A2471" s="37">
        <v>2466</v>
      </c>
      <c r="B2471" s="38" t="s">
        <v>5291</v>
      </c>
      <c r="C2471" s="38" t="s">
        <v>5294</v>
      </c>
      <c r="D2471" s="38" t="s">
        <v>5295</v>
      </c>
      <c r="E2471" s="38" t="s">
        <v>5295</v>
      </c>
      <c r="F2471" s="38" t="s">
        <v>4761</v>
      </c>
      <c r="G2471" s="39">
        <v>1692</v>
      </c>
      <c r="H2471" s="40">
        <v>5.51</v>
      </c>
      <c r="I2471" s="37">
        <v>383000</v>
      </c>
      <c r="J2471" s="41" t="s">
        <v>1132</v>
      </c>
      <c r="K2471" s="42">
        <v>2025</v>
      </c>
    </row>
    <row r="2472" spans="1:11" ht="15" customHeight="1" x14ac:dyDescent="0.3">
      <c r="A2472" s="31">
        <v>2467</v>
      </c>
      <c r="B2472" s="32" t="s">
        <v>5291</v>
      </c>
      <c r="C2472" s="32" t="s">
        <v>5296</v>
      </c>
      <c r="D2472" s="32" t="s">
        <v>5215</v>
      </c>
      <c r="E2472" s="32" t="s">
        <v>2614</v>
      </c>
      <c r="F2472" s="32" t="s">
        <v>4343</v>
      </c>
      <c r="G2472" s="33">
        <v>2636</v>
      </c>
      <c r="H2472" s="34">
        <v>4.8120000000000003</v>
      </c>
      <c r="I2472" s="31">
        <v>253000</v>
      </c>
      <c r="J2472" s="35" t="s">
        <v>1132</v>
      </c>
      <c r="K2472" s="36">
        <v>2025</v>
      </c>
    </row>
    <row r="2473" spans="1:11" ht="15" customHeight="1" x14ac:dyDescent="0.3">
      <c r="A2473" s="37">
        <v>2468</v>
      </c>
      <c r="B2473" s="38" t="s">
        <v>5291</v>
      </c>
      <c r="C2473" s="38" t="s">
        <v>5297</v>
      </c>
      <c r="D2473" s="38"/>
      <c r="E2473" s="38" t="s">
        <v>35</v>
      </c>
      <c r="F2473" s="38" t="s">
        <v>312</v>
      </c>
      <c r="G2473" s="39">
        <v>322</v>
      </c>
      <c r="H2473" s="40">
        <v>0.91300000000000003</v>
      </c>
      <c r="I2473" s="37">
        <v>255800</v>
      </c>
      <c r="J2473" s="41" t="s">
        <v>1132</v>
      </c>
      <c r="K2473" s="42">
        <v>2025</v>
      </c>
    </row>
    <row r="2474" spans="1:11" ht="15" customHeight="1" x14ac:dyDescent="0.3">
      <c r="A2474" s="31">
        <v>2469</v>
      </c>
      <c r="B2474" s="32" t="s">
        <v>5291</v>
      </c>
      <c r="C2474" s="32" t="s">
        <v>5298</v>
      </c>
      <c r="D2474" s="32" t="s">
        <v>5299</v>
      </c>
      <c r="E2474" s="32" t="s">
        <v>3478</v>
      </c>
      <c r="F2474" s="32" t="s">
        <v>5300</v>
      </c>
      <c r="G2474" s="33">
        <v>4100</v>
      </c>
      <c r="H2474" s="34">
        <v>1.8959999999999999</v>
      </c>
      <c r="I2474" s="31">
        <v>329000</v>
      </c>
      <c r="J2474" s="35" t="s">
        <v>1132</v>
      </c>
      <c r="K2474" s="36">
        <v>2025</v>
      </c>
    </row>
    <row r="2475" spans="1:11" ht="15" customHeight="1" x14ac:dyDescent="0.3">
      <c r="A2475" s="37">
        <v>2470</v>
      </c>
      <c r="B2475" s="38" t="s">
        <v>5291</v>
      </c>
      <c r="C2475" s="38" t="s">
        <v>5301</v>
      </c>
      <c r="D2475" s="38" t="s">
        <v>5302</v>
      </c>
      <c r="E2475" s="38" t="s">
        <v>5303</v>
      </c>
      <c r="F2475" s="38" t="s">
        <v>312</v>
      </c>
      <c r="G2475" s="39">
        <v>660</v>
      </c>
      <c r="H2475" s="40">
        <v>1.617</v>
      </c>
      <c r="I2475" s="37">
        <v>171800</v>
      </c>
      <c r="J2475" s="41" t="s">
        <v>1132</v>
      </c>
      <c r="K2475" s="42">
        <v>2025</v>
      </c>
    </row>
    <row r="2476" spans="1:11" ht="15" customHeight="1" x14ac:dyDescent="0.3">
      <c r="A2476" s="31">
        <v>2471</v>
      </c>
      <c r="B2476" s="32" t="s">
        <v>5291</v>
      </c>
      <c r="C2476" s="32" t="s">
        <v>5304</v>
      </c>
      <c r="D2476" s="32" t="s">
        <v>5305</v>
      </c>
      <c r="E2476" s="32" t="s">
        <v>5306</v>
      </c>
      <c r="F2476" s="32" t="s">
        <v>4058</v>
      </c>
      <c r="G2476" s="33">
        <v>1582</v>
      </c>
      <c r="H2476" s="34">
        <v>2.5619999999999998</v>
      </c>
      <c r="I2476" s="31">
        <v>199800</v>
      </c>
      <c r="J2476" s="35" t="s">
        <v>1132</v>
      </c>
      <c r="K2476" s="36">
        <v>2025</v>
      </c>
    </row>
    <row r="2477" spans="1:11" ht="15" customHeight="1" x14ac:dyDescent="0.3">
      <c r="A2477" s="37">
        <v>2472</v>
      </c>
      <c r="B2477" s="38" t="s">
        <v>5291</v>
      </c>
      <c r="C2477" s="38" t="s">
        <v>5307</v>
      </c>
      <c r="D2477" s="38" t="s">
        <v>4743</v>
      </c>
      <c r="E2477" s="38" t="s">
        <v>4337</v>
      </c>
      <c r="F2477" s="38" t="s">
        <v>5308</v>
      </c>
      <c r="G2477" s="39">
        <v>717</v>
      </c>
      <c r="H2477" s="40">
        <v>2.3010000000000002</v>
      </c>
      <c r="I2477" s="37">
        <v>171800</v>
      </c>
      <c r="J2477" s="41" t="s">
        <v>1132</v>
      </c>
      <c r="K2477" s="42">
        <v>2025</v>
      </c>
    </row>
    <row r="2478" spans="1:11" ht="15" customHeight="1" x14ac:dyDescent="0.3">
      <c r="A2478" s="31">
        <v>2473</v>
      </c>
      <c r="B2478" s="32" t="s">
        <v>5291</v>
      </c>
      <c r="C2478" s="32" t="s">
        <v>5309</v>
      </c>
      <c r="D2478" s="32" t="s">
        <v>5310</v>
      </c>
      <c r="E2478" s="32" t="s">
        <v>5311</v>
      </c>
      <c r="F2478" s="32" t="s">
        <v>3831</v>
      </c>
      <c r="G2478" s="33">
        <v>520</v>
      </c>
      <c r="H2478" s="34">
        <v>1.2</v>
      </c>
      <c r="I2478" s="31">
        <v>145800</v>
      </c>
      <c r="J2478" s="35" t="s">
        <v>1132</v>
      </c>
      <c r="K2478" s="36">
        <v>2025</v>
      </c>
    </row>
    <row r="2479" spans="1:11" ht="15" customHeight="1" x14ac:dyDescent="0.3">
      <c r="A2479" s="37">
        <v>2474</v>
      </c>
      <c r="B2479" s="38" t="s">
        <v>5291</v>
      </c>
      <c r="C2479" s="38" t="s">
        <v>5312</v>
      </c>
      <c r="D2479" s="38" t="s">
        <v>5313</v>
      </c>
      <c r="E2479" s="38" t="s">
        <v>5314</v>
      </c>
      <c r="F2479" s="38" t="s">
        <v>4343</v>
      </c>
      <c r="G2479" s="39">
        <v>1951</v>
      </c>
      <c r="H2479" s="40">
        <v>6.9119999999999999</v>
      </c>
      <c r="I2479" s="37">
        <v>358800</v>
      </c>
      <c r="J2479" s="41" t="s">
        <v>1132</v>
      </c>
      <c r="K2479" s="42">
        <v>2025</v>
      </c>
    </row>
    <row r="2480" spans="1:11" ht="15" customHeight="1" x14ac:dyDescent="0.3">
      <c r="A2480" s="31">
        <v>2475</v>
      </c>
      <c r="B2480" s="32" t="s">
        <v>5291</v>
      </c>
      <c r="C2480" s="32" t="s">
        <v>5315</v>
      </c>
      <c r="D2480" s="32" t="s">
        <v>3973</v>
      </c>
      <c r="E2480" s="32" t="s">
        <v>35</v>
      </c>
      <c r="F2480" s="32" t="s">
        <v>3831</v>
      </c>
      <c r="G2480" s="33">
        <v>444</v>
      </c>
      <c r="H2480" s="34">
        <v>1.371</v>
      </c>
      <c r="I2480" s="31">
        <v>255800</v>
      </c>
      <c r="J2480" s="35" t="s">
        <v>1132</v>
      </c>
      <c r="K2480" s="36">
        <v>2025</v>
      </c>
    </row>
    <row r="2481" spans="1:11" ht="15" customHeight="1" x14ac:dyDescent="0.3">
      <c r="A2481" s="37">
        <v>2476</v>
      </c>
      <c r="B2481" s="38" t="s">
        <v>5291</v>
      </c>
      <c r="C2481" s="38" t="s">
        <v>5316</v>
      </c>
      <c r="D2481" s="38" t="s">
        <v>5317</v>
      </c>
      <c r="E2481" s="38" t="s">
        <v>5318</v>
      </c>
      <c r="F2481" s="38" t="s">
        <v>4897</v>
      </c>
      <c r="G2481" s="39">
        <v>128.11000000000001</v>
      </c>
      <c r="H2481" s="40">
        <v>6.8239999999999998</v>
      </c>
      <c r="I2481" s="37">
        <v>383000</v>
      </c>
      <c r="J2481" s="41" t="s">
        <v>1132</v>
      </c>
      <c r="K2481" s="42">
        <v>2025</v>
      </c>
    </row>
    <row r="2482" spans="1:11" ht="15" customHeight="1" x14ac:dyDescent="0.3">
      <c r="A2482" s="31">
        <v>2477</v>
      </c>
      <c r="B2482" s="32" t="s">
        <v>5036</v>
      </c>
      <c r="C2482" s="32" t="s">
        <v>5319</v>
      </c>
      <c r="D2482" s="32" t="s">
        <v>5320</v>
      </c>
      <c r="E2482" s="32" t="s">
        <v>5321</v>
      </c>
      <c r="F2482" s="32" t="s">
        <v>4915</v>
      </c>
      <c r="G2482" s="33">
        <v>983</v>
      </c>
      <c r="H2482" s="34">
        <v>11.04</v>
      </c>
      <c r="I2482" s="31">
        <v>464000</v>
      </c>
      <c r="J2482" s="35" t="s">
        <v>1132</v>
      </c>
      <c r="K2482" s="36">
        <v>2025</v>
      </c>
    </row>
    <row r="2483" spans="1:11" ht="15" customHeight="1" x14ac:dyDescent="0.3">
      <c r="A2483" s="37">
        <v>2478</v>
      </c>
      <c r="B2483" s="38" t="s">
        <v>5036</v>
      </c>
      <c r="C2483" s="38" t="s">
        <v>5322</v>
      </c>
      <c r="D2483" s="38" t="s">
        <v>5323</v>
      </c>
      <c r="E2483" s="38" t="s">
        <v>5324</v>
      </c>
      <c r="F2483" s="38" t="s">
        <v>312</v>
      </c>
      <c r="G2483" s="39">
        <v>680</v>
      </c>
      <c r="H2483" s="40">
        <v>1.478</v>
      </c>
      <c r="I2483" s="37">
        <v>283800</v>
      </c>
      <c r="J2483" s="41" t="s">
        <v>1132</v>
      </c>
      <c r="K2483" s="42">
        <v>2025</v>
      </c>
    </row>
    <row r="2484" spans="1:11" ht="15" customHeight="1" x14ac:dyDescent="0.3">
      <c r="A2484" s="31">
        <v>2479</v>
      </c>
      <c r="B2484" s="32" t="s">
        <v>5036</v>
      </c>
      <c r="C2484" s="32" t="s">
        <v>5325</v>
      </c>
      <c r="D2484" s="32" t="s">
        <v>5326</v>
      </c>
      <c r="E2484" s="32" t="s">
        <v>2614</v>
      </c>
      <c r="F2484" s="32" t="s">
        <v>312</v>
      </c>
      <c r="G2484" s="33">
        <v>372</v>
      </c>
      <c r="H2484" s="34">
        <v>0.52800000000000002</v>
      </c>
      <c r="I2484" s="31">
        <v>143000</v>
      </c>
      <c r="J2484" s="35" t="s">
        <v>1132</v>
      </c>
      <c r="K2484" s="36">
        <v>2025</v>
      </c>
    </row>
    <row r="2485" spans="1:11" ht="15" customHeight="1" x14ac:dyDescent="0.3">
      <c r="A2485" s="37">
        <v>2480</v>
      </c>
      <c r="B2485" s="38" t="s">
        <v>5036</v>
      </c>
      <c r="C2485" s="38" t="s">
        <v>5327</v>
      </c>
      <c r="D2485" s="38" t="s">
        <v>5328</v>
      </c>
      <c r="E2485" s="38" t="s">
        <v>5329</v>
      </c>
      <c r="F2485" s="38" t="s">
        <v>5275</v>
      </c>
      <c r="G2485" s="39">
        <v>308</v>
      </c>
      <c r="H2485" s="40">
        <v>3.0089999999999999</v>
      </c>
      <c r="I2485" s="37">
        <v>199800</v>
      </c>
      <c r="J2485" s="41" t="s">
        <v>1132</v>
      </c>
      <c r="K2485" s="42">
        <v>2025</v>
      </c>
    </row>
    <row r="2486" spans="1:11" ht="15" customHeight="1" x14ac:dyDescent="0.3">
      <c r="A2486" s="31">
        <v>2481</v>
      </c>
      <c r="B2486" s="32" t="s">
        <v>5036</v>
      </c>
      <c r="C2486" s="32" t="s">
        <v>5330</v>
      </c>
      <c r="D2486" s="32" t="s">
        <v>5331</v>
      </c>
      <c r="E2486" s="32" t="s">
        <v>63</v>
      </c>
      <c r="F2486" s="32" t="s">
        <v>4879</v>
      </c>
      <c r="G2486" s="33">
        <v>1664</v>
      </c>
      <c r="H2486" s="34">
        <v>2.7770000000000001</v>
      </c>
      <c r="I2486" s="31">
        <v>197000</v>
      </c>
      <c r="J2486" s="35" t="s">
        <v>1132</v>
      </c>
      <c r="K2486" s="36">
        <v>2025</v>
      </c>
    </row>
    <row r="2487" spans="1:11" ht="15" customHeight="1" x14ac:dyDescent="0.3">
      <c r="A2487" s="37">
        <v>2482</v>
      </c>
      <c r="B2487" s="38" t="s">
        <v>5036</v>
      </c>
      <c r="C2487" s="38" t="s">
        <v>5332</v>
      </c>
      <c r="D2487" s="38" t="s">
        <v>5333</v>
      </c>
      <c r="E2487" s="38" t="s">
        <v>63</v>
      </c>
      <c r="F2487" s="38" t="s">
        <v>4879</v>
      </c>
      <c r="G2487" s="39">
        <v>883.25300000000004</v>
      </c>
      <c r="H2487" s="40">
        <v>2.3809999999999998</v>
      </c>
      <c r="I2487" s="37">
        <v>169000</v>
      </c>
      <c r="J2487" s="41" t="s">
        <v>1132</v>
      </c>
      <c r="K2487" s="42">
        <v>2025</v>
      </c>
    </row>
    <row r="2488" spans="1:11" ht="15" customHeight="1" x14ac:dyDescent="0.3">
      <c r="A2488" s="31">
        <v>2483</v>
      </c>
      <c r="B2488" s="32" t="s">
        <v>5036</v>
      </c>
      <c r="C2488" s="32" t="s">
        <v>5334</v>
      </c>
      <c r="D2488" s="32" t="s">
        <v>5335</v>
      </c>
      <c r="E2488" s="32" t="s">
        <v>1975</v>
      </c>
      <c r="F2488" s="32" t="s">
        <v>3831</v>
      </c>
      <c r="G2488" s="33">
        <v>125</v>
      </c>
      <c r="H2488" s="34">
        <v>0.76800000000000002</v>
      </c>
      <c r="I2488" s="31">
        <v>171800</v>
      </c>
      <c r="J2488" s="35" t="s">
        <v>1132</v>
      </c>
      <c r="K2488" s="36">
        <v>2025</v>
      </c>
    </row>
    <row r="2489" spans="1:11" ht="15" customHeight="1" x14ac:dyDescent="0.3">
      <c r="A2489" s="37">
        <v>2484</v>
      </c>
      <c r="B2489" s="38" t="s">
        <v>1059</v>
      </c>
      <c r="C2489" s="38" t="s">
        <v>5336</v>
      </c>
      <c r="D2489" s="38" t="s">
        <v>5337</v>
      </c>
      <c r="E2489" s="38" t="s">
        <v>35</v>
      </c>
      <c r="F2489" s="38" t="s">
        <v>5338</v>
      </c>
      <c r="G2489" s="39">
        <v>6120</v>
      </c>
      <c r="H2489" s="40">
        <v>14.385999999999999</v>
      </c>
      <c r="I2489" s="37">
        <v>520800</v>
      </c>
      <c r="J2489" s="41" t="s">
        <v>1259</v>
      </c>
      <c r="K2489" s="42">
        <v>2025</v>
      </c>
    </row>
    <row r="2490" spans="1:11" ht="15" customHeight="1" x14ac:dyDescent="0.3">
      <c r="A2490" s="31">
        <v>2485</v>
      </c>
      <c r="B2490" s="32" t="s">
        <v>1059</v>
      </c>
      <c r="C2490" s="32" t="s">
        <v>5339</v>
      </c>
      <c r="D2490" s="32" t="s">
        <v>5340</v>
      </c>
      <c r="E2490" s="32" t="s">
        <v>35</v>
      </c>
      <c r="F2490" s="32" t="s">
        <v>658</v>
      </c>
      <c r="G2490" s="33">
        <v>5920</v>
      </c>
      <c r="H2490" s="34">
        <v>3.581</v>
      </c>
      <c r="I2490" s="31">
        <v>385800</v>
      </c>
      <c r="J2490" s="35" t="s">
        <v>1259</v>
      </c>
      <c r="K2490" s="36">
        <v>2025</v>
      </c>
    </row>
    <row r="2491" spans="1:11" ht="15" customHeight="1" x14ac:dyDescent="0.3">
      <c r="A2491" s="37">
        <v>2486</v>
      </c>
      <c r="B2491" s="38" t="s">
        <v>1059</v>
      </c>
      <c r="C2491" s="38" t="s">
        <v>5341</v>
      </c>
      <c r="D2491" s="38" t="s">
        <v>5342</v>
      </c>
      <c r="E2491" s="38" t="s">
        <v>35</v>
      </c>
      <c r="F2491" s="38" t="s">
        <v>4335</v>
      </c>
      <c r="G2491" s="39">
        <v>260</v>
      </c>
      <c r="H2491" s="40">
        <v>0.33600000000000002</v>
      </c>
      <c r="I2491" s="37">
        <v>255800</v>
      </c>
      <c r="J2491" s="41" t="s">
        <v>1259</v>
      </c>
      <c r="K2491" s="42">
        <v>2025</v>
      </c>
    </row>
    <row r="2492" spans="1:11" ht="15" customHeight="1" x14ac:dyDescent="0.3">
      <c r="A2492" s="31">
        <v>2487</v>
      </c>
      <c r="B2492" s="32" t="s">
        <v>1059</v>
      </c>
      <c r="C2492" s="32" t="s">
        <v>5343</v>
      </c>
      <c r="D2492" s="32" t="s">
        <v>5344</v>
      </c>
      <c r="E2492" s="32" t="s">
        <v>5345</v>
      </c>
      <c r="F2492" s="32" t="s">
        <v>3831</v>
      </c>
      <c r="G2492" s="33">
        <v>1542</v>
      </c>
      <c r="H2492" s="34">
        <v>2.8380000000000001</v>
      </c>
      <c r="I2492" s="31">
        <v>309000</v>
      </c>
      <c r="J2492" s="35" t="s">
        <v>1259</v>
      </c>
      <c r="K2492" s="36">
        <v>2025</v>
      </c>
    </row>
    <row r="2493" spans="1:11" ht="15" customHeight="1" x14ac:dyDescent="0.3">
      <c r="A2493" s="37">
        <v>2488</v>
      </c>
      <c r="B2493" s="38" t="s">
        <v>1059</v>
      </c>
      <c r="C2493" s="38" t="s">
        <v>5346</v>
      </c>
      <c r="D2493" s="38" t="s">
        <v>5347</v>
      </c>
      <c r="E2493" s="38" t="s">
        <v>35</v>
      </c>
      <c r="F2493" s="38" t="s">
        <v>3933</v>
      </c>
      <c r="G2493" s="39">
        <v>957.3</v>
      </c>
      <c r="H2493" s="40">
        <v>1.968</v>
      </c>
      <c r="I2493" s="37">
        <v>283800</v>
      </c>
      <c r="J2493" s="41" t="s">
        <v>1259</v>
      </c>
      <c r="K2493" s="42">
        <v>2025</v>
      </c>
    </row>
    <row r="2494" spans="1:11" ht="15" customHeight="1" x14ac:dyDescent="0.3">
      <c r="A2494" s="31">
        <v>2489</v>
      </c>
      <c r="B2494" s="32" t="s">
        <v>1059</v>
      </c>
      <c r="C2494" s="32" t="s">
        <v>5348</v>
      </c>
      <c r="D2494" s="32" t="s">
        <v>453</v>
      </c>
      <c r="E2494" s="32" t="s">
        <v>454</v>
      </c>
      <c r="F2494" s="32" t="s">
        <v>5027</v>
      </c>
      <c r="G2494" s="33">
        <v>2058</v>
      </c>
      <c r="H2494" s="34">
        <v>2.8319999999999999</v>
      </c>
      <c r="I2494" s="31">
        <v>309800</v>
      </c>
      <c r="J2494" s="35" t="s">
        <v>1259</v>
      </c>
      <c r="K2494" s="36">
        <v>2025</v>
      </c>
    </row>
    <row r="2495" spans="1:11" ht="15" customHeight="1" x14ac:dyDescent="0.3">
      <c r="A2495" s="37">
        <v>2490</v>
      </c>
      <c r="B2495" s="38" t="s">
        <v>1059</v>
      </c>
      <c r="C2495" s="38" t="s">
        <v>5349</v>
      </c>
      <c r="D2495" s="38" t="s">
        <v>5350</v>
      </c>
      <c r="E2495" s="38" t="s">
        <v>5351</v>
      </c>
      <c r="F2495" s="38" t="s">
        <v>5027</v>
      </c>
      <c r="G2495" s="39">
        <v>762</v>
      </c>
      <c r="H2495" s="40">
        <v>3.3319999999999999</v>
      </c>
      <c r="I2495" s="37">
        <v>199800</v>
      </c>
      <c r="J2495" s="41" t="s">
        <v>1259</v>
      </c>
      <c r="K2495" s="42">
        <v>2025</v>
      </c>
    </row>
    <row r="2496" spans="1:11" ht="15" customHeight="1" x14ac:dyDescent="0.3">
      <c r="A2496" s="31">
        <v>2491</v>
      </c>
      <c r="B2496" s="32" t="s">
        <v>1059</v>
      </c>
      <c r="C2496" s="32" t="s">
        <v>5352</v>
      </c>
      <c r="D2496" s="32" t="s">
        <v>5353</v>
      </c>
      <c r="E2496" s="32" t="s">
        <v>5354</v>
      </c>
      <c r="F2496" s="32" t="s">
        <v>4986</v>
      </c>
      <c r="G2496" s="33">
        <v>519</v>
      </c>
      <c r="H2496" s="34"/>
      <c r="I2496" s="31">
        <v>385800</v>
      </c>
      <c r="J2496" s="35" t="s">
        <v>1259</v>
      </c>
      <c r="K2496" s="36">
        <v>2025</v>
      </c>
    </row>
    <row r="2497" spans="1:11" ht="15" customHeight="1" x14ac:dyDescent="0.3">
      <c r="A2497" s="37">
        <v>2492</v>
      </c>
      <c r="B2497" s="38" t="s">
        <v>1059</v>
      </c>
      <c r="C2497" s="38" t="s">
        <v>5355</v>
      </c>
      <c r="D2497" s="38" t="s">
        <v>4622</v>
      </c>
      <c r="E2497" s="38" t="s">
        <v>2790</v>
      </c>
      <c r="F2497" s="38" t="s">
        <v>5356</v>
      </c>
      <c r="G2497" s="39">
        <v>2709.125</v>
      </c>
      <c r="H2497" s="40">
        <v>5.3760000000000003</v>
      </c>
      <c r="I2497" s="37">
        <v>253000</v>
      </c>
      <c r="J2497" s="41" t="s">
        <v>1259</v>
      </c>
      <c r="K2497" s="42">
        <v>2025</v>
      </c>
    </row>
    <row r="2498" spans="1:11" ht="15" customHeight="1" x14ac:dyDescent="0.3">
      <c r="A2498" s="31">
        <v>2493</v>
      </c>
      <c r="B2498" s="32" t="s">
        <v>1059</v>
      </c>
      <c r="C2498" s="32" t="s">
        <v>5357</v>
      </c>
      <c r="D2498" s="32" t="s">
        <v>5358</v>
      </c>
      <c r="E2498" s="32" t="s">
        <v>5359</v>
      </c>
      <c r="F2498" s="32" t="s">
        <v>5356</v>
      </c>
      <c r="G2498" s="33">
        <v>3151.33</v>
      </c>
      <c r="H2498" s="34">
        <v>6.4029999999999996</v>
      </c>
      <c r="I2498" s="31">
        <v>358000</v>
      </c>
      <c r="J2498" s="35" t="s">
        <v>1259</v>
      </c>
      <c r="K2498" s="36">
        <v>2025</v>
      </c>
    </row>
    <row r="2499" spans="1:11" ht="15" customHeight="1" x14ac:dyDescent="0.3">
      <c r="A2499" s="37">
        <v>2494</v>
      </c>
      <c r="B2499" s="38" t="s">
        <v>4482</v>
      </c>
      <c r="C2499" s="38" t="s">
        <v>5360</v>
      </c>
      <c r="D2499" s="38" t="s">
        <v>3219</v>
      </c>
      <c r="E2499" s="38" t="s">
        <v>5361</v>
      </c>
      <c r="F2499" s="38" t="s">
        <v>3831</v>
      </c>
      <c r="G2499" s="39">
        <v>680</v>
      </c>
      <c r="H2499" s="40">
        <v>1.39</v>
      </c>
      <c r="I2499" s="37">
        <v>283800</v>
      </c>
      <c r="J2499" s="41" t="s">
        <v>1259</v>
      </c>
      <c r="K2499" s="42">
        <v>2025</v>
      </c>
    </row>
    <row r="2500" spans="1:11" ht="15" customHeight="1" x14ac:dyDescent="0.3">
      <c r="A2500" s="31">
        <v>2495</v>
      </c>
      <c r="B2500" s="32" t="s">
        <v>4482</v>
      </c>
      <c r="C2500" s="32" t="s">
        <v>5362</v>
      </c>
      <c r="D2500" s="32" t="s">
        <v>5363</v>
      </c>
      <c r="E2500" s="32" t="s">
        <v>5364</v>
      </c>
      <c r="F2500" s="32" t="s">
        <v>3933</v>
      </c>
      <c r="G2500" s="33">
        <v>667</v>
      </c>
      <c r="H2500" s="34">
        <v>6.0140000000000002</v>
      </c>
      <c r="I2500" s="31">
        <v>281000</v>
      </c>
      <c r="J2500" s="35" t="s">
        <v>1259</v>
      </c>
      <c r="K2500" s="36">
        <v>2025</v>
      </c>
    </row>
    <row r="2501" spans="1:11" ht="15" customHeight="1" x14ac:dyDescent="0.3">
      <c r="A2501" s="37">
        <v>2496</v>
      </c>
      <c r="B2501" s="38" t="s">
        <v>4482</v>
      </c>
      <c r="C2501" s="38" t="s">
        <v>5365</v>
      </c>
      <c r="D2501" s="38" t="s">
        <v>5366</v>
      </c>
      <c r="E2501" s="38" t="s">
        <v>5367</v>
      </c>
      <c r="F2501" s="38" t="s">
        <v>5356</v>
      </c>
      <c r="G2501" s="39">
        <v>4861.2</v>
      </c>
      <c r="H2501" s="40">
        <v>10.407</v>
      </c>
      <c r="I2501" s="37">
        <v>385800</v>
      </c>
      <c r="J2501" s="41" t="s">
        <v>1259</v>
      </c>
      <c r="K2501" s="42">
        <v>2025</v>
      </c>
    </row>
    <row r="2502" spans="1:11" ht="15" customHeight="1" x14ac:dyDescent="0.3">
      <c r="A2502" s="31">
        <v>2497</v>
      </c>
      <c r="B2502" s="32" t="s">
        <v>4482</v>
      </c>
      <c r="C2502" s="32" t="s">
        <v>5368</v>
      </c>
      <c r="D2502" s="32" t="s">
        <v>5369</v>
      </c>
      <c r="E2502" s="32" t="s">
        <v>4385</v>
      </c>
      <c r="F2502" s="32" t="s">
        <v>5370</v>
      </c>
      <c r="G2502" s="33">
        <v>2443.6799999999998</v>
      </c>
      <c r="H2502" s="34">
        <v>22.920999999999999</v>
      </c>
      <c r="I2502" s="31">
        <v>736800</v>
      </c>
      <c r="J2502" s="35" t="s">
        <v>1259</v>
      </c>
      <c r="K2502" s="36">
        <v>2025</v>
      </c>
    </row>
    <row r="2503" spans="1:11" ht="15" customHeight="1" x14ac:dyDescent="0.3">
      <c r="A2503" s="37">
        <v>2498</v>
      </c>
      <c r="B2503" s="38" t="s">
        <v>4482</v>
      </c>
      <c r="C2503" s="38" t="s">
        <v>5371</v>
      </c>
      <c r="D2503" s="38" t="s">
        <v>5372</v>
      </c>
      <c r="E2503" s="38" t="s">
        <v>5373</v>
      </c>
      <c r="F2503" s="38" t="s">
        <v>5374</v>
      </c>
      <c r="G2503" s="39">
        <v>538</v>
      </c>
      <c r="H2503" s="40">
        <v>4.4459999999999997</v>
      </c>
      <c r="I2503" s="37">
        <v>329000</v>
      </c>
      <c r="J2503" s="41" t="s">
        <v>1259</v>
      </c>
      <c r="K2503" s="42">
        <v>2025</v>
      </c>
    </row>
    <row r="2504" spans="1:11" ht="15" customHeight="1" x14ac:dyDescent="0.3">
      <c r="A2504" s="31">
        <v>2499</v>
      </c>
      <c r="B2504" s="32" t="s">
        <v>4482</v>
      </c>
      <c r="C2504" s="32" t="s">
        <v>5375</v>
      </c>
      <c r="D2504" s="32" t="s">
        <v>3123</v>
      </c>
      <c r="E2504" s="32" t="s">
        <v>5376</v>
      </c>
      <c r="F2504" s="32" t="s">
        <v>5377</v>
      </c>
      <c r="G2504" s="33">
        <v>1238</v>
      </c>
      <c r="H2504" s="34">
        <v>6.5090000000000003</v>
      </c>
      <c r="I2504" s="31">
        <v>385800</v>
      </c>
      <c r="J2504" s="35" t="s">
        <v>1259</v>
      </c>
      <c r="K2504" s="36">
        <v>2025</v>
      </c>
    </row>
    <row r="2505" spans="1:11" ht="15" customHeight="1" x14ac:dyDescent="0.3">
      <c r="A2505" s="37">
        <v>2500</v>
      </c>
      <c r="B2505" s="38" t="s">
        <v>4482</v>
      </c>
      <c r="C2505" s="38" t="s">
        <v>5378</v>
      </c>
      <c r="D2505" s="38" t="s">
        <v>5379</v>
      </c>
      <c r="E2505" s="38" t="s">
        <v>5042</v>
      </c>
      <c r="F2505" s="38" t="s">
        <v>3831</v>
      </c>
      <c r="G2505" s="39">
        <v>166</v>
      </c>
      <c r="H2505" s="40">
        <v>0.46100000000000002</v>
      </c>
      <c r="I2505" s="37">
        <v>283800</v>
      </c>
      <c r="J2505" s="41" t="s">
        <v>1259</v>
      </c>
      <c r="K2505" s="42">
        <v>2025</v>
      </c>
    </row>
    <row r="2506" spans="1:11" ht="15" customHeight="1" x14ac:dyDescent="0.3">
      <c r="A2506" s="31">
        <v>2501</v>
      </c>
      <c r="B2506" s="32" t="s">
        <v>4482</v>
      </c>
      <c r="C2506" s="32" t="s">
        <v>5380</v>
      </c>
      <c r="D2506" s="32" t="s">
        <v>5381</v>
      </c>
      <c r="E2506" s="32" t="s">
        <v>5382</v>
      </c>
      <c r="F2506" s="32" t="s">
        <v>658</v>
      </c>
      <c r="G2506" s="33">
        <v>725.5</v>
      </c>
      <c r="H2506" s="34">
        <v>2.8679999999999999</v>
      </c>
      <c r="I2506" s="31">
        <v>311800</v>
      </c>
      <c r="J2506" s="35" t="s">
        <v>1259</v>
      </c>
      <c r="K2506" s="36">
        <v>2025</v>
      </c>
    </row>
    <row r="2507" spans="1:11" ht="15" customHeight="1" x14ac:dyDescent="0.3">
      <c r="A2507" s="37">
        <v>2502</v>
      </c>
      <c r="B2507" s="38" t="s">
        <v>4482</v>
      </c>
      <c r="C2507" s="38" t="s">
        <v>5383</v>
      </c>
      <c r="D2507" s="38" t="s">
        <v>2958</v>
      </c>
      <c r="E2507" s="38" t="s">
        <v>35</v>
      </c>
      <c r="F2507" s="38" t="s">
        <v>3831</v>
      </c>
      <c r="G2507" s="39">
        <v>406</v>
      </c>
      <c r="H2507" s="40">
        <v>0.51700000000000002</v>
      </c>
      <c r="I2507" s="37">
        <v>283800</v>
      </c>
      <c r="J2507" s="41" t="s">
        <v>1259</v>
      </c>
      <c r="K2507" s="42">
        <v>2025</v>
      </c>
    </row>
    <row r="2508" spans="1:11" ht="15" customHeight="1" x14ac:dyDescent="0.3">
      <c r="A2508" s="31">
        <v>2503</v>
      </c>
      <c r="B2508" s="32" t="s">
        <v>4482</v>
      </c>
      <c r="C2508" s="32" t="s">
        <v>5384</v>
      </c>
      <c r="D2508" s="32" t="s">
        <v>3579</v>
      </c>
      <c r="E2508" s="32" t="s">
        <v>35</v>
      </c>
      <c r="F2508" s="32" t="s">
        <v>5027</v>
      </c>
      <c r="G2508" s="33">
        <v>560</v>
      </c>
      <c r="H2508" s="34">
        <v>1.5169999999999999</v>
      </c>
      <c r="I2508" s="31">
        <v>311800</v>
      </c>
      <c r="J2508" s="35" t="s">
        <v>1259</v>
      </c>
      <c r="K2508" s="36">
        <v>2025</v>
      </c>
    </row>
    <row r="2509" spans="1:11" ht="15" customHeight="1" x14ac:dyDescent="0.3">
      <c r="A2509" s="37">
        <v>2504</v>
      </c>
      <c r="B2509" s="38" t="s">
        <v>4482</v>
      </c>
      <c r="C2509" s="38" t="s">
        <v>5385</v>
      </c>
      <c r="D2509" s="38" t="s">
        <v>5386</v>
      </c>
      <c r="E2509" s="38" t="s">
        <v>5387</v>
      </c>
      <c r="F2509" s="38" t="s">
        <v>3831</v>
      </c>
      <c r="G2509" s="39">
        <v>242</v>
      </c>
      <c r="H2509" s="40">
        <v>0.91700000000000004</v>
      </c>
      <c r="I2509" s="37">
        <v>255800</v>
      </c>
      <c r="J2509" s="41" t="s">
        <v>1259</v>
      </c>
      <c r="K2509" s="42">
        <v>2025</v>
      </c>
    </row>
    <row r="2510" spans="1:11" ht="15" customHeight="1" x14ac:dyDescent="0.3">
      <c r="A2510" s="31">
        <v>2505</v>
      </c>
      <c r="B2510" s="32" t="s">
        <v>4482</v>
      </c>
      <c r="C2510" s="32" t="s">
        <v>5388</v>
      </c>
      <c r="D2510" s="32" t="s">
        <v>5389</v>
      </c>
      <c r="E2510" s="32" t="s">
        <v>5390</v>
      </c>
      <c r="F2510" s="32" t="s">
        <v>3858</v>
      </c>
      <c r="G2510" s="33">
        <v>1404</v>
      </c>
      <c r="H2510" s="34">
        <v>7.6769999999999996</v>
      </c>
      <c r="I2510" s="31">
        <v>385800</v>
      </c>
      <c r="J2510" s="35" t="s">
        <v>1259</v>
      </c>
      <c r="K2510" s="36">
        <v>2025</v>
      </c>
    </row>
    <row r="2511" spans="1:11" ht="15" customHeight="1" x14ac:dyDescent="0.3">
      <c r="A2511" s="37">
        <v>2506</v>
      </c>
      <c r="B2511" s="38" t="s">
        <v>5036</v>
      </c>
      <c r="C2511" s="38" t="s">
        <v>5391</v>
      </c>
      <c r="D2511" s="38" t="s">
        <v>4649</v>
      </c>
      <c r="E2511" s="38" t="s">
        <v>35</v>
      </c>
      <c r="F2511" s="38" t="s">
        <v>5392</v>
      </c>
      <c r="G2511" s="39">
        <v>1920</v>
      </c>
      <c r="H2511" s="40">
        <v>0.246</v>
      </c>
      <c r="I2511" s="37">
        <v>283800</v>
      </c>
      <c r="J2511" s="41" t="s">
        <v>1371</v>
      </c>
      <c r="K2511" s="42">
        <v>2025</v>
      </c>
    </row>
    <row r="2512" spans="1:11" ht="15" customHeight="1" x14ac:dyDescent="0.3">
      <c r="A2512" s="31">
        <v>2507</v>
      </c>
      <c r="B2512" s="32" t="s">
        <v>5036</v>
      </c>
      <c r="C2512" s="32" t="s">
        <v>5393</v>
      </c>
      <c r="D2512" s="32" t="s">
        <v>4649</v>
      </c>
      <c r="E2512" s="32" t="s">
        <v>35</v>
      </c>
      <c r="F2512" s="32" t="s">
        <v>5394</v>
      </c>
      <c r="G2512" s="33">
        <v>4271</v>
      </c>
      <c r="H2512" s="34">
        <v>2.2879999999999998</v>
      </c>
      <c r="I2512" s="31">
        <v>358800</v>
      </c>
      <c r="J2512" s="35" t="s">
        <v>1371</v>
      </c>
      <c r="K2512" s="36">
        <v>2025</v>
      </c>
    </row>
    <row r="2513" spans="1:11" ht="15" customHeight="1" x14ac:dyDescent="0.3">
      <c r="A2513" s="37">
        <v>2508</v>
      </c>
      <c r="B2513" s="38" t="s">
        <v>5036</v>
      </c>
      <c r="C2513" s="38" t="s">
        <v>5395</v>
      </c>
      <c r="D2513" s="38" t="s">
        <v>4649</v>
      </c>
      <c r="E2513" s="38" t="s">
        <v>35</v>
      </c>
      <c r="F2513" s="38" t="s">
        <v>5027</v>
      </c>
      <c r="G2513" s="39">
        <v>960</v>
      </c>
      <c r="H2513" s="40">
        <v>2.2050000000000001</v>
      </c>
      <c r="I2513" s="37">
        <v>311800</v>
      </c>
      <c r="J2513" s="41" t="s">
        <v>1371</v>
      </c>
      <c r="K2513" s="42">
        <v>2025</v>
      </c>
    </row>
    <row r="2514" spans="1:11" ht="15" customHeight="1" x14ac:dyDescent="0.3">
      <c r="A2514" s="31">
        <v>2509</v>
      </c>
      <c r="B2514" s="32" t="s">
        <v>5036</v>
      </c>
      <c r="C2514" s="32" t="s">
        <v>5396</v>
      </c>
      <c r="D2514" s="32" t="s">
        <v>4574</v>
      </c>
      <c r="E2514" s="32" t="s">
        <v>35</v>
      </c>
      <c r="F2514" s="32" t="s">
        <v>5397</v>
      </c>
      <c r="G2514" s="33">
        <v>5101</v>
      </c>
      <c r="H2514" s="34">
        <v>3.0219999999999998</v>
      </c>
      <c r="I2514" s="31">
        <v>385800</v>
      </c>
      <c r="J2514" s="35" t="s">
        <v>1371</v>
      </c>
      <c r="K2514" s="36">
        <v>2025</v>
      </c>
    </row>
    <row r="2515" spans="1:11" ht="15" customHeight="1" x14ac:dyDescent="0.3">
      <c r="A2515" s="37">
        <v>2510</v>
      </c>
      <c r="B2515" s="38" t="s">
        <v>5036</v>
      </c>
      <c r="C2515" s="38" t="s">
        <v>5398</v>
      </c>
      <c r="D2515" s="38" t="s">
        <v>5399</v>
      </c>
      <c r="E2515" s="38" t="s">
        <v>5009</v>
      </c>
      <c r="F2515" s="38" t="s">
        <v>3858</v>
      </c>
      <c r="G2515" s="39">
        <v>273</v>
      </c>
      <c r="H2515" s="40">
        <v>0.70399999999999996</v>
      </c>
      <c r="I2515" s="37">
        <v>227800</v>
      </c>
      <c r="J2515" s="41" t="s">
        <v>1371</v>
      </c>
      <c r="K2515" s="42">
        <v>2025</v>
      </c>
    </row>
    <row r="2516" spans="1:11" ht="15" customHeight="1" x14ac:dyDescent="0.3">
      <c r="A2516" s="31">
        <v>2511</v>
      </c>
      <c r="B2516" s="32" t="s">
        <v>5036</v>
      </c>
      <c r="C2516" s="32" t="s">
        <v>5400</v>
      </c>
      <c r="D2516" s="32" t="s">
        <v>4743</v>
      </c>
      <c r="E2516" s="32" t="s">
        <v>5401</v>
      </c>
      <c r="F2516" s="32" t="s">
        <v>4761</v>
      </c>
      <c r="G2516" s="33">
        <v>624</v>
      </c>
      <c r="H2516" s="34">
        <v>1.446</v>
      </c>
      <c r="I2516" s="31">
        <v>225000</v>
      </c>
      <c r="J2516" s="35" t="s">
        <v>1371</v>
      </c>
      <c r="K2516" s="36">
        <v>2025</v>
      </c>
    </row>
    <row r="2517" spans="1:11" ht="15" customHeight="1" x14ac:dyDescent="0.3">
      <c r="A2517" s="37">
        <v>2512</v>
      </c>
      <c r="B2517" s="38" t="s">
        <v>5036</v>
      </c>
      <c r="C2517" s="38" t="s">
        <v>5402</v>
      </c>
      <c r="D2517" s="38" t="s">
        <v>5403</v>
      </c>
      <c r="E2517" s="38" t="s">
        <v>5404</v>
      </c>
      <c r="F2517" s="38" t="s">
        <v>5405</v>
      </c>
      <c r="G2517" s="39">
        <v>1345</v>
      </c>
      <c r="H2517" s="40">
        <v>0.55700000000000005</v>
      </c>
      <c r="I2517" s="37">
        <v>331800</v>
      </c>
      <c r="J2517" s="41" t="s">
        <v>1371</v>
      </c>
      <c r="K2517" s="42">
        <v>2025</v>
      </c>
    </row>
    <row r="2518" spans="1:11" ht="15" customHeight="1" x14ac:dyDescent="0.3">
      <c r="A2518" s="31">
        <v>2513</v>
      </c>
      <c r="B2518" s="32" t="s">
        <v>5036</v>
      </c>
      <c r="C2518" s="32" t="s">
        <v>5406</v>
      </c>
      <c r="D2518" s="32" t="s">
        <v>2736</v>
      </c>
      <c r="E2518" s="32" t="s">
        <v>5407</v>
      </c>
      <c r="F2518" s="32" t="s">
        <v>5408</v>
      </c>
      <c r="G2518" s="33">
        <v>2180</v>
      </c>
      <c r="H2518" s="34">
        <v>4.6079999999999997</v>
      </c>
      <c r="I2518" s="31">
        <v>356000</v>
      </c>
      <c r="J2518" s="35" t="s">
        <v>1371</v>
      </c>
      <c r="K2518" s="36">
        <v>2025</v>
      </c>
    </row>
    <row r="2519" spans="1:11" ht="15" customHeight="1" x14ac:dyDescent="0.3">
      <c r="A2519" s="37">
        <v>2514</v>
      </c>
      <c r="B2519" s="38" t="s">
        <v>5036</v>
      </c>
      <c r="C2519" s="38" t="s">
        <v>5409</v>
      </c>
      <c r="D2519" s="38" t="s">
        <v>5331</v>
      </c>
      <c r="E2519" s="38" t="s">
        <v>2820</v>
      </c>
      <c r="F2519" s="38" t="s">
        <v>5027</v>
      </c>
      <c r="G2519" s="39">
        <v>1115</v>
      </c>
      <c r="H2519" s="40">
        <v>2.8170000000000002</v>
      </c>
      <c r="I2519" s="37">
        <v>383000</v>
      </c>
      <c r="J2519" s="41" t="s">
        <v>1371</v>
      </c>
      <c r="K2519" s="42">
        <v>2025</v>
      </c>
    </row>
    <row r="2520" spans="1:11" ht="15" customHeight="1" x14ac:dyDescent="0.3">
      <c r="A2520" s="31">
        <v>2515</v>
      </c>
      <c r="B2520" s="32" t="s">
        <v>5036</v>
      </c>
      <c r="C2520" s="32" t="s">
        <v>5410</v>
      </c>
      <c r="D2520" s="32" t="s">
        <v>56</v>
      </c>
      <c r="E2520" s="32" t="s">
        <v>3577</v>
      </c>
      <c r="F2520" s="32" t="s">
        <v>4335</v>
      </c>
      <c r="G2520" s="33">
        <v>645</v>
      </c>
      <c r="H2520" s="34">
        <v>0.95199999999999996</v>
      </c>
      <c r="I2520" s="31">
        <v>311800</v>
      </c>
      <c r="J2520" s="35" t="s">
        <v>1371</v>
      </c>
      <c r="K2520" s="36">
        <v>2025</v>
      </c>
    </row>
    <row r="2521" spans="1:11" ht="15" customHeight="1" x14ac:dyDescent="0.3">
      <c r="A2521" s="37">
        <v>2516</v>
      </c>
      <c r="B2521" s="38" t="s">
        <v>5036</v>
      </c>
      <c r="C2521" s="38" t="s">
        <v>5411</v>
      </c>
      <c r="D2521" s="38" t="s">
        <v>5412</v>
      </c>
      <c r="E2521" s="38" t="s">
        <v>5413</v>
      </c>
      <c r="F2521" s="38" t="s">
        <v>5027</v>
      </c>
      <c r="G2521" s="39">
        <v>350</v>
      </c>
      <c r="H2521" s="40">
        <v>3.8879999999999999</v>
      </c>
      <c r="I2521" s="37">
        <v>311800</v>
      </c>
      <c r="J2521" s="41" t="s">
        <v>1371</v>
      </c>
      <c r="K2521" s="42">
        <v>2025</v>
      </c>
    </row>
    <row r="2522" spans="1:11" ht="15" customHeight="1" x14ac:dyDescent="0.3">
      <c r="A2522" s="31">
        <v>2517</v>
      </c>
      <c r="B2522" s="32" t="s">
        <v>4482</v>
      </c>
      <c r="C2522" s="32" t="s">
        <v>5414</v>
      </c>
      <c r="D2522" s="32" t="s">
        <v>5415</v>
      </c>
      <c r="E2522" s="32" t="s">
        <v>35</v>
      </c>
      <c r="F2522" s="32" t="s">
        <v>5416</v>
      </c>
      <c r="G2522" s="33">
        <v>58</v>
      </c>
      <c r="H2522" s="34">
        <v>0.35799999999999998</v>
      </c>
      <c r="I2522" s="31">
        <v>227800</v>
      </c>
      <c r="J2522" s="35" t="s">
        <v>1371</v>
      </c>
      <c r="K2522" s="36">
        <v>2025</v>
      </c>
    </row>
    <row r="2523" spans="1:11" ht="15" customHeight="1" x14ac:dyDescent="0.3">
      <c r="A2523" s="37">
        <v>2518</v>
      </c>
      <c r="B2523" s="38" t="s">
        <v>4482</v>
      </c>
      <c r="C2523" s="38" t="s">
        <v>5417</v>
      </c>
      <c r="D2523" s="38" t="s">
        <v>5418</v>
      </c>
      <c r="E2523" s="38" t="s">
        <v>5419</v>
      </c>
      <c r="F2523" s="38" t="s">
        <v>5420</v>
      </c>
      <c r="G2523" s="39">
        <v>520</v>
      </c>
      <c r="H2523" s="40">
        <v>3.5</v>
      </c>
      <c r="I2523" s="37">
        <v>253000</v>
      </c>
      <c r="J2523" s="41" t="s">
        <v>1371</v>
      </c>
      <c r="K2523" s="42">
        <v>2025</v>
      </c>
    </row>
    <row r="2524" spans="1:11" ht="15" customHeight="1" x14ac:dyDescent="0.3">
      <c r="A2524" s="31">
        <v>2519</v>
      </c>
      <c r="B2524" s="32" t="s">
        <v>4482</v>
      </c>
      <c r="C2524" s="32" t="s">
        <v>5421</v>
      </c>
      <c r="D2524" s="32" t="s">
        <v>5422</v>
      </c>
      <c r="E2524" s="32" t="s">
        <v>5423</v>
      </c>
      <c r="F2524" s="32" t="s">
        <v>4754</v>
      </c>
      <c r="G2524" s="33">
        <v>460</v>
      </c>
      <c r="H2524" s="34">
        <v>0.77</v>
      </c>
      <c r="I2524" s="31">
        <v>255800</v>
      </c>
      <c r="J2524" s="35" t="s">
        <v>1371</v>
      </c>
      <c r="K2524" s="36">
        <v>2025</v>
      </c>
    </row>
    <row r="2525" spans="1:11" ht="15" customHeight="1" x14ac:dyDescent="0.3">
      <c r="A2525" s="37">
        <v>2520</v>
      </c>
      <c r="B2525" s="38" t="s">
        <v>4482</v>
      </c>
      <c r="C2525" s="38" t="s">
        <v>5424</v>
      </c>
      <c r="D2525" s="38" t="s">
        <v>5425</v>
      </c>
      <c r="E2525" s="38" t="s">
        <v>5426</v>
      </c>
      <c r="F2525" s="38" t="s">
        <v>5427</v>
      </c>
      <c r="G2525" s="39">
        <v>154</v>
      </c>
      <c r="H2525" s="40">
        <v>0.47</v>
      </c>
      <c r="I2525" s="37">
        <v>171800</v>
      </c>
      <c r="J2525" s="41" t="s">
        <v>1371</v>
      </c>
      <c r="K2525" s="42">
        <v>2025</v>
      </c>
    </row>
    <row r="2526" spans="1:11" ht="15" customHeight="1" x14ac:dyDescent="0.3">
      <c r="A2526" s="31">
        <v>2521</v>
      </c>
      <c r="B2526" s="32" t="s">
        <v>4482</v>
      </c>
      <c r="C2526" s="32" t="s">
        <v>5400</v>
      </c>
      <c r="D2526" s="32" t="s">
        <v>5428</v>
      </c>
      <c r="E2526" s="32" t="s">
        <v>5429</v>
      </c>
      <c r="F2526" s="32" t="s">
        <v>5430</v>
      </c>
      <c r="G2526" s="33">
        <v>223.4</v>
      </c>
      <c r="H2526" s="34">
        <v>1.21</v>
      </c>
      <c r="I2526" s="31">
        <v>254800</v>
      </c>
      <c r="J2526" s="35" t="s">
        <v>1371</v>
      </c>
      <c r="K2526" s="36">
        <v>2025</v>
      </c>
    </row>
    <row r="2527" spans="1:11" ht="15" customHeight="1" x14ac:dyDescent="0.3">
      <c r="A2527" s="37">
        <v>2522</v>
      </c>
      <c r="B2527" s="38" t="s">
        <v>4482</v>
      </c>
      <c r="C2527" s="38" t="s">
        <v>5431</v>
      </c>
      <c r="D2527" s="38" t="s">
        <v>5432</v>
      </c>
      <c r="E2527" s="38" t="s">
        <v>2820</v>
      </c>
      <c r="F2527" s="38" t="s">
        <v>5377</v>
      </c>
      <c r="G2527" s="39">
        <v>4540.3999999999996</v>
      </c>
      <c r="H2527" s="40">
        <v>8.0540000000000003</v>
      </c>
      <c r="I2527" s="37">
        <v>383000</v>
      </c>
      <c r="J2527" s="41" t="s">
        <v>1371</v>
      </c>
      <c r="K2527" s="42">
        <v>2025</v>
      </c>
    </row>
    <row r="2528" spans="1:11" ht="15" customHeight="1" x14ac:dyDescent="0.3">
      <c r="A2528" s="31">
        <v>2523</v>
      </c>
      <c r="B2528" s="32" t="s">
        <v>5291</v>
      </c>
      <c r="C2528" s="32" t="s">
        <v>5433</v>
      </c>
      <c r="D2528" s="32" t="s">
        <v>2608</v>
      </c>
      <c r="E2528" s="32" t="s">
        <v>55</v>
      </c>
      <c r="F2528" s="32" t="s">
        <v>5434</v>
      </c>
      <c r="G2528" s="33">
        <v>1185</v>
      </c>
      <c r="H2528" s="34">
        <v>1.97</v>
      </c>
      <c r="I2528" s="31">
        <v>309000</v>
      </c>
      <c r="J2528" s="35" t="s">
        <v>1404</v>
      </c>
      <c r="K2528" s="36">
        <v>2025</v>
      </c>
    </row>
    <row r="2529" spans="1:11" ht="15" customHeight="1" x14ac:dyDescent="0.3">
      <c r="A2529" s="37">
        <v>2524</v>
      </c>
      <c r="B2529" s="38" t="s">
        <v>5291</v>
      </c>
      <c r="C2529" s="38" t="s">
        <v>5435</v>
      </c>
      <c r="D2529" s="38" t="s">
        <v>3618</v>
      </c>
      <c r="E2529" s="38" t="s">
        <v>35</v>
      </c>
      <c r="F2529" s="38" t="s">
        <v>5436</v>
      </c>
      <c r="G2529" s="39">
        <v>2381</v>
      </c>
      <c r="H2529" s="40">
        <v>0.91300000000000003</v>
      </c>
      <c r="I2529" s="37">
        <v>331800</v>
      </c>
      <c r="J2529" s="41" t="s">
        <v>1404</v>
      </c>
      <c r="K2529" s="42">
        <v>2025</v>
      </c>
    </row>
    <row r="2530" spans="1:11" ht="15" customHeight="1" x14ac:dyDescent="0.3">
      <c r="A2530" s="31">
        <v>2525</v>
      </c>
      <c r="B2530" s="32" t="s">
        <v>5291</v>
      </c>
      <c r="C2530" s="32" t="s">
        <v>5437</v>
      </c>
      <c r="D2530" s="32" t="s">
        <v>1516</v>
      </c>
      <c r="E2530" s="32" t="s">
        <v>5042</v>
      </c>
      <c r="F2530" s="32" t="s">
        <v>5416</v>
      </c>
      <c r="G2530" s="33">
        <v>1791</v>
      </c>
      <c r="H2530" s="34">
        <v>0.82099999999999995</v>
      </c>
      <c r="I2530" s="31">
        <v>311800</v>
      </c>
      <c r="J2530" s="35" t="s">
        <v>1404</v>
      </c>
      <c r="K2530" s="36">
        <v>2025</v>
      </c>
    </row>
    <row r="2531" spans="1:11" ht="15" customHeight="1" x14ac:dyDescent="0.3">
      <c r="A2531" s="37">
        <v>2526</v>
      </c>
      <c r="B2531" s="38" t="s">
        <v>5291</v>
      </c>
      <c r="C2531" s="38" t="s">
        <v>5438</v>
      </c>
      <c r="D2531" s="38" t="s">
        <v>5439</v>
      </c>
      <c r="E2531" s="38" t="s">
        <v>35</v>
      </c>
      <c r="F2531" s="38" t="s">
        <v>674</v>
      </c>
      <c r="G2531" s="39">
        <v>483</v>
      </c>
      <c r="H2531" s="40">
        <v>1.36</v>
      </c>
      <c r="I2531" s="37">
        <v>311800</v>
      </c>
      <c r="J2531" s="41" t="s">
        <v>1404</v>
      </c>
      <c r="K2531" s="42">
        <v>2025</v>
      </c>
    </row>
    <row r="2532" spans="1:11" ht="15" customHeight="1" x14ac:dyDescent="0.3">
      <c r="A2532" s="31">
        <v>2527</v>
      </c>
      <c r="B2532" s="32" t="s">
        <v>5291</v>
      </c>
      <c r="C2532" s="32" t="s">
        <v>5440</v>
      </c>
      <c r="D2532" s="32" t="s">
        <v>5441</v>
      </c>
      <c r="E2532" s="32" t="s">
        <v>5442</v>
      </c>
      <c r="F2532" s="32" t="s">
        <v>5416</v>
      </c>
      <c r="G2532" s="33">
        <v>793</v>
      </c>
      <c r="H2532" s="34">
        <v>1.421</v>
      </c>
      <c r="I2532" s="31">
        <v>283800</v>
      </c>
      <c r="J2532" s="35" t="s">
        <v>1404</v>
      </c>
      <c r="K2532" s="36">
        <v>2025</v>
      </c>
    </row>
    <row r="2533" spans="1:11" ht="15" customHeight="1" x14ac:dyDescent="0.3">
      <c r="A2533" s="37">
        <v>2528</v>
      </c>
      <c r="B2533" s="38" t="s">
        <v>5291</v>
      </c>
      <c r="C2533" s="38" t="s">
        <v>5443</v>
      </c>
      <c r="D2533" s="38" t="s">
        <v>5444</v>
      </c>
      <c r="E2533" s="38" t="s">
        <v>5445</v>
      </c>
      <c r="F2533" s="38" t="s">
        <v>5377</v>
      </c>
      <c r="G2533" s="39">
        <v>600</v>
      </c>
      <c r="H2533" s="40">
        <v>5.6020000000000003</v>
      </c>
      <c r="I2533" s="37">
        <v>331800</v>
      </c>
      <c r="J2533" s="41" t="s">
        <v>1404</v>
      </c>
      <c r="K2533" s="42">
        <v>2025</v>
      </c>
    </row>
    <row r="2534" spans="1:11" ht="15" customHeight="1" x14ac:dyDescent="0.3">
      <c r="A2534" s="31">
        <v>2529</v>
      </c>
      <c r="B2534" s="32" t="s">
        <v>5291</v>
      </c>
      <c r="C2534" s="32" t="s">
        <v>5446</v>
      </c>
      <c r="D2534" s="32" t="s">
        <v>5447</v>
      </c>
      <c r="E2534" s="32" t="s">
        <v>5423</v>
      </c>
      <c r="F2534" s="32" t="s">
        <v>5434</v>
      </c>
      <c r="G2534" s="33">
        <v>235.87</v>
      </c>
      <c r="H2534" s="34">
        <v>1.032</v>
      </c>
      <c r="I2534" s="31">
        <v>311800</v>
      </c>
      <c r="J2534" s="35" t="s">
        <v>1404</v>
      </c>
      <c r="K2534" s="36">
        <v>2025</v>
      </c>
    </row>
    <row r="2535" spans="1:11" ht="15" customHeight="1" x14ac:dyDescent="0.3">
      <c r="A2535" s="37">
        <v>2530</v>
      </c>
      <c r="B2535" s="38" t="s">
        <v>5291</v>
      </c>
      <c r="C2535" s="38" t="s">
        <v>5448</v>
      </c>
      <c r="D2535" s="38" t="s">
        <v>5449</v>
      </c>
      <c r="E2535" s="38" t="s">
        <v>2820</v>
      </c>
      <c r="F2535" s="38" t="s">
        <v>5408</v>
      </c>
      <c r="G2535" s="39">
        <v>2704.5830000000001</v>
      </c>
      <c r="H2535" s="40">
        <v>5.4720000000000004</v>
      </c>
      <c r="I2535" s="37">
        <v>383000</v>
      </c>
      <c r="J2535" s="41" t="s">
        <v>1404</v>
      </c>
      <c r="K2535" s="42">
        <v>2025</v>
      </c>
    </row>
    <row r="2536" spans="1:11" ht="15" customHeight="1" x14ac:dyDescent="0.3">
      <c r="A2536" s="31">
        <v>2531</v>
      </c>
      <c r="B2536" s="32" t="s">
        <v>5291</v>
      </c>
      <c r="C2536" s="32" t="s">
        <v>5450</v>
      </c>
      <c r="D2536" s="32" t="s">
        <v>5451</v>
      </c>
      <c r="E2536" s="32" t="s">
        <v>5452</v>
      </c>
      <c r="F2536" s="32" t="s">
        <v>5416</v>
      </c>
      <c r="G2536" s="33">
        <v>295</v>
      </c>
      <c r="H2536" s="34">
        <v>0.52800000000000002</v>
      </c>
      <c r="I2536" s="31">
        <v>255800</v>
      </c>
      <c r="J2536" s="35" t="s">
        <v>1404</v>
      </c>
      <c r="K2536" s="36">
        <v>2025</v>
      </c>
    </row>
    <row r="2537" spans="1:11" ht="15" customHeight="1" x14ac:dyDescent="0.3">
      <c r="A2537" s="37">
        <v>2532</v>
      </c>
      <c r="B2537" s="38" t="s">
        <v>5291</v>
      </c>
      <c r="C2537" s="38" t="s">
        <v>5453</v>
      </c>
      <c r="D2537" s="38" t="s">
        <v>5454</v>
      </c>
      <c r="E2537" s="38" t="s">
        <v>5455</v>
      </c>
      <c r="F2537" s="38" t="s">
        <v>5456</v>
      </c>
      <c r="G2537" s="39">
        <v>1331</v>
      </c>
      <c r="H2537" s="40">
        <v>9.08</v>
      </c>
      <c r="I2537" s="37">
        <v>385800</v>
      </c>
      <c r="J2537" s="41" t="s">
        <v>1404</v>
      </c>
      <c r="K2537" s="42">
        <v>2025</v>
      </c>
    </row>
    <row r="2538" spans="1:11" ht="15" customHeight="1" x14ac:dyDescent="0.3">
      <c r="A2538" s="31">
        <v>2533</v>
      </c>
      <c r="B2538" s="32" t="s">
        <v>1059</v>
      </c>
      <c r="C2538" s="32" t="s">
        <v>5457</v>
      </c>
      <c r="D2538" s="32" t="s">
        <v>5458</v>
      </c>
      <c r="E2538" s="32" t="s">
        <v>35</v>
      </c>
      <c r="F2538" s="32" t="s">
        <v>306</v>
      </c>
      <c r="G2538" s="33">
        <v>133</v>
      </c>
      <c r="H2538" s="34">
        <v>0.27800000000000002</v>
      </c>
      <c r="I2538" s="31">
        <v>227800</v>
      </c>
      <c r="J2538" s="35" t="s">
        <v>1404</v>
      </c>
      <c r="K2538" s="36">
        <v>2025</v>
      </c>
    </row>
    <row r="2539" spans="1:11" ht="15" customHeight="1" x14ac:dyDescent="0.3">
      <c r="A2539" s="37">
        <v>2534</v>
      </c>
      <c r="B2539" s="38" t="s">
        <v>1059</v>
      </c>
      <c r="C2539" s="38" t="s">
        <v>5459</v>
      </c>
      <c r="D2539" s="38" t="s">
        <v>52</v>
      </c>
      <c r="E2539" s="38" t="s">
        <v>35</v>
      </c>
      <c r="F2539" s="38" t="s">
        <v>5408</v>
      </c>
      <c r="G2539" s="39">
        <v>3325</v>
      </c>
      <c r="H2539" s="40">
        <v>6.1840000000000002</v>
      </c>
      <c r="I2539" s="37">
        <v>385800</v>
      </c>
      <c r="J2539" s="41" t="s">
        <v>1404</v>
      </c>
      <c r="K2539" s="42">
        <v>2025</v>
      </c>
    </row>
    <row r="2540" spans="1:11" ht="15" customHeight="1" x14ac:dyDescent="0.3">
      <c r="A2540" s="31">
        <v>2535</v>
      </c>
      <c r="B2540" s="32" t="s">
        <v>1059</v>
      </c>
      <c r="C2540" s="32" t="s">
        <v>5460</v>
      </c>
      <c r="D2540" s="32" t="s">
        <v>5461</v>
      </c>
      <c r="E2540" s="32" t="s">
        <v>35</v>
      </c>
      <c r="F2540" s="32" t="s">
        <v>5462</v>
      </c>
      <c r="G2540" s="33">
        <v>2998</v>
      </c>
      <c r="H2540" s="34">
        <v>1.867</v>
      </c>
      <c r="I2540" s="31">
        <v>331800</v>
      </c>
      <c r="J2540" s="35" t="s">
        <v>1404</v>
      </c>
      <c r="K2540" s="36">
        <v>2025</v>
      </c>
    </row>
    <row r="2541" spans="1:11" ht="15" customHeight="1" x14ac:dyDescent="0.3">
      <c r="A2541" s="37">
        <v>2536</v>
      </c>
      <c r="B2541" s="38" t="s">
        <v>1059</v>
      </c>
      <c r="C2541" s="38" t="s">
        <v>5463</v>
      </c>
      <c r="D2541" s="38" t="s">
        <v>178</v>
      </c>
      <c r="E2541" s="38" t="s">
        <v>35</v>
      </c>
      <c r="F2541" s="38" t="s">
        <v>306</v>
      </c>
      <c r="G2541" s="39">
        <v>327</v>
      </c>
      <c r="H2541" s="40">
        <v>0.34599999999999997</v>
      </c>
      <c r="I2541" s="37">
        <v>255800</v>
      </c>
      <c r="J2541" s="41" t="s">
        <v>1404</v>
      </c>
      <c r="K2541" s="42">
        <v>2025</v>
      </c>
    </row>
    <row r="2542" spans="1:11" ht="15" customHeight="1" x14ac:dyDescent="0.3">
      <c r="A2542" s="31">
        <v>2537</v>
      </c>
      <c r="B2542" s="32" t="s">
        <v>1059</v>
      </c>
      <c r="C2542" s="32" t="s">
        <v>5464</v>
      </c>
      <c r="D2542" s="32" t="s">
        <v>5465</v>
      </c>
      <c r="E2542" s="32" t="s">
        <v>4209</v>
      </c>
      <c r="F2542" s="32" t="s">
        <v>5408</v>
      </c>
      <c r="G2542" s="33">
        <v>1444.2</v>
      </c>
      <c r="H2542" s="34">
        <v>6.5860000000000003</v>
      </c>
      <c r="I2542" s="31">
        <v>385800</v>
      </c>
      <c r="J2542" s="35" t="s">
        <v>1404</v>
      </c>
      <c r="K2542" s="36">
        <v>2025</v>
      </c>
    </row>
    <row r="2543" spans="1:11" ht="15" customHeight="1" x14ac:dyDescent="0.3">
      <c r="A2543" s="37">
        <v>2538</v>
      </c>
      <c r="B2543" s="38" t="s">
        <v>1059</v>
      </c>
      <c r="C2543" s="38" t="s">
        <v>5466</v>
      </c>
      <c r="D2543" s="38" t="s">
        <v>5467</v>
      </c>
      <c r="E2543" s="38" t="s">
        <v>5468</v>
      </c>
      <c r="F2543" s="38" t="s">
        <v>5434</v>
      </c>
      <c r="G2543" s="39">
        <v>1655</v>
      </c>
      <c r="H2543" s="40">
        <v>2.78</v>
      </c>
      <c r="I2543" s="37">
        <v>253000</v>
      </c>
      <c r="J2543" s="41" t="s">
        <v>1404</v>
      </c>
      <c r="K2543" s="42">
        <v>2025</v>
      </c>
    </row>
    <row r="2544" spans="1:11" ht="15" customHeight="1" x14ac:dyDescent="0.3">
      <c r="A2544" s="31">
        <v>2539</v>
      </c>
      <c r="B2544" s="32" t="s">
        <v>1059</v>
      </c>
      <c r="C2544" s="32" t="s">
        <v>5469</v>
      </c>
      <c r="D2544" s="32" t="s">
        <v>5470</v>
      </c>
      <c r="E2544" s="32" t="s">
        <v>2820</v>
      </c>
      <c r="F2544" s="32" t="s">
        <v>5434</v>
      </c>
      <c r="G2544" s="33">
        <v>1115.5</v>
      </c>
      <c r="H2544" s="34">
        <v>2.5129999999999999</v>
      </c>
      <c r="I2544" s="31">
        <v>329000</v>
      </c>
      <c r="J2544" s="35" t="s">
        <v>1404</v>
      </c>
      <c r="K2544" s="36">
        <v>2025</v>
      </c>
    </row>
    <row r="2545" spans="1:11" ht="15" customHeight="1" x14ac:dyDescent="0.3">
      <c r="A2545" s="37">
        <v>2540</v>
      </c>
      <c r="B2545" s="38" t="s">
        <v>1059</v>
      </c>
      <c r="C2545" s="38" t="s">
        <v>5471</v>
      </c>
      <c r="D2545" s="38" t="s">
        <v>5472</v>
      </c>
      <c r="E2545" s="38" t="s">
        <v>5473</v>
      </c>
      <c r="F2545" s="38" t="s">
        <v>674</v>
      </c>
      <c r="G2545" s="39">
        <v>6570</v>
      </c>
      <c r="H2545" s="40">
        <v>4.0090000000000003</v>
      </c>
      <c r="I2545" s="37">
        <v>383000</v>
      </c>
      <c r="J2545" s="41" t="s">
        <v>1404</v>
      </c>
      <c r="K2545" s="42">
        <v>2025</v>
      </c>
    </row>
    <row r="2546" spans="1:11" ht="15" customHeight="1" x14ac:dyDescent="0.3">
      <c r="A2546" s="31">
        <v>2541</v>
      </c>
      <c r="B2546" s="32" t="s">
        <v>1059</v>
      </c>
      <c r="C2546" s="32" t="s">
        <v>5474</v>
      </c>
      <c r="D2546" s="32" t="s">
        <v>5475</v>
      </c>
      <c r="E2546" s="32" t="s">
        <v>4490</v>
      </c>
      <c r="F2546" s="32" t="s">
        <v>5476</v>
      </c>
      <c r="G2546" s="33">
        <v>3060</v>
      </c>
      <c r="H2546" s="34">
        <v>3</v>
      </c>
      <c r="I2546" s="31">
        <v>329000</v>
      </c>
      <c r="J2546" s="35" t="s">
        <v>1404</v>
      </c>
      <c r="K2546" s="36">
        <v>2025</v>
      </c>
    </row>
    <row r="2547" spans="1:11" ht="15" customHeight="1" x14ac:dyDescent="0.3">
      <c r="A2547" s="37">
        <v>2542</v>
      </c>
      <c r="B2547" s="38" t="s">
        <v>1059</v>
      </c>
      <c r="C2547" s="38" t="s">
        <v>5477</v>
      </c>
      <c r="D2547" s="38" t="s">
        <v>5478</v>
      </c>
      <c r="E2547" s="38" t="s">
        <v>5479</v>
      </c>
      <c r="F2547" s="38" t="s">
        <v>1314</v>
      </c>
      <c r="G2547" s="39">
        <v>952</v>
      </c>
      <c r="H2547" s="40">
        <v>2.2480000000000002</v>
      </c>
      <c r="I2547" s="37">
        <v>331800</v>
      </c>
      <c r="J2547" s="41" t="s">
        <v>1404</v>
      </c>
      <c r="K2547" s="42">
        <v>2025</v>
      </c>
    </row>
    <row r="2548" spans="1:11" ht="15" customHeight="1" x14ac:dyDescent="0.3">
      <c r="A2548" s="31">
        <v>2543</v>
      </c>
      <c r="B2548" s="32" t="s">
        <v>5291</v>
      </c>
      <c r="C2548" s="32" t="s">
        <v>5480</v>
      </c>
      <c r="D2548" s="32" t="s">
        <v>5481</v>
      </c>
      <c r="E2548" s="32" t="s">
        <v>5482</v>
      </c>
      <c r="F2548" s="32" t="s">
        <v>4343</v>
      </c>
      <c r="G2548" s="33">
        <v>5510.4</v>
      </c>
      <c r="H2548" s="34">
        <v>10.32</v>
      </c>
      <c r="I2548" s="31">
        <v>439800</v>
      </c>
      <c r="J2548" s="35" t="s">
        <v>1514</v>
      </c>
      <c r="K2548" s="36">
        <v>2025</v>
      </c>
    </row>
    <row r="2549" spans="1:11" ht="15" customHeight="1" x14ac:dyDescent="0.3">
      <c r="A2549" s="37">
        <v>2544</v>
      </c>
      <c r="B2549" s="38" t="s">
        <v>5291</v>
      </c>
      <c r="C2549" s="38" t="s">
        <v>5483</v>
      </c>
      <c r="D2549" s="38" t="s">
        <v>2850</v>
      </c>
      <c r="E2549" s="38" t="s">
        <v>57</v>
      </c>
      <c r="F2549" s="38" t="s">
        <v>1031</v>
      </c>
      <c r="G2549" s="39">
        <v>293</v>
      </c>
      <c r="H2549" s="40">
        <v>5.5650000000000004</v>
      </c>
      <c r="I2549" s="37">
        <v>356000</v>
      </c>
      <c r="J2549" s="41" t="s">
        <v>1514</v>
      </c>
      <c r="K2549" s="42">
        <v>2025</v>
      </c>
    </row>
    <row r="2550" spans="1:11" ht="15" customHeight="1" x14ac:dyDescent="0.3">
      <c r="A2550" s="31">
        <v>2545</v>
      </c>
      <c r="B2550" s="32" t="s">
        <v>5291</v>
      </c>
      <c r="C2550" s="32" t="s">
        <v>5484</v>
      </c>
      <c r="D2550" s="32" t="s">
        <v>5485</v>
      </c>
      <c r="E2550" s="32" t="s">
        <v>5486</v>
      </c>
      <c r="F2550" s="32" t="s">
        <v>5275</v>
      </c>
      <c r="G2550" s="33">
        <v>320</v>
      </c>
      <c r="H2550" s="34">
        <v>4.8220000000000001</v>
      </c>
      <c r="I2550" s="31">
        <v>311800</v>
      </c>
      <c r="J2550" s="35" t="s">
        <v>1514</v>
      </c>
      <c r="K2550" s="36">
        <v>2025</v>
      </c>
    </row>
    <row r="2551" spans="1:11" ht="15" customHeight="1" x14ac:dyDescent="0.3">
      <c r="A2551" s="37">
        <v>2546</v>
      </c>
      <c r="B2551" s="38" t="s">
        <v>5291</v>
      </c>
      <c r="C2551" s="38" t="s">
        <v>5487</v>
      </c>
      <c r="D2551" s="38" t="s">
        <v>5488</v>
      </c>
      <c r="E2551" s="38" t="s">
        <v>4147</v>
      </c>
      <c r="F2551" s="38" t="s">
        <v>5275</v>
      </c>
      <c r="G2551" s="39">
        <v>215.2</v>
      </c>
      <c r="H2551" s="40">
        <v>0.72399999999999998</v>
      </c>
      <c r="I2551" s="37">
        <v>227800</v>
      </c>
      <c r="J2551" s="41" t="s">
        <v>1514</v>
      </c>
      <c r="K2551" s="42">
        <v>2025</v>
      </c>
    </row>
    <row r="2552" spans="1:11" ht="15" customHeight="1" x14ac:dyDescent="0.3">
      <c r="A2552" s="31">
        <v>2547</v>
      </c>
      <c r="B2552" s="32" t="s">
        <v>5291</v>
      </c>
      <c r="C2552" s="32" t="s">
        <v>5489</v>
      </c>
      <c r="D2552" s="32" t="s">
        <v>5490</v>
      </c>
      <c r="E2552" s="32" t="s">
        <v>5491</v>
      </c>
      <c r="F2552" s="32" t="s">
        <v>4343</v>
      </c>
      <c r="G2552" s="33">
        <v>3108</v>
      </c>
      <c r="H2552" s="34">
        <v>4.32</v>
      </c>
      <c r="I2552" s="31">
        <v>309000</v>
      </c>
      <c r="J2552" s="35" t="s">
        <v>1514</v>
      </c>
      <c r="K2552" s="36">
        <v>2025</v>
      </c>
    </row>
    <row r="2553" spans="1:11" ht="15" customHeight="1" x14ac:dyDescent="0.3">
      <c r="A2553" s="37">
        <v>2548</v>
      </c>
      <c r="B2553" s="38" t="s">
        <v>5291</v>
      </c>
      <c r="C2553" s="38" t="s">
        <v>5492</v>
      </c>
      <c r="D2553" s="38" t="s">
        <v>5493</v>
      </c>
      <c r="E2553" s="38" t="s">
        <v>5494</v>
      </c>
      <c r="F2553" s="38" t="s">
        <v>5495</v>
      </c>
      <c r="G2553" s="39">
        <v>1132.5</v>
      </c>
      <c r="H2553" s="40">
        <v>3.4319999999999999</v>
      </c>
      <c r="I2553" s="37">
        <v>283800</v>
      </c>
      <c r="J2553" s="41" t="s">
        <v>1514</v>
      </c>
      <c r="K2553" s="42">
        <v>2025</v>
      </c>
    </row>
    <row r="2554" spans="1:11" ht="15" customHeight="1" x14ac:dyDescent="0.3">
      <c r="A2554" s="31">
        <v>2549</v>
      </c>
      <c r="B2554" s="32" t="s">
        <v>5291</v>
      </c>
      <c r="C2554" s="32" t="s">
        <v>5496</v>
      </c>
      <c r="D2554" s="32" t="s">
        <v>5497</v>
      </c>
      <c r="E2554" s="32" t="s">
        <v>37</v>
      </c>
      <c r="F2554" s="32" t="s">
        <v>5498</v>
      </c>
      <c r="G2554" s="33">
        <v>630</v>
      </c>
      <c r="H2554" s="34">
        <v>0.72</v>
      </c>
      <c r="I2554" s="31">
        <v>255800</v>
      </c>
      <c r="J2554" s="35" t="s">
        <v>1514</v>
      </c>
      <c r="K2554" s="36">
        <v>2025</v>
      </c>
    </row>
    <row r="2555" spans="1:11" x14ac:dyDescent="0.3">
      <c r="A2555" s="139"/>
      <c r="B2555" s="138"/>
      <c r="C2555" s="138"/>
    </row>
  </sheetData>
  <autoFilter ref="A5:K2554" xr:uid="{00000000-0009-0000-0000-000001000000}"/>
  <mergeCells count="3">
    <mergeCell ref="A1:K2"/>
    <mergeCell ref="A3:K3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rgb="FF7030A0"/>
  </sheetPr>
  <dimension ref="B1:K18"/>
  <sheetViews>
    <sheetView showGridLines="0" zoomScaleNormal="100" workbookViewId="0">
      <selection activeCell="J20" sqref="J20"/>
    </sheetView>
  </sheetViews>
  <sheetFormatPr baseColWidth="10" defaultColWidth="8.6640625" defaultRowHeight="14.4" x14ac:dyDescent="0.3"/>
  <cols>
    <col min="1" max="1" width="2" customWidth="1"/>
    <col min="2" max="9" width="14" customWidth="1"/>
    <col min="10" max="10" width="16.109375" customWidth="1"/>
    <col min="11" max="11" width="18.33203125" customWidth="1"/>
  </cols>
  <sheetData>
    <row r="1" spans="2:11" ht="15" customHeight="1" x14ac:dyDescent="0.3">
      <c r="B1" s="152" t="s">
        <v>5499</v>
      </c>
      <c r="C1" s="152"/>
      <c r="D1" s="152"/>
      <c r="E1" s="152"/>
      <c r="F1" s="152"/>
      <c r="G1" s="152"/>
      <c r="H1" s="152"/>
      <c r="I1" s="152"/>
      <c r="J1" s="152"/>
    </row>
    <row r="2" spans="2:11" ht="15" customHeight="1" x14ac:dyDescent="0.3">
      <c r="B2" s="152"/>
      <c r="C2" s="152"/>
      <c r="D2" s="152"/>
      <c r="E2" s="152"/>
      <c r="F2" s="152"/>
      <c r="G2" s="152"/>
      <c r="H2" s="152"/>
      <c r="I2" s="152"/>
      <c r="J2" s="152"/>
    </row>
    <row r="3" spans="2:11" ht="15" customHeight="1" x14ac:dyDescent="0.3">
      <c r="B3" s="153" t="s">
        <v>5500</v>
      </c>
      <c r="C3" s="153"/>
      <c r="D3" s="153"/>
      <c r="E3" s="153"/>
      <c r="F3" s="153"/>
      <c r="G3" s="153"/>
      <c r="H3" s="153"/>
      <c r="I3" s="153"/>
      <c r="J3" s="153"/>
    </row>
    <row r="5" spans="2:11" ht="21.75" customHeight="1" x14ac:dyDescent="0.3">
      <c r="B5" s="43" t="s">
        <v>73</v>
      </c>
      <c r="C5" s="43" t="s">
        <v>5501</v>
      </c>
      <c r="D5" s="43" t="s">
        <v>10</v>
      </c>
      <c r="E5" s="43" t="s">
        <v>5502</v>
      </c>
      <c r="F5" s="43" t="s">
        <v>5503</v>
      </c>
      <c r="G5" s="43" t="s">
        <v>5504</v>
      </c>
      <c r="H5" s="43" t="s">
        <v>5505</v>
      </c>
      <c r="I5" s="43" t="s">
        <v>5506</v>
      </c>
      <c r="J5" s="43" t="s">
        <v>26</v>
      </c>
      <c r="K5" s="43" t="s">
        <v>5507</v>
      </c>
    </row>
    <row r="6" spans="2:11" ht="19.5" customHeight="1" x14ac:dyDescent="0.3">
      <c r="B6" s="1" t="s">
        <v>5508</v>
      </c>
      <c r="C6" s="24">
        <v>3739680</v>
      </c>
      <c r="D6" s="24">
        <v>8891580</v>
      </c>
      <c r="E6" s="24">
        <v>10988840</v>
      </c>
      <c r="F6" s="24">
        <v>7687580</v>
      </c>
      <c r="G6" s="24">
        <v>11838200</v>
      </c>
      <c r="H6" s="24">
        <v>5121000</v>
      </c>
      <c r="I6" s="24">
        <v>8106200</v>
      </c>
      <c r="J6" s="44">
        <v>56373080</v>
      </c>
      <c r="K6" s="45" t="s">
        <v>5504</v>
      </c>
    </row>
    <row r="7" spans="2:11" ht="19.5" customHeight="1" x14ac:dyDescent="0.3">
      <c r="B7" s="1" t="s">
        <v>5509</v>
      </c>
      <c r="C7" s="28">
        <v>8640800</v>
      </c>
      <c r="D7" s="28">
        <v>4909460</v>
      </c>
      <c r="E7" s="28">
        <v>6428240</v>
      </c>
      <c r="F7" s="28">
        <v>8822567.2599999998</v>
      </c>
      <c r="G7" s="28">
        <v>5264800</v>
      </c>
      <c r="H7" s="28">
        <v>4800800</v>
      </c>
      <c r="I7" s="28">
        <v>2900400</v>
      </c>
      <c r="J7" s="44">
        <v>41767067.259999998</v>
      </c>
      <c r="K7" s="45" t="s">
        <v>5503</v>
      </c>
    </row>
    <row r="8" spans="2:11" ht="19.5" customHeight="1" x14ac:dyDescent="0.3">
      <c r="B8" s="1" t="s">
        <v>5510</v>
      </c>
      <c r="C8" s="24">
        <v>6346020</v>
      </c>
      <c r="D8" s="24">
        <v>10883400</v>
      </c>
      <c r="E8" s="24">
        <v>11119220</v>
      </c>
      <c r="F8" s="24">
        <v>8462060</v>
      </c>
      <c r="G8" s="24">
        <v>9174900</v>
      </c>
      <c r="H8" s="24">
        <v>11419000</v>
      </c>
      <c r="I8" s="24">
        <v>10368600</v>
      </c>
      <c r="J8" s="44">
        <v>67773200</v>
      </c>
      <c r="K8" s="45" t="s">
        <v>5505</v>
      </c>
    </row>
    <row r="9" spans="2:11" ht="19.5" customHeight="1" x14ac:dyDescent="0.3">
      <c r="B9" s="1" t="s">
        <v>5511</v>
      </c>
      <c r="C9" s="28">
        <v>0</v>
      </c>
      <c r="D9" s="28">
        <v>10456920</v>
      </c>
      <c r="E9" s="28">
        <v>9492880</v>
      </c>
      <c r="F9" s="28">
        <v>7372760</v>
      </c>
      <c r="G9" s="28">
        <v>7375000</v>
      </c>
      <c r="H9" s="28">
        <v>9103000</v>
      </c>
      <c r="I9" s="28">
        <v>4551400</v>
      </c>
      <c r="J9" s="44">
        <v>48351960</v>
      </c>
      <c r="K9" s="45" t="s">
        <v>10</v>
      </c>
    </row>
    <row r="10" spans="2:11" ht="19.5" customHeight="1" x14ac:dyDescent="0.3">
      <c r="B10" s="1" t="s">
        <v>5512</v>
      </c>
      <c r="C10" s="24">
        <v>0</v>
      </c>
      <c r="D10" s="24">
        <v>9707840</v>
      </c>
      <c r="E10" s="24">
        <v>7869320</v>
      </c>
      <c r="F10" s="24">
        <v>4996700</v>
      </c>
      <c r="G10" s="24">
        <v>5019200</v>
      </c>
      <c r="H10" s="24">
        <v>5280600</v>
      </c>
      <c r="I10" s="24">
        <v>4551400</v>
      </c>
      <c r="J10" s="44">
        <v>37425060</v>
      </c>
      <c r="K10" s="45" t="s">
        <v>10</v>
      </c>
    </row>
    <row r="11" spans="2:11" ht="19.5" customHeight="1" x14ac:dyDescent="0.3">
      <c r="B11" s="1" t="s">
        <v>5513</v>
      </c>
      <c r="C11" s="28">
        <v>0</v>
      </c>
      <c r="D11" s="28">
        <v>7244580</v>
      </c>
      <c r="E11" s="28">
        <v>8850720</v>
      </c>
      <c r="F11" s="28">
        <v>12598000</v>
      </c>
      <c r="G11" s="28">
        <v>5125400</v>
      </c>
      <c r="H11" s="28">
        <v>4372600</v>
      </c>
      <c r="I11" s="28">
        <v>1865600</v>
      </c>
      <c r="J11" s="44">
        <v>40056900</v>
      </c>
      <c r="K11" s="45" t="s">
        <v>5503</v>
      </c>
    </row>
    <row r="12" spans="2:11" ht="19.5" customHeight="1" x14ac:dyDescent="0.3">
      <c r="B12" s="1" t="s">
        <v>5514</v>
      </c>
      <c r="C12" s="24">
        <v>0</v>
      </c>
      <c r="D12" s="24">
        <v>10902920</v>
      </c>
      <c r="E12" s="24">
        <v>6661240</v>
      </c>
      <c r="F12" s="24">
        <v>5553200</v>
      </c>
      <c r="G12" s="24">
        <v>12287600</v>
      </c>
      <c r="H12" s="24">
        <v>8142600</v>
      </c>
      <c r="I12" s="24">
        <v>5544211.7999999998</v>
      </c>
      <c r="J12" s="44">
        <v>49091771.799999997</v>
      </c>
      <c r="K12" s="45" t="s">
        <v>5504</v>
      </c>
    </row>
    <row r="13" spans="2:11" ht="19.5" customHeight="1" x14ac:dyDescent="0.3">
      <c r="B13" s="1" t="s">
        <v>5515</v>
      </c>
      <c r="C13" s="28">
        <v>0</v>
      </c>
      <c r="D13" s="28">
        <v>11976880</v>
      </c>
      <c r="E13" s="28">
        <v>13101560</v>
      </c>
      <c r="F13" s="28">
        <v>7451400</v>
      </c>
      <c r="G13" s="28">
        <v>5818400</v>
      </c>
      <c r="H13" s="28">
        <v>9775200</v>
      </c>
      <c r="I13" s="28">
        <v>8491600</v>
      </c>
      <c r="J13" s="44">
        <v>56615040</v>
      </c>
      <c r="K13" s="45" t="s">
        <v>5502</v>
      </c>
    </row>
    <row r="14" spans="2:11" ht="19.5" customHeight="1" x14ac:dyDescent="0.3">
      <c r="B14" s="1" t="s">
        <v>5516</v>
      </c>
      <c r="C14" s="24">
        <v>0</v>
      </c>
      <c r="D14" s="24">
        <v>10560314</v>
      </c>
      <c r="E14" s="24">
        <v>7141280</v>
      </c>
      <c r="F14" s="24">
        <v>6885600</v>
      </c>
      <c r="G14" s="24">
        <v>4160200</v>
      </c>
      <c r="H14" s="24">
        <v>5427600</v>
      </c>
      <c r="I14" s="24">
        <v>7496600</v>
      </c>
      <c r="J14" s="44">
        <v>41671594</v>
      </c>
      <c r="K14" s="45" t="s">
        <v>10</v>
      </c>
    </row>
    <row r="15" spans="2:11" ht="19.5" customHeight="1" x14ac:dyDescent="0.3">
      <c r="B15" s="1" t="s">
        <v>5517</v>
      </c>
      <c r="C15" s="28">
        <v>0</v>
      </c>
      <c r="D15" s="28">
        <v>2882340</v>
      </c>
      <c r="E15" s="28">
        <v>4228680</v>
      </c>
      <c r="F15" s="28">
        <v>7430600</v>
      </c>
      <c r="G15" s="28">
        <v>2860400</v>
      </c>
      <c r="H15" s="28">
        <v>6427000</v>
      </c>
      <c r="I15" s="28">
        <v>5033600</v>
      </c>
      <c r="J15" s="44">
        <v>28862620</v>
      </c>
      <c r="K15" s="45" t="s">
        <v>5503</v>
      </c>
    </row>
    <row r="16" spans="2:11" ht="19.5" customHeight="1" x14ac:dyDescent="0.3">
      <c r="B16" s="1" t="s">
        <v>5518</v>
      </c>
      <c r="C16" s="24">
        <v>0</v>
      </c>
      <c r="D16" s="24">
        <v>10059880</v>
      </c>
      <c r="E16" s="24">
        <v>4601420</v>
      </c>
      <c r="F16" s="24">
        <v>10614600</v>
      </c>
      <c r="G16" s="24">
        <v>3785200</v>
      </c>
      <c r="H16" s="24">
        <v>6670200</v>
      </c>
      <c r="I16" s="24">
        <v>6429200</v>
      </c>
      <c r="J16" s="44">
        <v>42160500</v>
      </c>
      <c r="K16" s="45" t="s">
        <v>5503</v>
      </c>
    </row>
    <row r="17" spans="2:11" ht="19.5" customHeight="1" x14ac:dyDescent="0.3">
      <c r="B17" s="1" t="s">
        <v>5519</v>
      </c>
      <c r="C17" s="28">
        <v>0</v>
      </c>
      <c r="D17" s="28">
        <v>8241100</v>
      </c>
      <c r="E17" s="28">
        <v>2738860</v>
      </c>
      <c r="F17" s="28">
        <v>7449800</v>
      </c>
      <c r="G17" s="28">
        <v>7134000</v>
      </c>
      <c r="H17" s="28">
        <v>9763800</v>
      </c>
      <c r="I17" s="28">
        <v>2184000</v>
      </c>
      <c r="J17" s="44">
        <v>37511560</v>
      </c>
      <c r="K17" s="45" t="s">
        <v>5505</v>
      </c>
    </row>
    <row r="18" spans="2:11" ht="21.75" customHeight="1" x14ac:dyDescent="0.3">
      <c r="B18" s="46" t="s">
        <v>26</v>
      </c>
      <c r="C18" s="47">
        <v>18726500</v>
      </c>
      <c r="D18" s="47">
        <v>106717214</v>
      </c>
      <c r="E18" s="47">
        <v>93222260</v>
      </c>
      <c r="F18" s="47">
        <v>95324867.260000005</v>
      </c>
      <c r="G18" s="47">
        <v>79843300</v>
      </c>
      <c r="H18" s="47">
        <v>86303400</v>
      </c>
      <c r="I18" s="47">
        <v>67522811.799999997</v>
      </c>
    </row>
  </sheetData>
  <mergeCells count="2">
    <mergeCell ref="B1:J2"/>
    <mergeCell ref="B3:J3"/>
  </mergeCells>
  <conditionalFormatting sqref="C6:C17">
    <cfRule type="colorScale" priority="2">
      <colorScale>
        <cfvo type="min"/>
        <cfvo type="percentile" val="50"/>
        <cfvo type="max"/>
        <color rgb="FFFFFFFF"/>
        <color rgb="FFB3E5FC"/>
        <color rgb="FF1565C0"/>
      </colorScale>
    </cfRule>
  </conditionalFormatting>
  <conditionalFormatting sqref="D6:D17">
    <cfRule type="colorScale" priority="3">
      <colorScale>
        <cfvo type="min"/>
        <cfvo type="percentile" val="50"/>
        <cfvo type="max"/>
        <color rgb="FFFFFFFF"/>
        <color rgb="FFB3E5FC"/>
        <color rgb="FF1565C0"/>
      </colorScale>
    </cfRule>
  </conditionalFormatting>
  <conditionalFormatting sqref="E6:E17">
    <cfRule type="colorScale" priority="4">
      <colorScale>
        <cfvo type="min"/>
        <cfvo type="percentile" val="50"/>
        <cfvo type="max"/>
        <color rgb="FFFFFFFF"/>
        <color rgb="FFB3E5FC"/>
        <color rgb="FF1565C0"/>
      </colorScale>
    </cfRule>
  </conditionalFormatting>
  <conditionalFormatting sqref="F6:F17">
    <cfRule type="colorScale" priority="5">
      <colorScale>
        <cfvo type="min"/>
        <cfvo type="percentile" val="50"/>
        <cfvo type="max"/>
        <color rgb="FFFFFFFF"/>
        <color rgb="FFB3E5FC"/>
        <color rgb="FF1565C0"/>
      </colorScale>
    </cfRule>
  </conditionalFormatting>
  <conditionalFormatting sqref="G6:G17">
    <cfRule type="colorScale" priority="6">
      <colorScale>
        <cfvo type="min"/>
        <cfvo type="percentile" val="50"/>
        <cfvo type="max"/>
        <color rgb="FFFFFFFF"/>
        <color rgb="FFB3E5FC"/>
        <color rgb="FF1565C0"/>
      </colorScale>
    </cfRule>
  </conditionalFormatting>
  <conditionalFormatting sqref="H6:H17">
    <cfRule type="colorScale" priority="7">
      <colorScale>
        <cfvo type="min"/>
        <cfvo type="percentile" val="50"/>
        <cfvo type="max"/>
        <color rgb="FFFFFFFF"/>
        <color rgb="FFB3E5FC"/>
        <color rgb="FF1565C0"/>
      </colorScale>
    </cfRule>
  </conditionalFormatting>
  <conditionalFormatting sqref="I6:I17">
    <cfRule type="colorScale" priority="8">
      <colorScale>
        <cfvo type="min"/>
        <cfvo type="percentile" val="50"/>
        <cfvo type="max"/>
        <color rgb="FFFFFFFF"/>
        <color rgb="FFB3E5FC"/>
        <color rgb="FF1565C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theme="9" tint="-0.249977111117893"/>
  </sheetPr>
  <dimension ref="B1:F15"/>
  <sheetViews>
    <sheetView showGridLines="0" zoomScaleNormal="100" workbookViewId="0">
      <selection activeCell="H21" sqref="H21"/>
    </sheetView>
  </sheetViews>
  <sheetFormatPr baseColWidth="10" defaultColWidth="8.6640625" defaultRowHeight="14.4" x14ac:dyDescent="0.3"/>
  <cols>
    <col min="1" max="1" width="2" customWidth="1"/>
    <col min="2" max="2" width="25" customWidth="1"/>
    <col min="3" max="5" width="16" customWidth="1"/>
    <col min="6" max="6" width="14" customWidth="1"/>
  </cols>
  <sheetData>
    <row r="1" spans="2:6" ht="15" customHeight="1" x14ac:dyDescent="0.3">
      <c r="B1" s="152" t="s">
        <v>5520</v>
      </c>
      <c r="C1" s="152"/>
      <c r="D1" s="152"/>
      <c r="E1" s="152"/>
      <c r="F1" s="152"/>
    </row>
    <row r="2" spans="2:6" ht="15" customHeight="1" x14ac:dyDescent="0.3">
      <c r="B2" s="152"/>
      <c r="C2" s="152"/>
      <c r="D2" s="152"/>
      <c r="E2" s="152"/>
      <c r="F2" s="152"/>
    </row>
    <row r="3" spans="2:6" ht="15" customHeight="1" x14ac:dyDescent="0.3">
      <c r="B3" s="153" t="s">
        <v>5521</v>
      </c>
      <c r="C3" s="153"/>
      <c r="D3" s="153"/>
      <c r="E3" s="153"/>
      <c r="F3" s="153"/>
    </row>
    <row r="5" spans="2:6" ht="21.75" customHeight="1" x14ac:dyDescent="0.3">
      <c r="B5" s="21" t="s">
        <v>67</v>
      </c>
      <c r="C5" s="21" t="s">
        <v>32</v>
      </c>
      <c r="D5" s="21" t="s">
        <v>19</v>
      </c>
      <c r="E5" s="21" t="s">
        <v>5522</v>
      </c>
      <c r="F5" s="21" t="s">
        <v>5523</v>
      </c>
    </row>
    <row r="6" spans="2:6" ht="19.5" customHeight="1" x14ac:dyDescent="0.3">
      <c r="B6" s="23" t="s">
        <v>313</v>
      </c>
      <c r="C6" s="24">
        <v>299</v>
      </c>
      <c r="D6" s="24">
        <v>63740580</v>
      </c>
      <c r="E6" s="25">
        <v>358819.647</v>
      </c>
      <c r="F6" s="26">
        <v>0.19814446653412901</v>
      </c>
    </row>
    <row r="7" spans="2:6" ht="19.5" customHeight="1" x14ac:dyDescent="0.3">
      <c r="B7" s="27" t="s">
        <v>272</v>
      </c>
      <c r="C7" s="28">
        <v>294</v>
      </c>
      <c r="D7" s="28">
        <v>57673607.259999998</v>
      </c>
      <c r="E7" s="29">
        <v>724342.77</v>
      </c>
      <c r="F7" s="30">
        <v>0.19483101391650101</v>
      </c>
    </row>
    <row r="8" spans="2:6" ht="19.5" customHeight="1" x14ac:dyDescent="0.3">
      <c r="B8" s="23" t="s">
        <v>336</v>
      </c>
      <c r="C8" s="24">
        <v>182</v>
      </c>
      <c r="D8" s="24">
        <v>34556140</v>
      </c>
      <c r="E8" s="25">
        <v>200044.99100000001</v>
      </c>
      <c r="F8" s="26">
        <v>0.120609675281644</v>
      </c>
    </row>
    <row r="9" spans="2:6" ht="19.5" customHeight="1" x14ac:dyDescent="0.3">
      <c r="B9" s="27" t="s">
        <v>1059</v>
      </c>
      <c r="C9" s="28">
        <v>157</v>
      </c>
      <c r="D9" s="28">
        <v>37219631.799999997</v>
      </c>
      <c r="E9" s="29">
        <v>311964.08399999997</v>
      </c>
      <c r="F9" s="30">
        <v>0.104042412193506</v>
      </c>
    </row>
    <row r="10" spans="2:6" ht="19.5" customHeight="1" x14ac:dyDescent="0.3">
      <c r="B10" s="23" t="s">
        <v>360</v>
      </c>
      <c r="C10" s="24">
        <v>111</v>
      </c>
      <c r="D10" s="24">
        <v>21959940</v>
      </c>
      <c r="E10" s="25">
        <v>140458.008</v>
      </c>
      <c r="F10" s="26">
        <v>7.3558648111332003E-2</v>
      </c>
    </row>
    <row r="11" spans="2:6" ht="19.5" customHeight="1" x14ac:dyDescent="0.3">
      <c r="B11" s="27" t="s">
        <v>4482</v>
      </c>
      <c r="C11" s="28">
        <v>109</v>
      </c>
      <c r="D11" s="28">
        <v>29207400</v>
      </c>
      <c r="E11" s="29">
        <v>797748.96</v>
      </c>
      <c r="F11" s="30">
        <v>7.2233267064281001E-2</v>
      </c>
    </row>
    <row r="12" spans="2:6" ht="19.5" customHeight="1" x14ac:dyDescent="0.3">
      <c r="B12" s="23" t="s">
        <v>1918</v>
      </c>
      <c r="C12" s="24">
        <v>98</v>
      </c>
      <c r="D12" s="24">
        <v>18088200</v>
      </c>
      <c r="E12" s="25">
        <v>127666.79300000001</v>
      </c>
      <c r="F12" s="26">
        <v>6.49436713055003E-2</v>
      </c>
    </row>
    <row r="13" spans="2:6" ht="19.5" customHeight="1" x14ac:dyDescent="0.3">
      <c r="B13" s="27" t="s">
        <v>2944</v>
      </c>
      <c r="C13" s="28">
        <v>91</v>
      </c>
      <c r="D13" s="28">
        <v>18499200</v>
      </c>
      <c r="E13" s="29">
        <v>104215.219</v>
      </c>
      <c r="F13" s="30">
        <v>6.0304837640821701E-2</v>
      </c>
    </row>
    <row r="14" spans="2:6" ht="19.5" customHeight="1" x14ac:dyDescent="0.3">
      <c r="B14" s="23" t="s">
        <v>2878</v>
      </c>
      <c r="C14" s="24">
        <v>89</v>
      </c>
      <c r="D14" s="24">
        <v>19383300</v>
      </c>
      <c r="E14" s="25">
        <v>105242.106</v>
      </c>
      <c r="F14" s="26">
        <v>5.8979456593770699E-2</v>
      </c>
    </row>
    <row r="15" spans="2:6" ht="19.5" customHeight="1" x14ac:dyDescent="0.3">
      <c r="B15" s="27" t="s">
        <v>2404</v>
      </c>
      <c r="C15" s="28">
        <v>79</v>
      </c>
      <c r="D15" s="28">
        <v>16358700</v>
      </c>
      <c r="E15" s="29">
        <v>107626.27899999999</v>
      </c>
      <c r="F15" s="30">
        <v>5.2352551358515603E-2</v>
      </c>
    </row>
  </sheetData>
  <mergeCells count="2">
    <mergeCell ref="B1:F2"/>
    <mergeCell ref="B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5007-6BA0-4B31-BC08-AE23C2BA13B0}">
  <sheetPr codeName="Feuil5">
    <tabColor theme="7" tint="0.59999389629810485"/>
  </sheetPr>
  <dimension ref="A1:O21"/>
  <sheetViews>
    <sheetView showGridLines="0" zoomScaleNormal="100" workbookViewId="0">
      <pane xSplit="1" ySplit="6" topLeftCell="B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baseColWidth="10" defaultColWidth="8.6640625" defaultRowHeight="14.4" x14ac:dyDescent="0.3"/>
  <cols>
    <col min="1" max="1" width="35.6640625" customWidth="1"/>
    <col min="2" max="2" width="12.77734375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  <col min="9" max="9" width="16" customWidth="1"/>
    <col min="10" max="10" width="12" customWidth="1"/>
    <col min="11" max="11" width="10.109375" customWidth="1"/>
    <col min="13" max="13" width="12.33203125" customWidth="1"/>
    <col min="15" max="15" width="14.88671875" customWidth="1"/>
  </cols>
  <sheetData>
    <row r="1" spans="1:15" x14ac:dyDescent="0.3">
      <c r="A1" s="152" t="s">
        <v>5794</v>
      </c>
      <c r="B1" s="152"/>
      <c r="C1" s="152"/>
      <c r="D1" s="152"/>
      <c r="E1" s="152"/>
      <c r="F1" s="152"/>
      <c r="G1" s="152"/>
      <c r="H1" s="152"/>
      <c r="I1" s="152"/>
      <c r="J1" s="152"/>
      <c r="K1" s="110"/>
      <c r="L1" s="110"/>
      <c r="M1" s="110"/>
      <c r="N1" s="110"/>
      <c r="O1" s="110"/>
    </row>
    <row r="2" spans="1:15" x14ac:dyDescent="0.3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10"/>
      <c r="L2" s="110"/>
      <c r="M2" s="110"/>
      <c r="N2" s="110"/>
      <c r="O2" s="110"/>
    </row>
    <row r="3" spans="1:15" x14ac:dyDescent="0.3">
      <c r="A3" s="153" t="s">
        <v>5795</v>
      </c>
      <c r="B3" s="153"/>
      <c r="C3" s="153"/>
      <c r="D3" s="153"/>
      <c r="E3" s="153"/>
      <c r="F3" s="153"/>
      <c r="G3" s="153"/>
      <c r="H3" s="153"/>
      <c r="I3" s="153"/>
      <c r="J3" s="153"/>
      <c r="K3" s="110"/>
      <c r="L3" s="110"/>
      <c r="M3" s="110"/>
      <c r="N3" s="110"/>
      <c r="O3" s="110"/>
    </row>
    <row r="4" spans="1:1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110"/>
      <c r="L4" s="110"/>
      <c r="M4" s="110"/>
      <c r="N4" s="110"/>
      <c r="O4" s="110"/>
    </row>
    <row r="5" spans="1:15" ht="21.75" customHeight="1" x14ac:dyDescent="0.3">
      <c r="A5" s="98" t="s">
        <v>30</v>
      </c>
      <c r="B5" s="154" t="s">
        <v>5501</v>
      </c>
      <c r="C5" s="154"/>
      <c r="D5" s="154" t="s">
        <v>10</v>
      </c>
      <c r="E5" s="154"/>
      <c r="F5" s="154" t="s">
        <v>5502</v>
      </c>
      <c r="G5" s="154"/>
      <c r="H5" s="154" t="s">
        <v>5503</v>
      </c>
      <c r="I5" s="154"/>
      <c r="J5" s="154" t="s">
        <v>5504</v>
      </c>
      <c r="K5" s="154"/>
      <c r="L5" s="154" t="s">
        <v>5505</v>
      </c>
      <c r="M5" s="154"/>
      <c r="N5" s="154" t="s">
        <v>5506</v>
      </c>
      <c r="O5" s="154"/>
    </row>
    <row r="6" spans="1:15" ht="18" customHeight="1" x14ac:dyDescent="0.3">
      <c r="A6" s="111" t="s">
        <v>30</v>
      </c>
      <c r="B6" s="111" t="s">
        <v>5796</v>
      </c>
      <c r="C6" s="111" t="s">
        <v>20</v>
      </c>
      <c r="D6" s="111" t="s">
        <v>5796</v>
      </c>
      <c r="E6" s="111" t="s">
        <v>20</v>
      </c>
      <c r="F6" s="111" t="s">
        <v>5796</v>
      </c>
      <c r="G6" s="111" t="s">
        <v>20</v>
      </c>
      <c r="H6" s="111" t="s">
        <v>5796</v>
      </c>
      <c r="I6" s="111" t="s">
        <v>20</v>
      </c>
      <c r="J6" s="111" t="s">
        <v>5796</v>
      </c>
      <c r="K6" s="111" t="s">
        <v>20</v>
      </c>
      <c r="L6" s="111" t="s">
        <v>5796</v>
      </c>
      <c r="M6" s="111" t="s">
        <v>20</v>
      </c>
      <c r="N6" s="111" t="s">
        <v>5796</v>
      </c>
      <c r="O6" s="111" t="s">
        <v>20</v>
      </c>
    </row>
    <row r="7" spans="1:15" ht="19.5" customHeight="1" x14ac:dyDescent="0.3">
      <c r="A7" s="112" t="s">
        <v>37</v>
      </c>
      <c r="B7" s="99">
        <v>693040</v>
      </c>
      <c r="C7" s="113">
        <v>4</v>
      </c>
      <c r="D7" s="99">
        <v>6574140</v>
      </c>
      <c r="E7" s="113">
        <v>40</v>
      </c>
      <c r="F7" s="99">
        <v>3969980</v>
      </c>
      <c r="G7" s="113">
        <v>23</v>
      </c>
      <c r="H7" s="99">
        <v>5084080</v>
      </c>
      <c r="I7" s="113">
        <v>28</v>
      </c>
      <c r="J7" s="99">
        <v>3949400</v>
      </c>
      <c r="K7" s="113">
        <v>24</v>
      </c>
      <c r="L7" s="99">
        <v>1581600</v>
      </c>
      <c r="M7" s="113">
        <v>7</v>
      </c>
      <c r="N7" s="99">
        <v>255800</v>
      </c>
      <c r="O7" s="113">
        <v>1</v>
      </c>
    </row>
    <row r="8" spans="1:15" ht="19.5" customHeight="1" x14ac:dyDescent="0.3">
      <c r="A8" s="114" t="s">
        <v>43</v>
      </c>
      <c r="B8" s="104"/>
      <c r="C8" s="115"/>
      <c r="D8" s="104">
        <v>2888640</v>
      </c>
      <c r="E8" s="115">
        <v>14</v>
      </c>
      <c r="F8" s="104">
        <v>5185500</v>
      </c>
      <c r="G8" s="115">
        <v>26</v>
      </c>
      <c r="H8" s="104">
        <v>500320</v>
      </c>
      <c r="I8" s="115">
        <v>3</v>
      </c>
      <c r="J8" s="104"/>
      <c r="K8" s="115"/>
      <c r="L8" s="104"/>
      <c r="M8" s="115"/>
      <c r="N8" s="104"/>
      <c r="O8" s="115"/>
    </row>
    <row r="9" spans="1:15" ht="19.5" customHeight="1" x14ac:dyDescent="0.3">
      <c r="A9" s="112" t="s">
        <v>41</v>
      </c>
      <c r="B9" s="99"/>
      <c r="C9" s="113"/>
      <c r="D9" s="99">
        <v>1952120</v>
      </c>
      <c r="E9" s="113">
        <v>12</v>
      </c>
      <c r="F9" s="99">
        <v>2356900</v>
      </c>
      <c r="G9" s="113">
        <v>15</v>
      </c>
      <c r="H9" s="99">
        <v>2737780</v>
      </c>
      <c r="I9" s="113">
        <v>13</v>
      </c>
      <c r="J9" s="99">
        <v>1748200</v>
      </c>
      <c r="K9" s="113">
        <v>9</v>
      </c>
      <c r="L9" s="99">
        <v>517400</v>
      </c>
      <c r="M9" s="113">
        <v>3</v>
      </c>
      <c r="N9" s="99"/>
      <c r="O9" s="113"/>
    </row>
    <row r="10" spans="1:15" ht="19.5" customHeight="1" x14ac:dyDescent="0.3">
      <c r="A10" s="114" t="s">
        <v>47</v>
      </c>
      <c r="B10" s="104"/>
      <c r="C10" s="115"/>
      <c r="D10" s="104">
        <v>1895925</v>
      </c>
      <c r="E10" s="115">
        <v>10</v>
      </c>
      <c r="F10" s="104">
        <v>2999600</v>
      </c>
      <c r="G10" s="115">
        <v>19</v>
      </c>
      <c r="H10" s="104">
        <v>1552820</v>
      </c>
      <c r="I10" s="115">
        <v>9</v>
      </c>
      <c r="J10" s="104"/>
      <c r="K10" s="115"/>
      <c r="L10" s="104"/>
      <c r="M10" s="115"/>
      <c r="N10" s="104"/>
      <c r="O10" s="115"/>
    </row>
    <row r="11" spans="1:15" ht="19.5" customHeight="1" x14ac:dyDescent="0.3">
      <c r="A11" s="112" t="s">
        <v>49</v>
      </c>
      <c r="B11" s="99"/>
      <c r="C11" s="113"/>
      <c r="D11" s="99">
        <v>3221069</v>
      </c>
      <c r="E11" s="113">
        <v>19</v>
      </c>
      <c r="F11" s="99">
        <v>1926260</v>
      </c>
      <c r="G11" s="113">
        <v>11</v>
      </c>
      <c r="H11" s="99">
        <v>894260</v>
      </c>
      <c r="I11" s="113">
        <v>4</v>
      </c>
      <c r="J11" s="99"/>
      <c r="K11" s="113"/>
      <c r="L11" s="99"/>
      <c r="M11" s="113"/>
      <c r="N11" s="99"/>
      <c r="O11" s="113"/>
    </row>
    <row r="12" spans="1:15" ht="19.5" customHeight="1" x14ac:dyDescent="0.3">
      <c r="A12" s="114" t="s">
        <v>51</v>
      </c>
      <c r="B12" s="104"/>
      <c r="C12" s="115"/>
      <c r="D12" s="104">
        <v>601780</v>
      </c>
      <c r="E12" s="115">
        <v>4</v>
      </c>
      <c r="F12" s="104">
        <v>5102160</v>
      </c>
      <c r="G12" s="115">
        <v>29</v>
      </c>
      <c r="H12" s="104"/>
      <c r="I12" s="115"/>
      <c r="J12" s="104"/>
      <c r="K12" s="115"/>
      <c r="L12" s="104"/>
      <c r="M12" s="115"/>
      <c r="N12" s="104"/>
      <c r="O12" s="115"/>
    </row>
    <row r="13" spans="1:15" ht="19.5" customHeight="1" x14ac:dyDescent="0.3">
      <c r="A13" s="112" t="s">
        <v>59</v>
      </c>
      <c r="B13" s="99"/>
      <c r="C13" s="113"/>
      <c r="D13" s="99">
        <v>2153820</v>
      </c>
      <c r="E13" s="113">
        <v>13</v>
      </c>
      <c r="F13" s="99">
        <v>437780</v>
      </c>
      <c r="G13" s="113">
        <v>3</v>
      </c>
      <c r="H13" s="99">
        <v>1354460</v>
      </c>
      <c r="I13" s="113">
        <v>5</v>
      </c>
      <c r="J13" s="99"/>
      <c r="K13" s="113"/>
      <c r="L13" s="99"/>
      <c r="M13" s="113"/>
      <c r="N13" s="99"/>
      <c r="O13" s="113"/>
    </row>
    <row r="14" spans="1:15" ht="19.5" customHeight="1" x14ac:dyDescent="0.3">
      <c r="A14" s="114" t="s">
        <v>57</v>
      </c>
      <c r="B14" s="104"/>
      <c r="C14" s="115"/>
      <c r="D14" s="104">
        <v>1397000</v>
      </c>
      <c r="E14" s="115">
        <v>6</v>
      </c>
      <c r="F14" s="104">
        <v>1984780</v>
      </c>
      <c r="G14" s="115">
        <v>10</v>
      </c>
      <c r="H14" s="104">
        <v>247260</v>
      </c>
      <c r="I14" s="115">
        <v>1</v>
      </c>
      <c r="J14" s="104"/>
      <c r="K14" s="115"/>
      <c r="L14" s="104"/>
      <c r="M14" s="115"/>
      <c r="N14" s="104">
        <v>356000</v>
      </c>
      <c r="O14" s="115">
        <v>1</v>
      </c>
    </row>
    <row r="15" spans="1:15" ht="19.5" customHeight="1" x14ac:dyDescent="0.3">
      <c r="A15" s="112" t="s">
        <v>592</v>
      </c>
      <c r="B15" s="99"/>
      <c r="C15" s="113"/>
      <c r="D15" s="99">
        <v>1574080</v>
      </c>
      <c r="E15" s="113">
        <v>8</v>
      </c>
      <c r="F15" s="99"/>
      <c r="G15" s="113"/>
      <c r="H15" s="99">
        <v>1951680</v>
      </c>
      <c r="I15" s="113">
        <v>10</v>
      </c>
      <c r="J15" s="99"/>
      <c r="K15" s="113"/>
      <c r="L15" s="99"/>
      <c r="M15" s="113"/>
      <c r="N15" s="99"/>
      <c r="O15" s="113"/>
    </row>
    <row r="16" spans="1:15" ht="19.5" customHeight="1" x14ac:dyDescent="0.3">
      <c r="A16" s="114" t="s">
        <v>372</v>
      </c>
      <c r="B16" s="104"/>
      <c r="C16" s="115"/>
      <c r="D16" s="104">
        <v>1052780</v>
      </c>
      <c r="E16" s="115">
        <v>6</v>
      </c>
      <c r="F16" s="104">
        <v>1719040</v>
      </c>
      <c r="G16" s="115">
        <v>8</v>
      </c>
      <c r="H16" s="104">
        <v>326520</v>
      </c>
      <c r="I16" s="115">
        <v>2</v>
      </c>
      <c r="J16" s="104"/>
      <c r="K16" s="115"/>
      <c r="L16" s="104"/>
      <c r="M16" s="115"/>
      <c r="N16" s="104"/>
      <c r="O16" s="115"/>
    </row>
    <row r="17" spans="1:15" ht="19.5" customHeight="1" x14ac:dyDescent="0.3">
      <c r="A17" s="112" t="s">
        <v>857</v>
      </c>
      <c r="B17" s="99"/>
      <c r="C17" s="113"/>
      <c r="D17" s="99">
        <v>1422820</v>
      </c>
      <c r="E17" s="113">
        <v>7</v>
      </c>
      <c r="F17" s="99">
        <v>631780</v>
      </c>
      <c r="G17" s="113">
        <v>3</v>
      </c>
      <c r="H17" s="99">
        <v>801580</v>
      </c>
      <c r="I17" s="113">
        <v>4</v>
      </c>
      <c r="J17" s="99">
        <v>227800</v>
      </c>
      <c r="K17" s="113">
        <v>1</v>
      </c>
      <c r="L17" s="99"/>
      <c r="M17" s="113"/>
      <c r="N17" s="99"/>
      <c r="O17" s="113"/>
    </row>
    <row r="18" spans="1:15" ht="19.5" customHeight="1" x14ac:dyDescent="0.3">
      <c r="A18" s="114" t="s">
        <v>215</v>
      </c>
      <c r="B18" s="104">
        <v>190000</v>
      </c>
      <c r="C18" s="115">
        <v>1</v>
      </c>
      <c r="D18" s="104">
        <v>2181000</v>
      </c>
      <c r="E18" s="115">
        <v>14</v>
      </c>
      <c r="F18" s="104"/>
      <c r="G18" s="115"/>
      <c r="H18" s="104">
        <v>464000</v>
      </c>
      <c r="I18" s="115">
        <v>2</v>
      </c>
      <c r="J18" s="104">
        <v>169000</v>
      </c>
      <c r="K18" s="115">
        <v>1</v>
      </c>
      <c r="L18" s="104"/>
      <c r="M18" s="115"/>
      <c r="N18" s="104"/>
      <c r="O18" s="115"/>
    </row>
    <row r="19" spans="1:15" ht="19.5" customHeight="1" x14ac:dyDescent="0.3">
      <c r="A19" s="112" t="s">
        <v>394</v>
      </c>
      <c r="B19" s="99"/>
      <c r="C19" s="113"/>
      <c r="D19" s="99">
        <v>709780</v>
      </c>
      <c r="E19" s="113">
        <v>4</v>
      </c>
      <c r="F19" s="99">
        <v>1793080</v>
      </c>
      <c r="G19" s="113">
        <v>8</v>
      </c>
      <c r="H19" s="99"/>
      <c r="I19" s="113"/>
      <c r="J19" s="99"/>
      <c r="K19" s="113"/>
      <c r="L19" s="99"/>
      <c r="M19" s="113"/>
      <c r="N19" s="99"/>
      <c r="O19" s="113"/>
    </row>
    <row r="20" spans="1:15" ht="19.5" customHeight="1" x14ac:dyDescent="0.3">
      <c r="A20" s="114" t="s">
        <v>648</v>
      </c>
      <c r="B20" s="104"/>
      <c r="C20" s="115"/>
      <c r="D20" s="104">
        <v>1023300</v>
      </c>
      <c r="E20" s="115">
        <v>5</v>
      </c>
      <c r="F20" s="104">
        <v>1226300</v>
      </c>
      <c r="G20" s="115">
        <v>5</v>
      </c>
      <c r="H20" s="104"/>
      <c r="I20" s="115"/>
      <c r="J20" s="104">
        <v>358800</v>
      </c>
      <c r="K20" s="115">
        <v>1</v>
      </c>
      <c r="L20" s="104"/>
      <c r="M20" s="115"/>
      <c r="N20" s="104"/>
      <c r="O20" s="115"/>
    </row>
    <row r="21" spans="1:15" ht="19.5" customHeight="1" x14ac:dyDescent="0.3">
      <c r="A21" s="112" t="s">
        <v>499</v>
      </c>
      <c r="B21" s="99"/>
      <c r="C21" s="113"/>
      <c r="D21" s="99">
        <v>826040</v>
      </c>
      <c r="E21" s="113">
        <v>4</v>
      </c>
      <c r="F21" s="99">
        <v>823040</v>
      </c>
      <c r="G21" s="113">
        <v>4</v>
      </c>
      <c r="H21" s="99">
        <v>317600</v>
      </c>
      <c r="I21" s="113">
        <v>2</v>
      </c>
      <c r="J21" s="99"/>
      <c r="K21" s="113"/>
      <c r="L21" s="99">
        <v>530600</v>
      </c>
      <c r="M21" s="113">
        <v>2</v>
      </c>
      <c r="N21" s="99"/>
      <c r="O21" s="113"/>
    </row>
  </sheetData>
  <mergeCells count="9">
    <mergeCell ref="L5:M5"/>
    <mergeCell ref="N5:O5"/>
    <mergeCell ref="A1:J2"/>
    <mergeCell ref="A3:J3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>
    <tabColor theme="4" tint="-0.249977111117893"/>
  </sheetPr>
  <dimension ref="A1:L1748"/>
  <sheetViews>
    <sheetView showGridLines="0" topLeftCell="B1" zoomScaleNormal="100" workbookViewId="0">
      <pane ySplit="8" topLeftCell="A75" activePane="bottomLeft" state="frozen"/>
      <selection activeCell="H21" sqref="H21"/>
      <selection pane="bottomLeft" activeCell="J57" sqref="J57"/>
    </sheetView>
  </sheetViews>
  <sheetFormatPr baseColWidth="10" defaultColWidth="8.6640625" defaultRowHeight="14.4" x14ac:dyDescent="0.3"/>
  <cols>
    <col min="1" max="1" width="7.6640625" customWidth="1"/>
    <col min="2" max="2" width="20" customWidth="1"/>
    <col min="3" max="3" width="22" customWidth="1"/>
    <col min="4" max="4" width="38.6640625" customWidth="1"/>
    <col min="5" max="5" width="30" customWidth="1"/>
    <col min="6" max="6" width="16" customWidth="1"/>
    <col min="7" max="7" width="14" customWidth="1"/>
    <col min="8" max="8" width="10" customWidth="1"/>
    <col min="9" max="9" width="16" customWidth="1"/>
    <col min="10" max="10" width="19.109375" customWidth="1"/>
    <col min="11" max="11" width="16" customWidth="1"/>
    <col min="12" max="12" width="12" customWidth="1"/>
  </cols>
  <sheetData>
    <row r="1" spans="1:12" ht="15" customHeight="1" x14ac:dyDescent="0.3">
      <c r="A1" s="152" t="s">
        <v>5524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1:12" ht="15" customHeight="1" x14ac:dyDescent="0.3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</row>
    <row r="4" spans="1:12" ht="19.5" customHeight="1" x14ac:dyDescent="0.3">
      <c r="A4" s="147" t="s">
        <v>5525</v>
      </c>
      <c r="B4" s="147"/>
      <c r="C4" s="147"/>
      <c r="D4" s="149" t="s">
        <v>5526</v>
      </c>
      <c r="E4" s="149"/>
      <c r="F4" s="149"/>
      <c r="G4" s="148" t="s">
        <v>5527</v>
      </c>
      <c r="H4" s="148"/>
      <c r="I4" s="148"/>
      <c r="J4" s="150" t="s">
        <v>5528</v>
      </c>
      <c r="K4" s="150"/>
      <c r="L4" s="150"/>
    </row>
    <row r="5" spans="1:12" ht="27.75" customHeight="1" x14ac:dyDescent="0.3">
      <c r="A5" s="142" t="s">
        <v>5529</v>
      </c>
      <c r="B5" s="142"/>
      <c r="C5" s="142"/>
      <c r="D5" s="142" t="s">
        <v>5530</v>
      </c>
      <c r="E5" s="142"/>
      <c r="F5" s="142"/>
      <c r="G5" s="142" t="s">
        <v>5531</v>
      </c>
      <c r="H5" s="142"/>
      <c r="I5" s="142"/>
      <c r="J5" s="142" t="s">
        <v>5532</v>
      </c>
      <c r="K5" s="142"/>
      <c r="L5" s="142"/>
    </row>
    <row r="6" spans="1:12" ht="18" customHeight="1" x14ac:dyDescent="0.3"/>
    <row r="8" spans="1:12" ht="21.75" customHeight="1" x14ac:dyDescent="0.3">
      <c r="A8" s="117" t="s">
        <v>5768</v>
      </c>
      <c r="B8" s="117" t="s">
        <v>67</v>
      </c>
      <c r="C8" s="117" t="s">
        <v>68</v>
      </c>
      <c r="D8" s="117" t="s">
        <v>34</v>
      </c>
      <c r="E8" s="117" t="s">
        <v>69</v>
      </c>
      <c r="F8" s="117" t="s">
        <v>70</v>
      </c>
      <c r="G8" s="117" t="s">
        <v>21</v>
      </c>
      <c r="H8" s="117" t="s">
        <v>71</v>
      </c>
      <c r="I8" s="117" t="s">
        <v>5533</v>
      </c>
      <c r="J8" s="117" t="s">
        <v>5534</v>
      </c>
      <c r="K8" s="117" t="s">
        <v>5535</v>
      </c>
      <c r="L8" s="117" t="s">
        <v>5536</v>
      </c>
    </row>
    <row r="9" spans="1:12" ht="15" customHeight="1" x14ac:dyDescent="0.3">
      <c r="A9" s="118">
        <v>1</v>
      </c>
      <c r="B9" s="119" t="s">
        <v>5150</v>
      </c>
      <c r="C9" s="119" t="s">
        <v>5537</v>
      </c>
      <c r="D9" s="119" t="s">
        <v>5538</v>
      </c>
      <c r="E9" s="119" t="s">
        <v>5539</v>
      </c>
      <c r="F9" s="119" t="s">
        <v>5540</v>
      </c>
      <c r="G9" s="120">
        <v>130</v>
      </c>
      <c r="H9" s="121">
        <v>0.51</v>
      </c>
      <c r="I9" s="118">
        <v>227800</v>
      </c>
      <c r="J9" s="118">
        <v>145800</v>
      </c>
      <c r="K9" s="122">
        <v>82000</v>
      </c>
      <c r="L9" s="123">
        <v>0.56241426611796996</v>
      </c>
    </row>
    <row r="10" spans="1:12" ht="15" customHeight="1" x14ac:dyDescent="0.3">
      <c r="A10" s="124">
        <v>2</v>
      </c>
      <c r="B10" s="125" t="s">
        <v>5150</v>
      </c>
      <c r="C10" s="125" t="s">
        <v>5541</v>
      </c>
      <c r="D10" s="125" t="s">
        <v>5542</v>
      </c>
      <c r="E10" s="125" t="s">
        <v>5543</v>
      </c>
      <c r="F10" s="125" t="s">
        <v>4758</v>
      </c>
      <c r="G10" s="126">
        <v>279</v>
      </c>
      <c r="H10" s="127">
        <v>4.57</v>
      </c>
      <c r="I10" s="124">
        <v>331800</v>
      </c>
      <c r="J10" s="124">
        <v>255800</v>
      </c>
      <c r="K10" s="128">
        <v>76000</v>
      </c>
      <c r="L10" s="129">
        <v>0.29710711493354203</v>
      </c>
    </row>
    <row r="11" spans="1:12" ht="15" customHeight="1" x14ac:dyDescent="0.3">
      <c r="A11" s="118">
        <v>3</v>
      </c>
      <c r="B11" s="119" t="s">
        <v>5150</v>
      </c>
      <c r="C11" s="119" t="s">
        <v>5544</v>
      </c>
      <c r="D11" s="119" t="s">
        <v>4773</v>
      </c>
      <c r="E11" s="119" t="s">
        <v>61</v>
      </c>
      <c r="F11" s="119" t="s">
        <v>4758</v>
      </c>
      <c r="G11" s="120">
        <v>2626.8</v>
      </c>
      <c r="H11" s="121">
        <v>4.5629999999999997</v>
      </c>
      <c r="I11" s="118">
        <v>358800</v>
      </c>
      <c r="J11" s="118">
        <v>255800</v>
      </c>
      <c r="K11" s="122">
        <v>103000</v>
      </c>
      <c r="L11" s="123">
        <v>0.40265832681782598</v>
      </c>
    </row>
    <row r="12" spans="1:12" ht="15" customHeight="1" x14ac:dyDescent="0.3">
      <c r="A12" s="124">
        <v>4</v>
      </c>
      <c r="B12" s="125" t="s">
        <v>5150</v>
      </c>
      <c r="C12" s="125" t="s">
        <v>5545</v>
      </c>
      <c r="D12" s="125" t="s">
        <v>5546</v>
      </c>
      <c r="E12" s="125" t="s">
        <v>5547</v>
      </c>
      <c r="F12" s="125" t="s">
        <v>5548</v>
      </c>
      <c r="G12" s="126">
        <v>1170</v>
      </c>
      <c r="H12" s="127">
        <v>8.0559999999999992</v>
      </c>
      <c r="I12" s="124">
        <v>385800</v>
      </c>
      <c r="J12" s="124">
        <v>331800</v>
      </c>
      <c r="K12" s="128">
        <v>54000</v>
      </c>
      <c r="L12" s="129">
        <v>0.16274864376130199</v>
      </c>
    </row>
    <row r="13" spans="1:12" ht="15" customHeight="1" x14ac:dyDescent="0.3">
      <c r="A13" s="118">
        <v>5</v>
      </c>
      <c r="B13" s="119" t="s">
        <v>5150</v>
      </c>
      <c r="C13" s="119" t="s">
        <v>5549</v>
      </c>
      <c r="D13" s="119" t="s">
        <v>5550</v>
      </c>
      <c r="E13" s="119" t="s">
        <v>5551</v>
      </c>
      <c r="F13" s="119" t="s">
        <v>276</v>
      </c>
      <c r="G13" s="120">
        <v>210</v>
      </c>
      <c r="H13" s="121">
        <v>0.624</v>
      </c>
      <c r="I13" s="118">
        <v>253000</v>
      </c>
      <c r="J13" s="118">
        <v>24200</v>
      </c>
      <c r="K13" s="122">
        <v>11000</v>
      </c>
      <c r="L13" s="123">
        <v>0.45454545454545497</v>
      </c>
    </row>
    <row r="14" spans="1:12" ht="15" customHeight="1" x14ac:dyDescent="0.3">
      <c r="A14" s="124">
        <v>6</v>
      </c>
      <c r="B14" s="125" t="s">
        <v>5150</v>
      </c>
      <c r="C14" s="125" t="s">
        <v>5552</v>
      </c>
      <c r="D14" s="125" t="s">
        <v>5553</v>
      </c>
      <c r="E14" s="125" t="s">
        <v>4708</v>
      </c>
      <c r="F14" s="125" t="s">
        <v>4335</v>
      </c>
      <c r="G14" s="126">
        <v>876</v>
      </c>
      <c r="H14" s="127">
        <v>2.4</v>
      </c>
      <c r="I14" s="124">
        <v>329000</v>
      </c>
      <c r="J14" s="124">
        <v>169000</v>
      </c>
      <c r="K14" s="128">
        <v>160000</v>
      </c>
      <c r="L14" s="129">
        <v>0.94674556213017802</v>
      </c>
    </row>
    <row r="15" spans="1:12" ht="15" customHeight="1" x14ac:dyDescent="0.3">
      <c r="A15" s="118">
        <v>7</v>
      </c>
      <c r="B15" s="119" t="s">
        <v>5554</v>
      </c>
      <c r="C15" s="119" t="s">
        <v>5555</v>
      </c>
      <c r="D15" s="119" t="s">
        <v>5556</v>
      </c>
      <c r="E15" s="119" t="s">
        <v>5557</v>
      </c>
      <c r="F15" s="119" t="s">
        <v>5033</v>
      </c>
      <c r="G15" s="120">
        <v>4594.8</v>
      </c>
      <c r="H15" s="121">
        <v>7.9969999999999999</v>
      </c>
      <c r="I15" s="118">
        <v>408000</v>
      </c>
      <c r="J15" s="118">
        <v>331800</v>
      </c>
      <c r="K15" s="122">
        <v>76200</v>
      </c>
      <c r="L15" s="123">
        <v>0.22965641952983701</v>
      </c>
    </row>
    <row r="16" spans="1:12" ht="15" customHeight="1" x14ac:dyDescent="0.3">
      <c r="A16" s="124">
        <v>8</v>
      </c>
      <c r="B16" s="125" t="s">
        <v>5554</v>
      </c>
      <c r="C16" s="125" t="s">
        <v>5558</v>
      </c>
      <c r="D16" s="125" t="s">
        <v>5559</v>
      </c>
      <c r="E16" s="125" t="s">
        <v>5560</v>
      </c>
      <c r="F16" s="125" t="s">
        <v>5561</v>
      </c>
      <c r="G16" s="126">
        <v>3090</v>
      </c>
      <c r="H16" s="127">
        <v>8.57</v>
      </c>
      <c r="I16" s="124">
        <v>385800</v>
      </c>
      <c r="J16" s="124">
        <v>358800</v>
      </c>
      <c r="K16" s="128">
        <v>27000</v>
      </c>
      <c r="L16" s="129">
        <v>7.5250836120401302E-2</v>
      </c>
    </row>
    <row r="17" spans="1:12" ht="15" customHeight="1" x14ac:dyDescent="0.3">
      <c r="A17" s="118">
        <v>9</v>
      </c>
      <c r="B17" s="119" t="s">
        <v>5554</v>
      </c>
      <c r="C17" s="119" t="s">
        <v>5562</v>
      </c>
      <c r="D17" s="119" t="s">
        <v>2800</v>
      </c>
      <c r="E17" s="119" t="s">
        <v>3408</v>
      </c>
      <c r="F17" s="119" t="s">
        <v>4986</v>
      </c>
      <c r="G17" s="120">
        <v>499</v>
      </c>
      <c r="H17" s="121">
        <v>4.5270000000000001</v>
      </c>
      <c r="I17" s="118">
        <v>356800</v>
      </c>
      <c r="J17" s="118">
        <v>255800</v>
      </c>
      <c r="K17" s="122">
        <v>101000</v>
      </c>
      <c r="L17" s="123">
        <v>0.39483971853010202</v>
      </c>
    </row>
    <row r="18" spans="1:12" ht="15" customHeight="1" x14ac:dyDescent="0.3">
      <c r="A18" s="124">
        <v>10</v>
      </c>
      <c r="B18" s="125" t="s">
        <v>5554</v>
      </c>
      <c r="C18" s="125" t="s">
        <v>5563</v>
      </c>
      <c r="D18" s="125" t="s">
        <v>5564</v>
      </c>
      <c r="E18" s="125" t="s">
        <v>35</v>
      </c>
      <c r="F18" s="125" t="s">
        <v>276</v>
      </c>
      <c r="G18" s="126">
        <v>538</v>
      </c>
      <c r="H18" s="127">
        <v>1.286</v>
      </c>
      <c r="I18" s="124">
        <v>308800</v>
      </c>
      <c r="J18" s="124">
        <v>145800</v>
      </c>
      <c r="K18" s="128">
        <v>163000</v>
      </c>
      <c r="L18" s="129">
        <v>1.1179698216735301</v>
      </c>
    </row>
    <row r="19" spans="1:12" ht="15" customHeight="1" x14ac:dyDescent="0.3">
      <c r="A19" s="118">
        <v>11</v>
      </c>
      <c r="B19" s="119" t="s">
        <v>5554</v>
      </c>
      <c r="C19" s="119" t="s">
        <v>5565</v>
      </c>
      <c r="D19" s="119" t="s">
        <v>5564</v>
      </c>
      <c r="E19" s="119" t="s">
        <v>5566</v>
      </c>
      <c r="F19" s="119" t="s">
        <v>276</v>
      </c>
      <c r="G19" s="120">
        <v>358</v>
      </c>
      <c r="H19" s="121">
        <v>1.363</v>
      </c>
      <c r="I19" s="118">
        <v>306000</v>
      </c>
      <c r="J19" s="118">
        <v>143000</v>
      </c>
      <c r="K19" s="122">
        <v>163000</v>
      </c>
      <c r="L19" s="123">
        <v>1.13986013986014</v>
      </c>
    </row>
    <row r="20" spans="1:12" ht="15" customHeight="1" x14ac:dyDescent="0.3">
      <c r="A20" s="124">
        <v>12</v>
      </c>
      <c r="B20" s="125" t="s">
        <v>5554</v>
      </c>
      <c r="C20" s="125" t="s">
        <v>5567</v>
      </c>
      <c r="D20" s="125" t="s">
        <v>5546</v>
      </c>
      <c r="E20" s="125" t="s">
        <v>5547</v>
      </c>
      <c r="F20" s="125" t="s">
        <v>3079</v>
      </c>
      <c r="G20" s="126">
        <v>1635.8</v>
      </c>
      <c r="H20" s="127">
        <v>9.0229999999999997</v>
      </c>
      <c r="I20" s="124">
        <v>385800</v>
      </c>
      <c r="J20" s="124">
        <v>358800</v>
      </c>
      <c r="K20" s="128">
        <v>27000</v>
      </c>
      <c r="L20" s="129">
        <v>7.5250836120401302E-2</v>
      </c>
    </row>
    <row r="21" spans="1:12" ht="15" customHeight="1" x14ac:dyDescent="0.3">
      <c r="A21" s="118">
        <v>13</v>
      </c>
      <c r="B21" s="119" t="s">
        <v>5554</v>
      </c>
      <c r="C21" s="119" t="s">
        <v>5568</v>
      </c>
      <c r="D21" s="119" t="s">
        <v>1508</v>
      </c>
      <c r="E21" s="119" t="s">
        <v>5566</v>
      </c>
      <c r="F21" s="119" t="s">
        <v>3858</v>
      </c>
      <c r="G21" s="120">
        <v>505</v>
      </c>
      <c r="H21" s="121">
        <v>1.7030000000000001</v>
      </c>
      <c r="I21" s="118">
        <v>306000</v>
      </c>
      <c r="J21" s="118">
        <v>171800</v>
      </c>
      <c r="K21" s="122">
        <v>134200</v>
      </c>
      <c r="L21" s="123">
        <v>0.78114086146682205</v>
      </c>
    </row>
    <row r="22" spans="1:12" ht="15" customHeight="1" x14ac:dyDescent="0.3">
      <c r="A22" s="124">
        <v>14</v>
      </c>
      <c r="B22" s="125" t="s">
        <v>5554</v>
      </c>
      <c r="C22" s="125" t="s">
        <v>5568</v>
      </c>
      <c r="D22" s="125" t="s">
        <v>5569</v>
      </c>
      <c r="E22" s="125" t="s">
        <v>3471</v>
      </c>
      <c r="F22" s="125" t="s">
        <v>5033</v>
      </c>
      <c r="G22" s="126">
        <v>2053.5</v>
      </c>
      <c r="H22" s="127">
        <v>6.6260000000000003</v>
      </c>
      <c r="I22" s="124">
        <v>383800</v>
      </c>
      <c r="J22" s="124">
        <v>311800</v>
      </c>
      <c r="K22" s="128">
        <v>72000</v>
      </c>
      <c r="L22" s="129">
        <v>0.23091725465041699</v>
      </c>
    </row>
    <row r="23" spans="1:12" ht="15" customHeight="1" x14ac:dyDescent="0.3">
      <c r="A23" s="118">
        <v>15</v>
      </c>
      <c r="B23" s="119" t="s">
        <v>5554</v>
      </c>
      <c r="C23" s="119" t="s">
        <v>5570</v>
      </c>
      <c r="D23" s="119" t="s">
        <v>5571</v>
      </c>
      <c r="E23" s="119" t="s">
        <v>5572</v>
      </c>
      <c r="F23" s="119" t="s">
        <v>5573</v>
      </c>
      <c r="G23" s="120">
        <v>285.82</v>
      </c>
      <c r="H23" s="121">
        <v>3.49</v>
      </c>
      <c r="I23" s="118">
        <v>280800</v>
      </c>
      <c r="J23" s="118">
        <v>199800</v>
      </c>
      <c r="K23" s="122">
        <v>81000</v>
      </c>
      <c r="L23" s="123">
        <v>0.40540540540540498</v>
      </c>
    </row>
    <row r="24" spans="1:12" ht="15" customHeight="1" x14ac:dyDescent="0.3">
      <c r="A24" s="124">
        <v>16</v>
      </c>
      <c r="B24" s="125" t="s">
        <v>5574</v>
      </c>
      <c r="C24" s="125" t="s">
        <v>5575</v>
      </c>
      <c r="D24" s="125" t="s">
        <v>4579</v>
      </c>
      <c r="E24" s="125" t="s">
        <v>4572</v>
      </c>
      <c r="F24" s="125" t="s">
        <v>4335</v>
      </c>
      <c r="G24" s="126">
        <v>237</v>
      </c>
      <c r="H24" s="127">
        <v>1.52</v>
      </c>
      <c r="I24" s="124">
        <v>283800</v>
      </c>
      <c r="J24" s="124">
        <v>171800</v>
      </c>
      <c r="K24" s="128">
        <v>112000</v>
      </c>
      <c r="L24" s="129">
        <v>0.65192083818393498</v>
      </c>
    </row>
    <row r="25" spans="1:12" ht="15" customHeight="1" x14ac:dyDescent="0.3">
      <c r="A25" s="118">
        <v>17</v>
      </c>
      <c r="B25" s="119" t="s">
        <v>5574</v>
      </c>
      <c r="C25" s="119" t="s">
        <v>5576</v>
      </c>
      <c r="D25" s="119" t="s">
        <v>5577</v>
      </c>
      <c r="E25" s="119" t="s">
        <v>215</v>
      </c>
      <c r="F25" s="119" t="s">
        <v>2906</v>
      </c>
      <c r="G25" s="120">
        <v>542</v>
      </c>
      <c r="H25" s="121">
        <v>0.77</v>
      </c>
      <c r="I25" s="118">
        <v>253000</v>
      </c>
      <c r="J25" s="118">
        <v>143000</v>
      </c>
      <c r="K25" s="122">
        <v>110000</v>
      </c>
      <c r="L25" s="123">
        <v>0.76923076923076905</v>
      </c>
    </row>
    <row r="26" spans="1:12" ht="15" customHeight="1" x14ac:dyDescent="0.3">
      <c r="A26" s="124">
        <v>18</v>
      </c>
      <c r="B26" s="125" t="s">
        <v>5574</v>
      </c>
      <c r="C26" s="125" t="s">
        <v>5578</v>
      </c>
      <c r="D26" s="125" t="s">
        <v>5579</v>
      </c>
      <c r="E26" s="125" t="s">
        <v>5580</v>
      </c>
      <c r="F26" s="125" t="s">
        <v>3858</v>
      </c>
      <c r="G26" s="126">
        <v>3.7170000000000001</v>
      </c>
      <c r="H26" s="127">
        <v>9.17</v>
      </c>
      <c r="I26" s="124">
        <v>385800</v>
      </c>
      <c r="J26" s="124">
        <v>358800</v>
      </c>
      <c r="K26" s="128">
        <v>27000</v>
      </c>
      <c r="L26" s="129">
        <v>7.5250836120401302E-2</v>
      </c>
    </row>
    <row r="27" spans="1:12" ht="15" customHeight="1" x14ac:dyDescent="0.3">
      <c r="A27" s="118">
        <v>19</v>
      </c>
      <c r="B27" s="119" t="s">
        <v>5574</v>
      </c>
      <c r="C27" s="119" t="s">
        <v>5581</v>
      </c>
      <c r="D27" s="119" t="s">
        <v>5582</v>
      </c>
      <c r="E27" s="119" t="s">
        <v>35</v>
      </c>
      <c r="F27" s="119" t="s">
        <v>2906</v>
      </c>
      <c r="G27" s="120">
        <v>333</v>
      </c>
      <c r="H27" s="121">
        <v>0.7</v>
      </c>
      <c r="I27" s="118">
        <v>283800</v>
      </c>
      <c r="J27" s="118">
        <v>145800</v>
      </c>
      <c r="K27" s="122">
        <v>138000</v>
      </c>
      <c r="L27" s="123">
        <v>0.94650205761316897</v>
      </c>
    </row>
    <row r="28" spans="1:12" ht="15" customHeight="1" x14ac:dyDescent="0.3">
      <c r="A28" s="124">
        <v>20</v>
      </c>
      <c r="B28" s="125" t="s">
        <v>5574</v>
      </c>
      <c r="C28" s="125" t="s">
        <v>5583</v>
      </c>
      <c r="D28" s="125" t="s">
        <v>5584</v>
      </c>
      <c r="E28" s="125" t="s">
        <v>5585</v>
      </c>
      <c r="F28" s="125" t="s">
        <v>4879</v>
      </c>
      <c r="G28" s="126">
        <v>167</v>
      </c>
      <c r="H28" s="127">
        <v>2.25</v>
      </c>
      <c r="I28" s="124">
        <v>311800</v>
      </c>
      <c r="J28" s="124">
        <v>171800</v>
      </c>
      <c r="K28" s="128">
        <v>140000</v>
      </c>
      <c r="L28" s="129">
        <v>0.814901047729919</v>
      </c>
    </row>
    <row r="29" spans="1:12" ht="15" customHeight="1" x14ac:dyDescent="0.3">
      <c r="A29" s="118">
        <v>21</v>
      </c>
      <c r="B29" s="119" t="s">
        <v>5574</v>
      </c>
      <c r="C29" s="119" t="s">
        <v>5586</v>
      </c>
      <c r="D29" s="119" t="s">
        <v>5587</v>
      </c>
      <c r="E29" s="119" t="s">
        <v>3293</v>
      </c>
      <c r="F29" s="119" t="s">
        <v>4343</v>
      </c>
      <c r="G29" s="120">
        <v>3865.73</v>
      </c>
      <c r="H29" s="121">
        <v>3.32</v>
      </c>
      <c r="I29" s="118">
        <v>331800</v>
      </c>
      <c r="J29" s="118">
        <v>257800</v>
      </c>
      <c r="K29" s="122">
        <v>132000</v>
      </c>
      <c r="L29" s="123">
        <v>0.51202482544608197</v>
      </c>
    </row>
    <row r="30" spans="1:12" ht="15" customHeight="1" x14ac:dyDescent="0.3">
      <c r="A30" s="124">
        <v>22</v>
      </c>
      <c r="B30" s="125" t="s">
        <v>5574</v>
      </c>
      <c r="C30" s="125" t="s">
        <v>5588</v>
      </c>
      <c r="D30" s="125" t="s">
        <v>5589</v>
      </c>
      <c r="E30" s="125" t="s">
        <v>2820</v>
      </c>
      <c r="F30" s="125" t="s">
        <v>402</v>
      </c>
      <c r="G30" s="126">
        <v>3435.2</v>
      </c>
      <c r="H30" s="127">
        <v>7.22</v>
      </c>
      <c r="I30" s="124">
        <v>383000</v>
      </c>
      <c r="J30" s="124">
        <v>309000</v>
      </c>
      <c r="K30" s="128">
        <v>74000</v>
      </c>
      <c r="L30" s="129">
        <v>0.23948220064724901</v>
      </c>
    </row>
    <row r="31" spans="1:12" ht="15" customHeight="1" x14ac:dyDescent="0.3">
      <c r="A31" s="118">
        <v>23</v>
      </c>
      <c r="B31" s="119" t="s">
        <v>5574</v>
      </c>
      <c r="C31" s="119" t="s">
        <v>5590</v>
      </c>
      <c r="D31" s="119" t="s">
        <v>5591</v>
      </c>
      <c r="E31" s="119" t="s">
        <v>2820</v>
      </c>
      <c r="F31" s="119" t="s">
        <v>2906</v>
      </c>
      <c r="G31" s="120">
        <v>301</v>
      </c>
      <c r="H31" s="121">
        <v>0.64</v>
      </c>
      <c r="I31" s="118">
        <v>253000</v>
      </c>
      <c r="J31" s="118">
        <v>143000</v>
      </c>
      <c r="K31" s="122">
        <v>110000</v>
      </c>
      <c r="L31" s="123">
        <v>0.76923076923076905</v>
      </c>
    </row>
    <row r="32" spans="1:12" ht="15" customHeight="1" x14ac:dyDescent="0.3">
      <c r="A32" s="124">
        <v>24</v>
      </c>
      <c r="B32" s="125" t="s">
        <v>5574</v>
      </c>
      <c r="C32" s="125" t="s">
        <v>5592</v>
      </c>
      <c r="D32" s="125" t="s">
        <v>5589</v>
      </c>
      <c r="E32" s="125" t="s">
        <v>4860</v>
      </c>
      <c r="F32" s="125" t="s">
        <v>5593</v>
      </c>
      <c r="G32" s="126">
        <v>2703.12</v>
      </c>
      <c r="H32" s="127">
        <v>5.24</v>
      </c>
      <c r="I32" s="124">
        <v>329000</v>
      </c>
      <c r="J32" s="124">
        <v>253000</v>
      </c>
      <c r="K32" s="128">
        <v>76000</v>
      </c>
      <c r="L32" s="129">
        <v>0.30039525691699598</v>
      </c>
    </row>
    <row r="33" spans="1:12" ht="15" customHeight="1" x14ac:dyDescent="0.3">
      <c r="A33" s="118">
        <v>25</v>
      </c>
      <c r="B33" s="119" t="s">
        <v>5574</v>
      </c>
      <c r="C33" s="119" t="s">
        <v>5594</v>
      </c>
      <c r="D33" s="119" t="s">
        <v>5595</v>
      </c>
      <c r="E33" s="119" t="s">
        <v>2820</v>
      </c>
      <c r="F33" s="119" t="s">
        <v>2906</v>
      </c>
      <c r="G33" s="120">
        <v>172.8</v>
      </c>
      <c r="H33" s="121">
        <v>0.53</v>
      </c>
      <c r="I33" s="118">
        <v>253000</v>
      </c>
      <c r="J33" s="118">
        <v>143000</v>
      </c>
      <c r="K33" s="122">
        <v>110000</v>
      </c>
      <c r="L33" s="123">
        <v>0.76923076923076905</v>
      </c>
    </row>
    <row r="34" spans="1:12" ht="15" customHeight="1" x14ac:dyDescent="0.3">
      <c r="A34" s="124">
        <v>26</v>
      </c>
      <c r="B34" s="125" t="s">
        <v>5574</v>
      </c>
      <c r="C34" s="125" t="s">
        <v>5596</v>
      </c>
      <c r="D34" s="125" t="s">
        <v>5597</v>
      </c>
      <c r="E34" s="125" t="s">
        <v>5598</v>
      </c>
      <c r="F34" s="125" t="s">
        <v>4058</v>
      </c>
      <c r="G34" s="126">
        <v>230</v>
      </c>
      <c r="H34" s="127">
        <v>0.26</v>
      </c>
      <c r="I34" s="124">
        <v>225000</v>
      </c>
      <c r="J34" s="124">
        <v>143000</v>
      </c>
      <c r="K34" s="128">
        <v>82000</v>
      </c>
      <c r="L34" s="129">
        <v>0.57342657342657299</v>
      </c>
    </row>
    <row r="35" spans="1:12" ht="15" customHeight="1" x14ac:dyDescent="0.3">
      <c r="A35" s="118">
        <v>27</v>
      </c>
      <c r="B35" s="119" t="s">
        <v>5574</v>
      </c>
      <c r="C35" s="119" t="s">
        <v>5599</v>
      </c>
      <c r="D35" s="119" t="s">
        <v>5600</v>
      </c>
      <c r="E35" s="119" t="s">
        <v>5601</v>
      </c>
      <c r="F35" s="119" t="s">
        <v>4879</v>
      </c>
      <c r="G35" s="120">
        <v>2200</v>
      </c>
      <c r="H35" s="121">
        <v>3.5</v>
      </c>
      <c r="I35" s="118">
        <v>331800</v>
      </c>
      <c r="J35" s="118">
        <v>227800</v>
      </c>
      <c r="K35" s="122">
        <v>104000</v>
      </c>
      <c r="L35" s="123">
        <v>0.45654082528533801</v>
      </c>
    </row>
    <row r="36" spans="1:12" ht="15" customHeight="1" x14ac:dyDescent="0.3">
      <c r="A36" s="124">
        <v>28</v>
      </c>
      <c r="B36" s="125" t="s">
        <v>5602</v>
      </c>
      <c r="C36" s="125" t="s">
        <v>5603</v>
      </c>
      <c r="D36" s="125" t="s">
        <v>5604</v>
      </c>
      <c r="E36" s="125" t="s">
        <v>35</v>
      </c>
      <c r="F36" s="125" t="s">
        <v>1044</v>
      </c>
      <c r="G36" s="126">
        <v>12060</v>
      </c>
      <c r="H36" s="127">
        <v>6.8179999999999996</v>
      </c>
      <c r="I36" s="124">
        <v>439800</v>
      </c>
      <c r="J36" s="124">
        <v>336800</v>
      </c>
      <c r="K36" s="128">
        <v>103000</v>
      </c>
      <c r="L36" s="129">
        <v>0.30581947743467902</v>
      </c>
    </row>
    <row r="37" spans="1:12" ht="15" customHeight="1" x14ac:dyDescent="0.3">
      <c r="A37" s="118">
        <v>29</v>
      </c>
      <c r="B37" s="119" t="s">
        <v>5602</v>
      </c>
      <c r="C37" s="119" t="s">
        <v>5605</v>
      </c>
      <c r="D37" s="119" t="s">
        <v>2365</v>
      </c>
      <c r="E37" s="119" t="s">
        <v>35</v>
      </c>
      <c r="F37" s="119" t="s">
        <v>2698</v>
      </c>
      <c r="G37" s="120">
        <v>247</v>
      </c>
      <c r="H37" s="121">
        <v>0.5</v>
      </c>
      <c r="I37" s="118">
        <v>252800</v>
      </c>
      <c r="J37" s="118">
        <v>170800</v>
      </c>
      <c r="K37" s="122">
        <v>82000</v>
      </c>
      <c r="L37" s="123">
        <v>0.48009367681498799</v>
      </c>
    </row>
    <row r="38" spans="1:12" ht="15" customHeight="1" x14ac:dyDescent="0.3">
      <c r="A38" s="124">
        <v>30</v>
      </c>
      <c r="B38" s="125" t="s">
        <v>5602</v>
      </c>
      <c r="C38" s="125" t="s">
        <v>5606</v>
      </c>
      <c r="D38" s="125" t="s">
        <v>5607</v>
      </c>
      <c r="E38" s="125" t="s">
        <v>5608</v>
      </c>
      <c r="F38" s="125" t="s">
        <v>316</v>
      </c>
      <c r="G38" s="126">
        <v>447.5</v>
      </c>
      <c r="H38" s="127">
        <v>5.0199999999999996</v>
      </c>
      <c r="I38" s="124">
        <v>381000</v>
      </c>
      <c r="J38" s="124">
        <v>278000</v>
      </c>
      <c r="K38" s="128">
        <v>103000</v>
      </c>
      <c r="L38" s="129">
        <v>0.37050359712230202</v>
      </c>
    </row>
    <row r="39" spans="1:12" ht="15" customHeight="1" x14ac:dyDescent="0.3">
      <c r="A39" s="118">
        <v>31</v>
      </c>
      <c r="B39" s="119" t="s">
        <v>5602</v>
      </c>
      <c r="C39" s="119" t="s">
        <v>5609</v>
      </c>
      <c r="D39" s="119" t="s">
        <v>5610</v>
      </c>
      <c r="E39" s="119" t="s">
        <v>5611</v>
      </c>
      <c r="F39" s="119" t="s">
        <v>4915</v>
      </c>
      <c r="G39" s="120">
        <v>1031</v>
      </c>
      <c r="H39" s="121">
        <v>9.0909999999999993</v>
      </c>
      <c r="I39" s="118">
        <v>410800</v>
      </c>
      <c r="J39" s="118">
        <v>383800</v>
      </c>
      <c r="K39" s="122">
        <v>27000</v>
      </c>
      <c r="L39" s="123">
        <v>7.0349140177175598E-2</v>
      </c>
    </row>
    <row r="40" spans="1:12" ht="15" customHeight="1" x14ac:dyDescent="0.3">
      <c r="A40" s="124">
        <v>32</v>
      </c>
      <c r="B40" s="125" t="s">
        <v>5602</v>
      </c>
      <c r="C40" s="125" t="s">
        <v>5612</v>
      </c>
      <c r="D40" s="125" t="s">
        <v>5613</v>
      </c>
      <c r="E40" s="125" t="s">
        <v>35</v>
      </c>
      <c r="F40" s="125" t="s">
        <v>287</v>
      </c>
      <c r="G40" s="126">
        <v>1181</v>
      </c>
      <c r="H40" s="127">
        <v>3.4470000000000001</v>
      </c>
      <c r="I40" s="124">
        <v>311800</v>
      </c>
      <c r="J40" s="124">
        <v>224800</v>
      </c>
      <c r="K40" s="128">
        <v>87000</v>
      </c>
      <c r="L40" s="129">
        <v>0.38701067615658402</v>
      </c>
    </row>
    <row r="41" spans="1:12" ht="15" customHeight="1" x14ac:dyDescent="0.3">
      <c r="A41" s="118">
        <v>33</v>
      </c>
      <c r="B41" s="119" t="s">
        <v>5602</v>
      </c>
      <c r="C41" s="119" t="s">
        <v>5614</v>
      </c>
      <c r="D41" s="119" t="s">
        <v>4166</v>
      </c>
      <c r="E41" s="119" t="s">
        <v>5598</v>
      </c>
      <c r="F41" s="119" t="s">
        <v>1829</v>
      </c>
      <c r="G41" s="120">
        <v>1912.24</v>
      </c>
      <c r="H41" s="121">
        <v>9.6159999999999997</v>
      </c>
      <c r="I41" s="118">
        <v>410800</v>
      </c>
      <c r="J41" s="118">
        <v>0</v>
      </c>
      <c r="K41" s="118">
        <v>0</v>
      </c>
      <c r="L41" s="130">
        <v>0</v>
      </c>
    </row>
    <row r="42" spans="1:12" ht="15" customHeight="1" x14ac:dyDescent="0.3">
      <c r="A42" s="124">
        <v>34</v>
      </c>
      <c r="B42" s="125" t="s">
        <v>5036</v>
      </c>
      <c r="C42" s="125" t="s">
        <v>5615</v>
      </c>
      <c r="D42" s="125" t="s">
        <v>4574</v>
      </c>
      <c r="E42" s="125" t="s">
        <v>107</v>
      </c>
      <c r="F42" s="125" t="s">
        <v>411</v>
      </c>
      <c r="G42" s="126">
        <v>2423</v>
      </c>
      <c r="H42" s="127">
        <v>1.2529999999999999</v>
      </c>
      <c r="I42" s="124">
        <v>311800</v>
      </c>
      <c r="J42" s="124">
        <v>170800</v>
      </c>
      <c r="K42" s="128">
        <v>141000</v>
      </c>
      <c r="L42" s="129">
        <v>0.82552693208430905</v>
      </c>
    </row>
    <row r="43" spans="1:12" ht="15" customHeight="1" x14ac:dyDescent="0.3">
      <c r="A43" s="118">
        <v>35</v>
      </c>
      <c r="B43" s="119" t="s">
        <v>5036</v>
      </c>
      <c r="C43" s="119" t="s">
        <v>5616</v>
      </c>
      <c r="D43" s="119" t="s">
        <v>4574</v>
      </c>
      <c r="E43" s="119" t="s">
        <v>5067</v>
      </c>
      <c r="F43" s="119" t="s">
        <v>4269</v>
      </c>
      <c r="G43" s="120">
        <v>5185</v>
      </c>
      <c r="H43" s="121">
        <v>0.83199999999999996</v>
      </c>
      <c r="I43" s="118">
        <v>331800</v>
      </c>
      <c r="J43" s="118">
        <v>170800</v>
      </c>
      <c r="K43" s="122">
        <v>161000</v>
      </c>
      <c r="L43" s="123">
        <v>0.94262295081967196</v>
      </c>
    </row>
    <row r="44" spans="1:12" ht="15" customHeight="1" x14ac:dyDescent="0.3">
      <c r="A44" s="124">
        <v>36</v>
      </c>
      <c r="B44" s="125" t="s">
        <v>5036</v>
      </c>
      <c r="C44" s="125" t="s">
        <v>5617</v>
      </c>
      <c r="D44" s="125" t="s">
        <v>3701</v>
      </c>
      <c r="E44" s="125" t="s">
        <v>107</v>
      </c>
      <c r="F44" s="125" t="s">
        <v>373</v>
      </c>
      <c r="G44" s="126">
        <v>1970</v>
      </c>
      <c r="H44" s="127">
        <v>5.2359999999999998</v>
      </c>
      <c r="I44" s="124">
        <v>331800</v>
      </c>
      <c r="J44" s="124">
        <v>280800</v>
      </c>
      <c r="K44" s="128">
        <v>51000</v>
      </c>
      <c r="L44" s="129">
        <v>0.18162393162393201</v>
      </c>
    </row>
    <row r="45" spans="1:12" ht="15" customHeight="1" x14ac:dyDescent="0.3">
      <c r="A45" s="118">
        <v>37</v>
      </c>
      <c r="B45" s="119" t="s">
        <v>5036</v>
      </c>
      <c r="C45" s="119" t="s">
        <v>5618</v>
      </c>
      <c r="D45" s="119" t="s">
        <v>5619</v>
      </c>
      <c r="E45" s="119" t="s">
        <v>5620</v>
      </c>
      <c r="F45" s="119" t="s">
        <v>5621</v>
      </c>
      <c r="G45" s="120">
        <v>965</v>
      </c>
      <c r="H45" s="121">
        <v>1.62</v>
      </c>
      <c r="I45" s="118">
        <v>252800</v>
      </c>
      <c r="J45" s="118">
        <v>196800</v>
      </c>
      <c r="K45" s="122">
        <v>56000</v>
      </c>
      <c r="L45" s="123">
        <v>0.284552845528455</v>
      </c>
    </row>
    <row r="46" spans="1:12" ht="15" customHeight="1" x14ac:dyDescent="0.3">
      <c r="A46" s="124">
        <v>38</v>
      </c>
      <c r="B46" s="125" t="s">
        <v>5036</v>
      </c>
      <c r="C46" s="125" t="s">
        <v>5622</v>
      </c>
      <c r="D46" s="125" t="s">
        <v>5425</v>
      </c>
      <c r="E46" s="125" t="s">
        <v>5623</v>
      </c>
      <c r="F46" s="125" t="s">
        <v>5624</v>
      </c>
      <c r="G46" s="126">
        <v>97</v>
      </c>
      <c r="H46" s="127">
        <v>0.56699999999999995</v>
      </c>
      <c r="I46" s="124">
        <v>196800</v>
      </c>
      <c r="J46" s="124">
        <v>170800</v>
      </c>
      <c r="K46" s="128">
        <v>26000</v>
      </c>
      <c r="L46" s="129">
        <v>0.15222482435597201</v>
      </c>
    </row>
    <row r="47" spans="1:12" ht="15" customHeight="1" x14ac:dyDescent="0.3">
      <c r="A47" s="118">
        <v>39</v>
      </c>
      <c r="B47" s="119" t="s">
        <v>5036</v>
      </c>
      <c r="C47" s="119" t="s">
        <v>5625</v>
      </c>
      <c r="D47" s="119" t="s">
        <v>5626</v>
      </c>
      <c r="E47" s="119" t="s">
        <v>5627</v>
      </c>
      <c r="F47" s="119" t="s">
        <v>3831</v>
      </c>
      <c r="G47" s="120">
        <v>152</v>
      </c>
      <c r="H47" s="121">
        <v>0.45</v>
      </c>
      <c r="I47" s="118">
        <v>196800</v>
      </c>
      <c r="J47" s="118">
        <v>170800</v>
      </c>
      <c r="K47" s="122">
        <v>26000</v>
      </c>
      <c r="L47" s="123">
        <v>0.15222482435597201</v>
      </c>
    </row>
    <row r="48" spans="1:12" ht="15" customHeight="1" x14ac:dyDescent="0.3">
      <c r="A48" s="124">
        <v>40</v>
      </c>
      <c r="B48" s="125" t="s">
        <v>5036</v>
      </c>
      <c r="C48" s="125" t="s">
        <v>5628</v>
      </c>
      <c r="D48" s="125" t="s">
        <v>5629</v>
      </c>
      <c r="E48" s="125" t="s">
        <v>5630</v>
      </c>
      <c r="F48" s="125" t="s">
        <v>5631</v>
      </c>
      <c r="G48" s="126">
        <v>2082.8139999999999</v>
      </c>
      <c r="H48" s="127">
        <v>4.4790000000000001</v>
      </c>
      <c r="I48" s="124">
        <v>311800</v>
      </c>
      <c r="J48" s="124">
        <v>244800</v>
      </c>
      <c r="K48" s="128">
        <v>59000</v>
      </c>
      <c r="L48" s="129">
        <v>0.24101307189542501</v>
      </c>
    </row>
    <row r="49" spans="1:12" ht="15" customHeight="1" x14ac:dyDescent="0.3">
      <c r="A49" s="118">
        <v>41</v>
      </c>
      <c r="B49" s="119" t="s">
        <v>5036</v>
      </c>
      <c r="C49" s="119" t="s">
        <v>5632</v>
      </c>
      <c r="D49" s="119" t="s">
        <v>5633</v>
      </c>
      <c r="E49" s="119" t="s">
        <v>5630</v>
      </c>
      <c r="F49" s="119" t="s">
        <v>1627</v>
      </c>
      <c r="G49" s="120">
        <v>718.19</v>
      </c>
      <c r="H49" s="121">
        <v>1.53</v>
      </c>
      <c r="I49" s="118">
        <v>283800</v>
      </c>
      <c r="J49" s="118">
        <v>196800</v>
      </c>
      <c r="K49" s="122">
        <v>87000</v>
      </c>
      <c r="L49" s="123">
        <v>0.44207317073170699</v>
      </c>
    </row>
    <row r="50" spans="1:12" ht="15" customHeight="1" x14ac:dyDescent="0.3">
      <c r="A50" s="124">
        <v>42</v>
      </c>
      <c r="B50" s="125" t="s">
        <v>5036</v>
      </c>
      <c r="C50" s="125" t="s">
        <v>5634</v>
      </c>
      <c r="D50" s="125" t="s">
        <v>5635</v>
      </c>
      <c r="E50" s="125" t="s">
        <v>5636</v>
      </c>
      <c r="F50" s="125" t="s">
        <v>316</v>
      </c>
      <c r="G50" s="126">
        <v>1389</v>
      </c>
      <c r="H50" s="127">
        <v>3.0720000000000001</v>
      </c>
      <c r="I50" s="124">
        <v>308800</v>
      </c>
      <c r="J50" s="124">
        <v>196800</v>
      </c>
      <c r="K50" s="128">
        <v>112000</v>
      </c>
      <c r="L50" s="129">
        <v>0.569105691056911</v>
      </c>
    </row>
    <row r="51" spans="1:12" ht="15" customHeight="1" x14ac:dyDescent="0.3">
      <c r="A51" s="118">
        <v>43</v>
      </c>
      <c r="B51" s="119" t="s">
        <v>5036</v>
      </c>
      <c r="C51" s="119" t="s">
        <v>5637</v>
      </c>
      <c r="D51" s="119" t="s">
        <v>5638</v>
      </c>
      <c r="E51" s="119" t="s">
        <v>5639</v>
      </c>
      <c r="F51" s="119" t="s">
        <v>284</v>
      </c>
      <c r="G51" s="120">
        <v>626.5</v>
      </c>
      <c r="H51" s="121">
        <v>5.0039999999999996</v>
      </c>
      <c r="I51" s="118">
        <v>358800</v>
      </c>
      <c r="J51" s="118">
        <v>280800</v>
      </c>
      <c r="K51" s="122">
        <v>78000</v>
      </c>
      <c r="L51" s="123">
        <v>0.27777777777777801</v>
      </c>
    </row>
    <row r="52" spans="1:12" ht="15" customHeight="1" x14ac:dyDescent="0.3">
      <c r="A52" s="124">
        <v>44</v>
      </c>
      <c r="B52" s="125" t="s">
        <v>313</v>
      </c>
      <c r="C52" s="125" t="s">
        <v>5640</v>
      </c>
      <c r="D52" s="125" t="s">
        <v>5641</v>
      </c>
      <c r="E52" s="125" t="s">
        <v>35</v>
      </c>
      <c r="F52" s="125" t="s">
        <v>4335</v>
      </c>
      <c r="G52" s="126">
        <v>1015</v>
      </c>
      <c r="H52" s="127">
        <v>2.44</v>
      </c>
      <c r="I52" s="124">
        <v>331800</v>
      </c>
      <c r="J52" s="124">
        <v>171800</v>
      </c>
      <c r="K52" s="136">
        <f>I52-J52</f>
        <v>160000</v>
      </c>
      <c r="L52" s="131">
        <v>0</v>
      </c>
    </row>
    <row r="53" spans="1:12" ht="15" customHeight="1" x14ac:dyDescent="0.3">
      <c r="A53" s="118">
        <v>45</v>
      </c>
      <c r="B53" s="119" t="s">
        <v>313</v>
      </c>
      <c r="C53" s="119" t="s">
        <v>5642</v>
      </c>
      <c r="D53" s="119" t="s">
        <v>5643</v>
      </c>
      <c r="E53" s="119" t="s">
        <v>35</v>
      </c>
      <c r="F53" s="119" t="s">
        <v>4335</v>
      </c>
      <c r="G53" s="120">
        <v>195.5</v>
      </c>
      <c r="H53" s="121">
        <v>1.1519999999999999</v>
      </c>
      <c r="I53" s="118">
        <v>143000</v>
      </c>
      <c r="J53" s="118">
        <v>143000</v>
      </c>
      <c r="K53" s="137">
        <f>I53-J53</f>
        <v>0</v>
      </c>
      <c r="L53" s="130">
        <v>0</v>
      </c>
    </row>
    <row r="54" spans="1:12" ht="15" customHeight="1" x14ac:dyDescent="0.3">
      <c r="A54" s="124">
        <v>46</v>
      </c>
      <c r="B54" s="125" t="s">
        <v>313</v>
      </c>
      <c r="C54" s="125" t="s">
        <v>5644</v>
      </c>
      <c r="D54" s="125" t="s">
        <v>5645</v>
      </c>
      <c r="E54" s="125" t="s">
        <v>35</v>
      </c>
      <c r="F54" s="125" t="s">
        <v>4335</v>
      </c>
      <c r="G54" s="126">
        <v>199</v>
      </c>
      <c r="H54" s="127">
        <v>0.69799999999999995</v>
      </c>
      <c r="I54" s="124">
        <v>145800</v>
      </c>
      <c r="J54" s="124">
        <v>145800</v>
      </c>
      <c r="K54" s="136">
        <f>I54-J54</f>
        <v>0</v>
      </c>
      <c r="L54" s="131">
        <v>0</v>
      </c>
    </row>
    <row r="55" spans="1:12" ht="15" customHeight="1" x14ac:dyDescent="0.3">
      <c r="A55" s="118">
        <v>47</v>
      </c>
      <c r="B55" s="119" t="s">
        <v>313</v>
      </c>
      <c r="C55" s="119" t="s">
        <v>5646</v>
      </c>
      <c r="D55" s="119" t="s">
        <v>5215</v>
      </c>
      <c r="E55" s="119" t="s">
        <v>5647</v>
      </c>
      <c r="F55" s="119" t="s">
        <v>3831</v>
      </c>
      <c r="G55" s="120">
        <v>410</v>
      </c>
      <c r="H55" s="121">
        <v>0.34599999999999997</v>
      </c>
      <c r="I55" s="118">
        <v>225000</v>
      </c>
      <c r="J55" s="118">
        <v>145800</v>
      </c>
      <c r="K55" s="137">
        <f>I55-J55</f>
        <v>79200</v>
      </c>
      <c r="L55" s="130">
        <v>0</v>
      </c>
    </row>
    <row r="56" spans="1:12" ht="15" customHeight="1" x14ac:dyDescent="0.3">
      <c r="A56" s="124">
        <v>48</v>
      </c>
      <c r="B56" s="125" t="s">
        <v>313</v>
      </c>
      <c r="C56" s="125" t="s">
        <v>5648</v>
      </c>
      <c r="D56" s="125" t="s">
        <v>5425</v>
      </c>
      <c r="E56" s="125" t="s">
        <v>381</v>
      </c>
      <c r="F56" s="125" t="s">
        <v>5649</v>
      </c>
      <c r="G56" s="126">
        <v>5659</v>
      </c>
      <c r="H56" s="127">
        <v>4.74</v>
      </c>
      <c r="I56" s="124">
        <v>283800</v>
      </c>
      <c r="J56" s="124">
        <v>283800</v>
      </c>
      <c r="K56" s="133">
        <v>0</v>
      </c>
      <c r="L56" s="131">
        <v>0</v>
      </c>
    </row>
    <row r="57" spans="1:12" ht="15" customHeight="1" x14ac:dyDescent="0.3">
      <c r="A57" s="118">
        <v>49</v>
      </c>
      <c r="B57" s="119" t="s">
        <v>313</v>
      </c>
      <c r="C57" s="119" t="s">
        <v>5650</v>
      </c>
      <c r="D57" s="119" t="s">
        <v>5270</v>
      </c>
      <c r="E57" s="119" t="s">
        <v>2697</v>
      </c>
      <c r="F57" s="119" t="s">
        <v>5651</v>
      </c>
      <c r="G57" s="120">
        <v>1302</v>
      </c>
      <c r="H57" s="121">
        <v>1.6</v>
      </c>
      <c r="I57" s="118">
        <v>309000</v>
      </c>
      <c r="J57" s="118"/>
      <c r="K57" s="134"/>
      <c r="L57" s="130">
        <v>0</v>
      </c>
    </row>
    <row r="58" spans="1:12" ht="15" customHeight="1" x14ac:dyDescent="0.3">
      <c r="A58" s="124">
        <v>50</v>
      </c>
      <c r="B58" s="125" t="s">
        <v>313</v>
      </c>
      <c r="C58" s="125" t="s">
        <v>5652</v>
      </c>
      <c r="D58" s="125" t="s">
        <v>5653</v>
      </c>
      <c r="E58" s="125" t="s">
        <v>3837</v>
      </c>
      <c r="F58" s="125" t="s">
        <v>3831</v>
      </c>
      <c r="G58" s="126">
        <v>557</v>
      </c>
      <c r="H58" s="127">
        <v>0.998</v>
      </c>
      <c r="I58" s="124">
        <v>171800</v>
      </c>
      <c r="J58" s="124"/>
      <c r="K58" s="133"/>
      <c r="L58" s="131">
        <v>0</v>
      </c>
    </row>
    <row r="59" spans="1:12" ht="15" customHeight="1" x14ac:dyDescent="0.3">
      <c r="A59" s="118">
        <v>51</v>
      </c>
      <c r="B59" s="119" t="s">
        <v>313</v>
      </c>
      <c r="C59" s="119" t="s">
        <v>5654</v>
      </c>
      <c r="D59" s="119" t="s">
        <v>5655</v>
      </c>
      <c r="E59" s="119" t="s">
        <v>5656</v>
      </c>
      <c r="F59" s="119" t="s">
        <v>5657</v>
      </c>
      <c r="G59" s="120">
        <v>1891.8</v>
      </c>
      <c r="H59" s="121">
        <v>10.08</v>
      </c>
      <c r="I59" s="118">
        <v>385800</v>
      </c>
      <c r="J59" s="118"/>
      <c r="K59" s="134"/>
      <c r="L59" s="130">
        <v>0</v>
      </c>
    </row>
    <row r="60" spans="1:12" ht="15" customHeight="1" x14ac:dyDescent="0.3">
      <c r="A60" s="124">
        <v>52</v>
      </c>
      <c r="B60" s="125" t="s">
        <v>313</v>
      </c>
      <c r="C60" s="125" t="s">
        <v>5658</v>
      </c>
      <c r="D60" s="125" t="s">
        <v>5653</v>
      </c>
      <c r="E60" s="125" t="s">
        <v>35</v>
      </c>
      <c r="F60" s="125" t="s">
        <v>4335</v>
      </c>
      <c r="G60" s="126">
        <v>229</v>
      </c>
      <c r="H60" s="127">
        <v>1.746</v>
      </c>
      <c r="I60" s="124">
        <v>171800</v>
      </c>
      <c r="J60" s="124"/>
      <c r="K60" s="133"/>
      <c r="L60" s="131">
        <v>0</v>
      </c>
    </row>
    <row r="61" spans="1:12" ht="15" customHeight="1" x14ac:dyDescent="0.3">
      <c r="A61" s="118">
        <v>53</v>
      </c>
      <c r="B61" s="119" t="s">
        <v>313</v>
      </c>
      <c r="C61" s="119" t="s">
        <v>5659</v>
      </c>
      <c r="D61" s="119" t="s">
        <v>5660</v>
      </c>
      <c r="E61" s="119" t="s">
        <v>1387</v>
      </c>
      <c r="F61" s="119" t="s">
        <v>4758</v>
      </c>
      <c r="G61" s="120">
        <v>1360</v>
      </c>
      <c r="H61" s="121">
        <v>1.8240000000000001</v>
      </c>
      <c r="I61" s="118">
        <v>169000</v>
      </c>
      <c r="J61" s="118"/>
      <c r="K61" s="134"/>
      <c r="L61" s="130">
        <v>0</v>
      </c>
    </row>
    <row r="62" spans="1:12" ht="15" customHeight="1" x14ac:dyDescent="0.3">
      <c r="A62" s="124">
        <v>54</v>
      </c>
      <c r="B62" s="125" t="s">
        <v>313</v>
      </c>
      <c r="C62" s="125" t="s">
        <v>5661</v>
      </c>
      <c r="D62" s="125" t="s">
        <v>4088</v>
      </c>
      <c r="E62" s="125" t="s">
        <v>4089</v>
      </c>
      <c r="F62" s="125" t="s">
        <v>5651</v>
      </c>
      <c r="G62" s="126">
        <v>164</v>
      </c>
      <c r="H62" s="127">
        <v>0.54</v>
      </c>
      <c r="I62" s="124">
        <v>143000</v>
      </c>
      <c r="J62" s="124"/>
      <c r="K62" s="133"/>
      <c r="L62" s="131">
        <v>0</v>
      </c>
    </row>
    <row r="63" spans="1:12" ht="15" customHeight="1" x14ac:dyDescent="0.3">
      <c r="A63" s="118">
        <v>55</v>
      </c>
      <c r="B63" s="119" t="s">
        <v>5662</v>
      </c>
      <c r="C63" s="119" t="s">
        <v>5663</v>
      </c>
      <c r="D63" s="119" t="s">
        <v>5664</v>
      </c>
      <c r="E63" s="119" t="s">
        <v>1276</v>
      </c>
      <c r="F63" s="119" t="s">
        <v>4335</v>
      </c>
      <c r="G63" s="120">
        <v>3612</v>
      </c>
      <c r="H63" s="121">
        <v>12.916</v>
      </c>
      <c r="I63" s="118">
        <v>385800</v>
      </c>
      <c r="J63" s="118"/>
      <c r="K63" s="134"/>
      <c r="L63" s="130">
        <v>0</v>
      </c>
    </row>
    <row r="64" spans="1:12" ht="15" customHeight="1" x14ac:dyDescent="0.3">
      <c r="A64" s="124">
        <v>56</v>
      </c>
      <c r="B64" s="125" t="s">
        <v>5662</v>
      </c>
      <c r="C64" s="125" t="s">
        <v>5665</v>
      </c>
      <c r="D64" s="125" t="s">
        <v>2850</v>
      </c>
      <c r="E64" s="125" t="s">
        <v>2851</v>
      </c>
      <c r="F64" s="125" t="s">
        <v>4335</v>
      </c>
      <c r="G64" s="126">
        <v>731</v>
      </c>
      <c r="H64" s="127">
        <v>5.641</v>
      </c>
      <c r="I64" s="124">
        <v>281000</v>
      </c>
      <c r="J64" s="124"/>
      <c r="K64" s="133"/>
      <c r="L64" s="131">
        <v>0</v>
      </c>
    </row>
    <row r="65" spans="1:12" ht="15" customHeight="1" x14ac:dyDescent="0.3">
      <c r="A65" s="118">
        <v>57</v>
      </c>
      <c r="B65" s="119" t="s">
        <v>5662</v>
      </c>
      <c r="C65" s="119" t="s">
        <v>5666</v>
      </c>
      <c r="D65" s="119" t="s">
        <v>5645</v>
      </c>
      <c r="E65" s="119" t="s">
        <v>5042</v>
      </c>
      <c r="F65" s="119" t="s">
        <v>3831</v>
      </c>
      <c r="G65" s="120">
        <v>125</v>
      </c>
      <c r="H65" s="121">
        <v>0.26400000000000001</v>
      </c>
      <c r="I65" s="118">
        <v>145800</v>
      </c>
      <c r="J65" s="118"/>
      <c r="K65" s="134"/>
      <c r="L65" s="130">
        <v>0</v>
      </c>
    </row>
    <row r="66" spans="1:12" ht="15" customHeight="1" x14ac:dyDescent="0.3">
      <c r="A66" s="124">
        <v>58</v>
      </c>
      <c r="B66" s="125" t="s">
        <v>5662</v>
      </c>
      <c r="C66" s="125" t="s">
        <v>5667</v>
      </c>
      <c r="D66" s="125" t="s">
        <v>5668</v>
      </c>
      <c r="E66" s="125" t="s">
        <v>5669</v>
      </c>
      <c r="F66" s="125" t="s">
        <v>3831</v>
      </c>
      <c r="G66" s="126">
        <v>623.9</v>
      </c>
      <c r="H66" s="127">
        <v>1.3440000000000001</v>
      </c>
      <c r="I66" s="124">
        <v>143000</v>
      </c>
      <c r="J66" s="124"/>
      <c r="K66" s="133"/>
      <c r="L66" s="131">
        <v>0</v>
      </c>
    </row>
    <row r="67" spans="1:12" ht="15" customHeight="1" x14ac:dyDescent="0.3">
      <c r="A67" s="118">
        <v>59</v>
      </c>
      <c r="B67" s="119" t="s">
        <v>5662</v>
      </c>
      <c r="C67" s="119" t="s">
        <v>5670</v>
      </c>
      <c r="D67" s="119" t="s">
        <v>5671</v>
      </c>
      <c r="E67" s="119" t="s">
        <v>5345</v>
      </c>
      <c r="F67" s="119" t="s">
        <v>3831</v>
      </c>
      <c r="G67" s="120">
        <v>365</v>
      </c>
      <c r="H67" s="121">
        <v>5.44</v>
      </c>
      <c r="I67" s="118">
        <v>253000</v>
      </c>
      <c r="J67" s="118"/>
      <c r="K67" s="134"/>
      <c r="L67" s="130">
        <v>0</v>
      </c>
    </row>
    <row r="68" spans="1:12" ht="15" customHeight="1" x14ac:dyDescent="0.3">
      <c r="A68" s="124">
        <v>60</v>
      </c>
      <c r="B68" s="125" t="s">
        <v>5662</v>
      </c>
      <c r="C68" s="125" t="s">
        <v>5672</v>
      </c>
      <c r="D68" s="125" t="s">
        <v>5673</v>
      </c>
      <c r="E68" s="125" t="s">
        <v>35</v>
      </c>
      <c r="F68" s="125" t="s">
        <v>3831</v>
      </c>
      <c r="G68" s="126">
        <v>1135</v>
      </c>
      <c r="H68" s="127">
        <v>0.76800000000000002</v>
      </c>
      <c r="I68" s="124">
        <v>331800</v>
      </c>
      <c r="J68" s="124"/>
      <c r="K68" s="133"/>
      <c r="L68" s="131">
        <v>0</v>
      </c>
    </row>
    <row r="69" spans="1:12" ht="15" customHeight="1" x14ac:dyDescent="0.3">
      <c r="A69" s="118">
        <v>61</v>
      </c>
      <c r="B69" s="119" t="s">
        <v>5662</v>
      </c>
      <c r="C69" s="119" t="s">
        <v>5674</v>
      </c>
      <c r="D69" s="119" t="s">
        <v>5675</v>
      </c>
      <c r="E69" s="119" t="s">
        <v>5676</v>
      </c>
      <c r="F69" s="119" t="s">
        <v>961</v>
      </c>
      <c r="G69" s="120">
        <v>4222.2610000000004</v>
      </c>
      <c r="H69" s="121">
        <v>2.8780000000000001</v>
      </c>
      <c r="I69" s="118">
        <v>227800</v>
      </c>
      <c r="J69" s="118"/>
      <c r="K69" s="134"/>
      <c r="L69" s="130">
        <v>0</v>
      </c>
    </row>
    <row r="70" spans="1:12" ht="15" customHeight="1" x14ac:dyDescent="0.3">
      <c r="A70" s="124">
        <v>62</v>
      </c>
      <c r="B70" s="125" t="s">
        <v>5662</v>
      </c>
      <c r="C70" s="125" t="s">
        <v>5677</v>
      </c>
      <c r="D70" s="125" t="s">
        <v>5678</v>
      </c>
      <c r="E70" s="125" t="s">
        <v>35</v>
      </c>
      <c r="F70" s="125" t="s">
        <v>3831</v>
      </c>
      <c r="G70" s="126">
        <v>468</v>
      </c>
      <c r="H70" s="127">
        <v>1.4419999999999999</v>
      </c>
      <c r="I70" s="124">
        <v>283800</v>
      </c>
      <c r="J70" s="124"/>
      <c r="K70" s="133"/>
      <c r="L70" s="131">
        <v>0</v>
      </c>
    </row>
    <row r="71" spans="1:12" ht="15" customHeight="1" x14ac:dyDescent="0.3">
      <c r="A71" s="118">
        <v>63</v>
      </c>
      <c r="B71" s="119" t="s">
        <v>5662</v>
      </c>
      <c r="C71" s="119" t="s">
        <v>5679</v>
      </c>
      <c r="D71" s="119" t="s">
        <v>1913</v>
      </c>
      <c r="E71" s="119" t="s">
        <v>35</v>
      </c>
      <c r="F71" s="119" t="s">
        <v>3831</v>
      </c>
      <c r="G71" s="120">
        <v>7</v>
      </c>
      <c r="H71" s="121">
        <v>9.6000000000000002E-2</v>
      </c>
      <c r="I71" s="118">
        <v>171800</v>
      </c>
      <c r="J71" s="118"/>
      <c r="K71" s="134"/>
      <c r="L71" s="130">
        <v>0</v>
      </c>
    </row>
    <row r="72" spans="1:12" ht="15" customHeight="1" x14ac:dyDescent="0.3">
      <c r="A72" s="124">
        <v>64</v>
      </c>
      <c r="B72" s="125" t="s">
        <v>5662</v>
      </c>
      <c r="C72" s="125" t="s">
        <v>5680</v>
      </c>
      <c r="D72" s="125" t="s">
        <v>1913</v>
      </c>
      <c r="E72" s="125" t="s">
        <v>35</v>
      </c>
      <c r="F72" s="125" t="s">
        <v>3831</v>
      </c>
      <c r="G72" s="126">
        <v>29</v>
      </c>
      <c r="H72" s="127">
        <v>0.114</v>
      </c>
      <c r="I72" s="124">
        <v>233800</v>
      </c>
      <c r="J72" s="124"/>
      <c r="K72" s="133"/>
      <c r="L72" s="131">
        <v>0</v>
      </c>
    </row>
    <row r="73" spans="1:12" ht="15" customHeight="1" x14ac:dyDescent="0.3">
      <c r="A73" s="118">
        <v>65</v>
      </c>
      <c r="B73" s="119" t="s">
        <v>5662</v>
      </c>
      <c r="C73" s="119" t="s">
        <v>5681</v>
      </c>
      <c r="D73" s="119" t="s">
        <v>4593</v>
      </c>
      <c r="E73" s="119" t="s">
        <v>5636</v>
      </c>
      <c r="F73" s="119" t="s">
        <v>4879</v>
      </c>
      <c r="G73" s="120">
        <v>679.3</v>
      </c>
      <c r="H73" s="121">
        <v>3.24</v>
      </c>
      <c r="I73" s="118">
        <v>199800</v>
      </c>
      <c r="J73" s="118"/>
      <c r="K73" s="134"/>
      <c r="L73" s="130">
        <v>0</v>
      </c>
    </row>
    <row r="74" spans="1:12" ht="15" customHeight="1" x14ac:dyDescent="0.3">
      <c r="A74" s="124">
        <v>66</v>
      </c>
      <c r="B74" s="125" t="s">
        <v>5662</v>
      </c>
      <c r="C74" s="125" t="s">
        <v>5682</v>
      </c>
      <c r="D74" s="125" t="s">
        <v>5683</v>
      </c>
      <c r="E74" s="125" t="s">
        <v>5042</v>
      </c>
      <c r="F74" s="125" t="s">
        <v>4879</v>
      </c>
      <c r="G74" s="126">
        <v>471.2</v>
      </c>
      <c r="H74" s="127">
        <v>4.08</v>
      </c>
      <c r="I74" s="124">
        <v>227800</v>
      </c>
      <c r="J74" s="124"/>
      <c r="K74" s="133"/>
      <c r="L74" s="131">
        <v>0</v>
      </c>
    </row>
    <row r="75" spans="1:12" ht="15" customHeight="1" x14ac:dyDescent="0.3">
      <c r="A75" s="118">
        <v>67</v>
      </c>
      <c r="B75" s="119" t="s">
        <v>5662</v>
      </c>
      <c r="C75" s="119" t="s">
        <v>5684</v>
      </c>
      <c r="D75" s="119" t="s">
        <v>5683</v>
      </c>
      <c r="E75" s="119" t="s">
        <v>5067</v>
      </c>
      <c r="F75" s="119" t="s">
        <v>4879</v>
      </c>
      <c r="G75" s="120">
        <v>569.4</v>
      </c>
      <c r="H75" s="121">
        <v>4.3159999999999998</v>
      </c>
      <c r="I75" s="118">
        <v>227800</v>
      </c>
      <c r="J75" s="118"/>
      <c r="K75" s="134"/>
      <c r="L75" s="130">
        <v>0</v>
      </c>
    </row>
    <row r="76" spans="1:12" ht="15" customHeight="1" x14ac:dyDescent="0.3">
      <c r="A76" s="124">
        <v>68</v>
      </c>
      <c r="B76" s="125" t="s">
        <v>5662</v>
      </c>
      <c r="C76" s="125" t="s">
        <v>5685</v>
      </c>
      <c r="D76" s="125" t="s">
        <v>5686</v>
      </c>
      <c r="E76" s="125" t="s">
        <v>5423</v>
      </c>
      <c r="F76" s="125" t="s">
        <v>3831</v>
      </c>
      <c r="G76" s="126">
        <v>61</v>
      </c>
      <c r="H76" s="127">
        <v>7.0000000000000007E-2</v>
      </c>
      <c r="I76" s="124">
        <v>171800</v>
      </c>
      <c r="J76" s="124"/>
      <c r="K76" s="133"/>
      <c r="L76" s="131">
        <v>0</v>
      </c>
    </row>
    <row r="77" spans="1:12" ht="15" customHeight="1" x14ac:dyDescent="0.3">
      <c r="A77" s="118">
        <v>69</v>
      </c>
      <c r="B77" s="119" t="s">
        <v>5687</v>
      </c>
      <c r="C77" s="119" t="s">
        <v>5688</v>
      </c>
      <c r="D77" s="119" t="s">
        <v>5215</v>
      </c>
      <c r="E77" s="119" t="s">
        <v>5647</v>
      </c>
      <c r="F77" s="119" t="s">
        <v>689</v>
      </c>
      <c r="G77" s="120">
        <v>4179.8</v>
      </c>
      <c r="H77" s="121">
        <v>8.2799999999999994</v>
      </c>
      <c r="I77" s="118">
        <v>329000</v>
      </c>
      <c r="J77" s="118"/>
      <c r="K77" s="134"/>
      <c r="L77" s="130">
        <v>0</v>
      </c>
    </row>
    <row r="78" spans="1:12" ht="15" customHeight="1" x14ac:dyDescent="0.3">
      <c r="A78" s="124">
        <v>70</v>
      </c>
      <c r="B78" s="125" t="s">
        <v>5687</v>
      </c>
      <c r="C78" s="125" t="s">
        <v>5689</v>
      </c>
      <c r="D78" s="125" t="s">
        <v>3579</v>
      </c>
      <c r="E78" s="125" t="s">
        <v>3040</v>
      </c>
      <c r="F78" s="125" t="s">
        <v>3831</v>
      </c>
      <c r="G78" s="126">
        <v>639.1</v>
      </c>
      <c r="H78" s="127">
        <v>1.3</v>
      </c>
      <c r="I78" s="124">
        <v>143000</v>
      </c>
      <c r="J78" s="124"/>
      <c r="K78" s="133"/>
      <c r="L78" s="131">
        <v>0</v>
      </c>
    </row>
    <row r="79" spans="1:12" ht="15" customHeight="1" x14ac:dyDescent="0.3">
      <c r="A79" s="118">
        <v>71</v>
      </c>
      <c r="B79" s="119" t="s">
        <v>5687</v>
      </c>
      <c r="C79" s="119" t="s">
        <v>5690</v>
      </c>
      <c r="D79" s="119" t="s">
        <v>3579</v>
      </c>
      <c r="E79" s="119" t="s">
        <v>5669</v>
      </c>
      <c r="F79" s="119" t="s">
        <v>3831</v>
      </c>
      <c r="G79" s="120">
        <v>655.72799999999995</v>
      </c>
      <c r="H79" s="121">
        <v>1.32</v>
      </c>
      <c r="I79" s="118">
        <v>143000</v>
      </c>
      <c r="J79" s="118"/>
      <c r="K79" s="134"/>
      <c r="L79" s="130">
        <v>0</v>
      </c>
    </row>
    <row r="80" spans="1:12" ht="15" customHeight="1" x14ac:dyDescent="0.3">
      <c r="A80" s="124">
        <v>72</v>
      </c>
      <c r="B80" s="125" t="s">
        <v>5687</v>
      </c>
      <c r="C80" s="125" t="s">
        <v>5691</v>
      </c>
      <c r="D80" s="125" t="s">
        <v>5692</v>
      </c>
      <c r="E80" s="125" t="s">
        <v>5693</v>
      </c>
      <c r="F80" s="125" t="s">
        <v>4897</v>
      </c>
      <c r="G80" s="126">
        <v>836</v>
      </c>
      <c r="H80" s="127">
        <v>2.92</v>
      </c>
      <c r="I80" s="124">
        <v>199800</v>
      </c>
      <c r="J80" s="124"/>
      <c r="K80" s="133"/>
      <c r="L80" s="131">
        <v>0</v>
      </c>
    </row>
    <row r="81" spans="1:12" ht="15" customHeight="1" x14ac:dyDescent="0.3">
      <c r="A81" s="118">
        <v>73</v>
      </c>
      <c r="B81" s="119" t="s">
        <v>5687</v>
      </c>
      <c r="C81" s="119" t="s">
        <v>5694</v>
      </c>
      <c r="D81" s="119" t="s">
        <v>5432</v>
      </c>
      <c r="E81" s="119" t="s">
        <v>3040</v>
      </c>
      <c r="F81" s="119" t="s">
        <v>4343</v>
      </c>
      <c r="G81" s="120">
        <v>2508.9</v>
      </c>
      <c r="H81" s="121">
        <v>4.93</v>
      </c>
      <c r="I81" s="118">
        <v>253000</v>
      </c>
      <c r="J81" s="118"/>
      <c r="K81" s="134"/>
      <c r="L81" s="130">
        <v>0</v>
      </c>
    </row>
    <row r="82" spans="1:12" ht="15" customHeight="1" x14ac:dyDescent="0.3">
      <c r="A82" s="124">
        <v>74</v>
      </c>
      <c r="B82" s="125" t="s">
        <v>5687</v>
      </c>
      <c r="C82" s="125" t="s">
        <v>5695</v>
      </c>
      <c r="D82" s="125" t="s">
        <v>5696</v>
      </c>
      <c r="E82" s="125" t="s">
        <v>3040</v>
      </c>
      <c r="F82" s="125" t="s">
        <v>4343</v>
      </c>
      <c r="G82" s="126">
        <v>1973.04</v>
      </c>
      <c r="H82" s="127">
        <v>5.1029999999999998</v>
      </c>
      <c r="I82" s="124">
        <v>253000</v>
      </c>
      <c r="J82" s="124"/>
      <c r="K82" s="133"/>
      <c r="L82" s="131">
        <v>0</v>
      </c>
    </row>
    <row r="83" spans="1:12" ht="15" customHeight="1" x14ac:dyDescent="0.3">
      <c r="A83" s="118">
        <v>75</v>
      </c>
      <c r="B83" s="119" t="s">
        <v>5687</v>
      </c>
      <c r="C83" s="119" t="s">
        <v>5697</v>
      </c>
      <c r="D83" s="119" t="s">
        <v>4355</v>
      </c>
      <c r="E83" s="119" t="s">
        <v>3040</v>
      </c>
      <c r="F83" s="119" t="s">
        <v>4879</v>
      </c>
      <c r="G83" s="120">
        <v>1127.06</v>
      </c>
      <c r="H83" s="121">
        <v>2.3969999999999998</v>
      </c>
      <c r="I83" s="118">
        <v>197000</v>
      </c>
      <c r="J83" s="118"/>
      <c r="K83" s="134"/>
      <c r="L83" s="130">
        <v>0</v>
      </c>
    </row>
    <row r="84" spans="1:12" ht="15" customHeight="1" x14ac:dyDescent="0.3">
      <c r="A84" s="124">
        <v>76</v>
      </c>
      <c r="B84" s="125" t="s">
        <v>5687</v>
      </c>
      <c r="C84" s="125" t="s">
        <v>5698</v>
      </c>
      <c r="D84" s="125" t="s">
        <v>5372</v>
      </c>
      <c r="E84" s="125" t="s">
        <v>45</v>
      </c>
      <c r="F84" s="125" t="s">
        <v>4758</v>
      </c>
      <c r="G84" s="126">
        <v>1400</v>
      </c>
      <c r="H84" s="127">
        <v>5.407</v>
      </c>
      <c r="I84" s="124">
        <v>356000</v>
      </c>
      <c r="J84" s="124"/>
      <c r="K84" s="133"/>
      <c r="L84" s="131">
        <v>0</v>
      </c>
    </row>
    <row r="85" spans="1:12" ht="15" customHeight="1" x14ac:dyDescent="0.3">
      <c r="A85" s="118">
        <v>77</v>
      </c>
      <c r="B85" s="119" t="s">
        <v>313</v>
      </c>
      <c r="C85" s="119" t="s">
        <v>5211</v>
      </c>
      <c r="D85" s="119" t="s">
        <v>5212</v>
      </c>
      <c r="E85" s="119" t="s">
        <v>5213</v>
      </c>
      <c r="F85" s="119" t="s">
        <v>3858</v>
      </c>
      <c r="G85" s="120">
        <v>1037</v>
      </c>
      <c r="H85" s="121">
        <v>7.5789999999999997</v>
      </c>
      <c r="I85" s="118">
        <v>331800</v>
      </c>
      <c r="J85" s="118"/>
      <c r="K85" s="134"/>
      <c r="L85" s="130">
        <v>0</v>
      </c>
    </row>
    <row r="86" spans="1:12" ht="15" customHeight="1" x14ac:dyDescent="0.3">
      <c r="A86" s="124">
        <v>78</v>
      </c>
      <c r="B86" s="125" t="s">
        <v>313</v>
      </c>
      <c r="C86" s="125" t="s">
        <v>5214</v>
      </c>
      <c r="D86" s="125" t="s">
        <v>5215</v>
      </c>
      <c r="E86" s="125" t="s">
        <v>5067</v>
      </c>
      <c r="F86" s="125" t="s">
        <v>4879</v>
      </c>
      <c r="G86" s="126">
        <v>660</v>
      </c>
      <c r="H86" s="127">
        <v>1.056</v>
      </c>
      <c r="I86" s="124">
        <v>145800</v>
      </c>
      <c r="J86" s="124"/>
      <c r="K86" s="133"/>
      <c r="L86" s="131">
        <v>0</v>
      </c>
    </row>
    <row r="87" spans="1:12" ht="15" customHeight="1" x14ac:dyDescent="0.3">
      <c r="A87" s="118">
        <v>79</v>
      </c>
      <c r="B87" s="119" t="s">
        <v>313</v>
      </c>
      <c r="C87" s="119" t="s">
        <v>5216</v>
      </c>
      <c r="D87" s="119" t="s">
        <v>5215</v>
      </c>
      <c r="E87" s="119" t="s">
        <v>5217</v>
      </c>
      <c r="F87" s="119" t="s">
        <v>5218</v>
      </c>
      <c r="G87" s="120">
        <v>245</v>
      </c>
      <c r="H87" s="121">
        <v>0.34599999999999997</v>
      </c>
      <c r="I87" s="118">
        <v>143000</v>
      </c>
      <c r="J87" s="118"/>
      <c r="K87" s="134"/>
      <c r="L87" s="130">
        <v>0</v>
      </c>
    </row>
    <row r="88" spans="1:12" ht="15" customHeight="1" x14ac:dyDescent="0.3">
      <c r="A88" s="124">
        <v>80</v>
      </c>
      <c r="B88" s="125" t="s">
        <v>313</v>
      </c>
      <c r="C88" s="125" t="s">
        <v>5219</v>
      </c>
      <c r="D88" s="125" t="s">
        <v>5220</v>
      </c>
      <c r="E88" s="125" t="s">
        <v>5221</v>
      </c>
      <c r="F88" s="125" t="s">
        <v>4758</v>
      </c>
      <c r="G88" s="126">
        <v>754</v>
      </c>
      <c r="H88" s="127">
        <v>7.5</v>
      </c>
      <c r="I88" s="124">
        <v>331800</v>
      </c>
      <c r="J88" s="124"/>
      <c r="K88" s="133"/>
      <c r="L88" s="131">
        <v>0</v>
      </c>
    </row>
    <row r="89" spans="1:12" ht="15" customHeight="1" x14ac:dyDescent="0.3">
      <c r="A89" s="118">
        <v>81</v>
      </c>
      <c r="B89" s="119" t="s">
        <v>313</v>
      </c>
      <c r="C89" s="119" t="s">
        <v>5222</v>
      </c>
      <c r="D89" s="119" t="s">
        <v>5223</v>
      </c>
      <c r="E89" s="119" t="s">
        <v>35</v>
      </c>
      <c r="F89" s="119" t="s">
        <v>4986</v>
      </c>
      <c r="G89" s="120">
        <v>519</v>
      </c>
      <c r="H89" s="121">
        <v>2.1869999999999998</v>
      </c>
      <c r="I89" s="118">
        <v>311800</v>
      </c>
      <c r="J89" s="118"/>
      <c r="K89" s="134"/>
      <c r="L89" s="130">
        <v>0</v>
      </c>
    </row>
    <row r="90" spans="1:12" ht="15" customHeight="1" x14ac:dyDescent="0.3">
      <c r="A90" s="124">
        <v>82</v>
      </c>
      <c r="B90" s="125" t="s">
        <v>313</v>
      </c>
      <c r="C90" s="125" t="s">
        <v>5224</v>
      </c>
      <c r="D90" s="125" t="s">
        <v>5225</v>
      </c>
      <c r="E90" s="125" t="s">
        <v>1774</v>
      </c>
      <c r="F90" s="125" t="s">
        <v>4758</v>
      </c>
      <c r="G90" s="126">
        <v>1422</v>
      </c>
      <c r="H90" s="127">
        <v>3.9359999999999999</v>
      </c>
      <c r="I90" s="124">
        <v>227800</v>
      </c>
      <c r="J90" s="124"/>
      <c r="K90" s="133"/>
      <c r="L90" s="131">
        <v>0</v>
      </c>
    </row>
    <row r="91" spans="1:12" ht="15" customHeight="1" x14ac:dyDescent="0.3">
      <c r="A91" s="118">
        <v>83</v>
      </c>
      <c r="B91" s="119" t="s">
        <v>313</v>
      </c>
      <c r="C91" s="119" t="s">
        <v>5226</v>
      </c>
      <c r="D91" s="119" t="s">
        <v>5227</v>
      </c>
      <c r="E91" s="119" t="s">
        <v>5228</v>
      </c>
      <c r="F91" s="119" t="s">
        <v>5218</v>
      </c>
      <c r="G91" s="120">
        <v>58.85</v>
      </c>
      <c r="H91" s="121">
        <v>0.49399999999999999</v>
      </c>
      <c r="I91" s="118">
        <v>145800</v>
      </c>
      <c r="J91" s="118"/>
      <c r="K91" s="134"/>
      <c r="L91" s="130">
        <v>0</v>
      </c>
    </row>
    <row r="92" spans="1:12" ht="15" customHeight="1" x14ac:dyDescent="0.3">
      <c r="A92" s="124">
        <v>84</v>
      </c>
      <c r="B92" s="125" t="s">
        <v>313</v>
      </c>
      <c r="C92" s="125" t="s">
        <v>5229</v>
      </c>
      <c r="D92" s="125" t="s">
        <v>5230</v>
      </c>
      <c r="E92" s="125" t="s">
        <v>4658</v>
      </c>
      <c r="F92" s="125" t="s">
        <v>435</v>
      </c>
      <c r="G92" s="126">
        <v>4148.25</v>
      </c>
      <c r="H92" s="127">
        <v>4.1379999999999999</v>
      </c>
      <c r="I92" s="124">
        <v>227800</v>
      </c>
      <c r="J92" s="124"/>
      <c r="K92" s="133"/>
      <c r="L92" s="131">
        <v>0</v>
      </c>
    </row>
    <row r="93" spans="1:12" ht="15" customHeight="1" x14ac:dyDescent="0.3">
      <c r="A93" s="118">
        <v>85</v>
      </c>
      <c r="B93" s="119" t="s">
        <v>1059</v>
      </c>
      <c r="C93" s="119" t="s">
        <v>5231</v>
      </c>
      <c r="D93" s="119" t="s">
        <v>5014</v>
      </c>
      <c r="E93" s="119" t="s">
        <v>5232</v>
      </c>
      <c r="F93" s="119" t="s">
        <v>4879</v>
      </c>
      <c r="G93" s="120">
        <v>1050</v>
      </c>
      <c r="H93" s="121">
        <v>2.1120000000000001</v>
      </c>
      <c r="I93" s="118">
        <v>227800</v>
      </c>
      <c r="J93" s="118"/>
      <c r="K93" s="134"/>
      <c r="L93" s="130">
        <v>0</v>
      </c>
    </row>
    <row r="94" spans="1:12" ht="15" customHeight="1" x14ac:dyDescent="0.3">
      <c r="A94" s="124">
        <v>86</v>
      </c>
      <c r="B94" s="125" t="s">
        <v>1059</v>
      </c>
      <c r="C94" s="125" t="s">
        <v>5233</v>
      </c>
      <c r="D94" s="125" t="s">
        <v>5206</v>
      </c>
      <c r="E94" s="125" t="s">
        <v>5234</v>
      </c>
      <c r="F94" s="125" t="s">
        <v>276</v>
      </c>
      <c r="G94" s="126">
        <v>425</v>
      </c>
      <c r="H94" s="127">
        <v>0.93700000000000006</v>
      </c>
      <c r="I94" s="124">
        <v>227800</v>
      </c>
      <c r="J94" s="124"/>
      <c r="K94" s="133"/>
      <c r="L94" s="131">
        <v>0</v>
      </c>
    </row>
    <row r="95" spans="1:12" ht="15" customHeight="1" x14ac:dyDescent="0.3">
      <c r="A95" s="118">
        <v>87</v>
      </c>
      <c r="B95" s="119" t="s">
        <v>1059</v>
      </c>
      <c r="C95" s="119" t="s">
        <v>5235</v>
      </c>
      <c r="D95" s="119" t="s">
        <v>5215</v>
      </c>
      <c r="E95" s="119" t="s">
        <v>4216</v>
      </c>
      <c r="F95" s="119" t="s">
        <v>276</v>
      </c>
      <c r="G95" s="120">
        <v>9.6</v>
      </c>
      <c r="H95" s="121">
        <v>0.34399999999999997</v>
      </c>
      <c r="I95" s="118">
        <v>385800</v>
      </c>
      <c r="J95" s="118"/>
      <c r="K95" s="134"/>
      <c r="L95" s="130">
        <v>0</v>
      </c>
    </row>
    <row r="96" spans="1:12" ht="15" customHeight="1" x14ac:dyDescent="0.3">
      <c r="A96" s="124">
        <v>88</v>
      </c>
      <c r="B96" s="125" t="s">
        <v>1059</v>
      </c>
      <c r="C96" s="125" t="s">
        <v>5236</v>
      </c>
      <c r="D96" s="125" t="s">
        <v>5237</v>
      </c>
      <c r="E96" s="125" t="s">
        <v>5238</v>
      </c>
      <c r="F96" s="125" t="s">
        <v>287</v>
      </c>
      <c r="G96" s="126">
        <v>430</v>
      </c>
      <c r="H96" s="127">
        <v>4.851</v>
      </c>
      <c r="I96" s="124">
        <v>311.8</v>
      </c>
      <c r="J96" s="124"/>
      <c r="K96" s="133"/>
      <c r="L96" s="131">
        <v>0</v>
      </c>
    </row>
    <row r="97" spans="1:12" ht="15" customHeight="1" x14ac:dyDescent="0.3">
      <c r="A97" s="118">
        <v>89</v>
      </c>
      <c r="B97" s="119" t="s">
        <v>1059</v>
      </c>
      <c r="C97" s="119" t="s">
        <v>5239</v>
      </c>
      <c r="D97" s="119" t="s">
        <v>5240</v>
      </c>
      <c r="E97" s="119" t="s">
        <v>5241</v>
      </c>
      <c r="F97" s="119" t="s">
        <v>5242</v>
      </c>
      <c r="G97" s="120">
        <v>630</v>
      </c>
      <c r="H97" s="121">
        <v>4.234</v>
      </c>
      <c r="I97" s="118">
        <v>281000</v>
      </c>
      <c r="J97" s="118"/>
      <c r="K97" s="134"/>
      <c r="L97" s="130">
        <v>0</v>
      </c>
    </row>
    <row r="98" spans="1:12" ht="15" customHeight="1" x14ac:dyDescent="0.3">
      <c r="A98" s="124">
        <v>90</v>
      </c>
      <c r="B98" s="125" t="s">
        <v>1059</v>
      </c>
      <c r="C98" s="125" t="s">
        <v>5243</v>
      </c>
      <c r="D98" s="125" t="s">
        <v>58</v>
      </c>
      <c r="E98" s="125" t="s">
        <v>39</v>
      </c>
      <c r="F98" s="125" t="s">
        <v>4879</v>
      </c>
      <c r="G98" s="126">
        <v>256</v>
      </c>
      <c r="H98" s="127">
        <v>1.2</v>
      </c>
      <c r="I98" s="124">
        <v>2838700</v>
      </c>
      <c r="J98" s="124"/>
      <c r="K98" s="133"/>
      <c r="L98" s="131">
        <v>0</v>
      </c>
    </row>
    <row r="99" spans="1:12" ht="15" customHeight="1" x14ac:dyDescent="0.3">
      <c r="A99" s="118">
        <v>91</v>
      </c>
      <c r="B99" s="119" t="s">
        <v>1059</v>
      </c>
      <c r="C99" s="119" t="s">
        <v>5244</v>
      </c>
      <c r="D99" s="119" t="s">
        <v>5245</v>
      </c>
      <c r="E99" s="119" t="s">
        <v>5246</v>
      </c>
      <c r="F99" s="119" t="s">
        <v>5247</v>
      </c>
      <c r="G99" s="120">
        <v>2000.999</v>
      </c>
      <c r="H99" s="121">
        <v>4.4160000000000004</v>
      </c>
      <c r="I99" s="118">
        <v>311800</v>
      </c>
      <c r="J99" s="118"/>
      <c r="K99" s="134"/>
      <c r="L99" s="130">
        <v>0</v>
      </c>
    </row>
    <row r="100" spans="1:12" ht="15" customHeight="1" x14ac:dyDescent="0.3">
      <c r="A100" s="124">
        <v>92</v>
      </c>
      <c r="B100" s="125" t="s">
        <v>5248</v>
      </c>
      <c r="C100" s="125" t="s">
        <v>5249</v>
      </c>
      <c r="D100" s="125" t="s">
        <v>4003</v>
      </c>
      <c r="E100" s="125" t="s">
        <v>4261</v>
      </c>
      <c r="F100" s="125" t="s">
        <v>4343</v>
      </c>
      <c r="G100" s="126">
        <v>6355.2</v>
      </c>
      <c r="H100" s="127">
        <v>10.32</v>
      </c>
      <c r="I100" s="124">
        <v>385800</v>
      </c>
      <c r="J100" s="124"/>
      <c r="K100" s="133"/>
      <c r="L100" s="131">
        <v>0</v>
      </c>
    </row>
    <row r="101" spans="1:12" ht="15" customHeight="1" x14ac:dyDescent="0.3">
      <c r="A101" s="118">
        <v>93</v>
      </c>
      <c r="B101" s="119" t="s">
        <v>5248</v>
      </c>
      <c r="C101" s="119" t="s">
        <v>5250</v>
      </c>
      <c r="D101" s="119" t="s">
        <v>5251</v>
      </c>
      <c r="E101" s="119" t="s">
        <v>5252</v>
      </c>
      <c r="F101" s="119" t="s">
        <v>4754</v>
      </c>
      <c r="G101" s="120">
        <v>156</v>
      </c>
      <c r="H101" s="121">
        <v>1.44</v>
      </c>
      <c r="I101" s="118">
        <v>145800</v>
      </c>
      <c r="J101" s="118"/>
      <c r="K101" s="134"/>
      <c r="L101" s="130">
        <v>0</v>
      </c>
    </row>
    <row r="102" spans="1:12" ht="15" customHeight="1" x14ac:dyDescent="0.3">
      <c r="A102" s="124">
        <v>94</v>
      </c>
      <c r="B102" s="125" t="s">
        <v>5248</v>
      </c>
      <c r="C102" s="125" t="s">
        <v>5253</v>
      </c>
      <c r="D102" s="125" t="s">
        <v>3973</v>
      </c>
      <c r="E102" s="125" t="s">
        <v>35</v>
      </c>
      <c r="F102" s="125" t="s">
        <v>276</v>
      </c>
      <c r="G102" s="126">
        <v>227</v>
      </c>
      <c r="H102" s="127">
        <v>0.74</v>
      </c>
      <c r="I102" s="124">
        <v>311800</v>
      </c>
      <c r="J102" s="124"/>
      <c r="K102" s="133"/>
      <c r="L102" s="131">
        <v>0</v>
      </c>
    </row>
    <row r="103" spans="1:12" ht="15" customHeight="1" x14ac:dyDescent="0.3">
      <c r="A103" s="118">
        <v>95</v>
      </c>
      <c r="B103" s="119" t="s">
        <v>5248</v>
      </c>
      <c r="C103" s="119" t="s">
        <v>5254</v>
      </c>
      <c r="D103" s="119" t="s">
        <v>5255</v>
      </c>
      <c r="E103" s="119" t="s">
        <v>5256</v>
      </c>
      <c r="F103" s="119" t="s">
        <v>287</v>
      </c>
      <c r="G103" s="120">
        <v>1000</v>
      </c>
      <c r="H103" s="121">
        <v>5.1429999999999998</v>
      </c>
      <c r="I103" s="118">
        <v>255800</v>
      </c>
      <c r="J103" s="118"/>
      <c r="K103" s="134"/>
      <c r="L103" s="130">
        <v>0</v>
      </c>
    </row>
    <row r="104" spans="1:12" ht="15" customHeight="1" x14ac:dyDescent="0.3">
      <c r="A104" s="124">
        <v>96</v>
      </c>
      <c r="B104" s="125" t="s">
        <v>5248</v>
      </c>
      <c r="C104" s="125" t="s">
        <v>5257</v>
      </c>
      <c r="D104" s="125" t="s">
        <v>5258</v>
      </c>
      <c r="E104" s="125" t="s">
        <v>5149</v>
      </c>
      <c r="F104" s="125" t="s">
        <v>4879</v>
      </c>
      <c r="G104" s="126">
        <v>361.8</v>
      </c>
      <c r="H104" s="127">
        <v>2</v>
      </c>
      <c r="I104" s="124">
        <v>171800</v>
      </c>
      <c r="J104" s="124"/>
      <c r="K104" s="133"/>
      <c r="L104" s="131">
        <v>0</v>
      </c>
    </row>
    <row r="105" spans="1:12" ht="15" customHeight="1" x14ac:dyDescent="0.3">
      <c r="A105" s="118">
        <v>97</v>
      </c>
      <c r="B105" s="119" t="s">
        <v>4482</v>
      </c>
      <c r="C105" s="119" t="s">
        <v>5259</v>
      </c>
      <c r="D105" s="119" t="s">
        <v>5260</v>
      </c>
      <c r="E105" s="119" t="s">
        <v>5261</v>
      </c>
      <c r="F105" s="119" t="s">
        <v>3831</v>
      </c>
      <c r="G105" s="120">
        <v>400</v>
      </c>
      <c r="H105" s="121">
        <v>2.7719999999999998</v>
      </c>
      <c r="I105" s="118">
        <v>253000</v>
      </c>
      <c r="J105" s="118"/>
      <c r="K105" s="134"/>
      <c r="L105" s="130">
        <v>0</v>
      </c>
    </row>
    <row r="106" spans="1:12" ht="15" customHeight="1" x14ac:dyDescent="0.3">
      <c r="A106" s="124">
        <v>98</v>
      </c>
      <c r="B106" s="125" t="s">
        <v>4482</v>
      </c>
      <c r="C106" s="125" t="s">
        <v>5262</v>
      </c>
      <c r="D106" s="125" t="s">
        <v>5263</v>
      </c>
      <c r="E106" s="125" t="s">
        <v>45</v>
      </c>
      <c r="F106" s="125" t="s">
        <v>3831</v>
      </c>
      <c r="G106" s="126">
        <v>566</v>
      </c>
      <c r="H106" s="127">
        <v>4.2649999999999997</v>
      </c>
      <c r="I106" s="124">
        <v>225000</v>
      </c>
      <c r="J106" s="124"/>
      <c r="K106" s="133"/>
      <c r="L106" s="131">
        <v>0</v>
      </c>
    </row>
    <row r="107" spans="1:12" ht="15" customHeight="1" x14ac:dyDescent="0.3">
      <c r="A107" s="118">
        <v>99</v>
      </c>
      <c r="B107" s="119" t="s">
        <v>4482</v>
      </c>
      <c r="C107" s="119" t="s">
        <v>5264</v>
      </c>
      <c r="D107" s="119" t="s">
        <v>5265</v>
      </c>
      <c r="E107" s="119" t="s">
        <v>5266</v>
      </c>
      <c r="F107" s="119" t="s">
        <v>4879</v>
      </c>
      <c r="G107" s="120">
        <v>1106</v>
      </c>
      <c r="H107" s="121">
        <v>2.5169999999999999</v>
      </c>
      <c r="I107" s="118">
        <v>199800</v>
      </c>
      <c r="J107" s="118"/>
      <c r="K107" s="134"/>
      <c r="L107" s="130">
        <v>0</v>
      </c>
    </row>
    <row r="108" spans="1:12" ht="15" customHeight="1" x14ac:dyDescent="0.3">
      <c r="A108" s="124">
        <v>100</v>
      </c>
      <c r="B108" s="125" t="s">
        <v>4482</v>
      </c>
      <c r="C108" s="125" t="s">
        <v>5267</v>
      </c>
      <c r="D108" s="125" t="s">
        <v>5215</v>
      </c>
      <c r="E108" s="125" t="s">
        <v>63</v>
      </c>
      <c r="F108" s="125" t="s">
        <v>5033</v>
      </c>
      <c r="G108" s="126">
        <v>5143.8</v>
      </c>
      <c r="H108" s="127">
        <v>9.0719999999999992</v>
      </c>
      <c r="I108" s="124">
        <v>356000</v>
      </c>
      <c r="J108" s="124"/>
      <c r="K108" s="133"/>
      <c r="L108" s="131">
        <v>0</v>
      </c>
    </row>
    <row r="109" spans="1:12" ht="15" customHeight="1" x14ac:dyDescent="0.3">
      <c r="A109" s="118">
        <v>101</v>
      </c>
      <c r="B109" s="119" t="s">
        <v>4482</v>
      </c>
      <c r="C109" s="119" t="s">
        <v>5268</v>
      </c>
      <c r="D109" s="119" t="s">
        <v>3618</v>
      </c>
      <c r="E109" s="119" t="s">
        <v>35</v>
      </c>
      <c r="F109" s="119" t="s">
        <v>4758</v>
      </c>
      <c r="G109" s="120">
        <v>4254</v>
      </c>
      <c r="H109" s="121">
        <v>2.02</v>
      </c>
      <c r="I109" s="118">
        <v>385800</v>
      </c>
      <c r="J109" s="118"/>
      <c r="K109" s="134"/>
      <c r="L109" s="130">
        <v>0</v>
      </c>
    </row>
    <row r="110" spans="1:12" ht="15" customHeight="1" x14ac:dyDescent="0.3">
      <c r="A110" s="124">
        <v>102</v>
      </c>
      <c r="B110" s="125" t="s">
        <v>4482</v>
      </c>
      <c r="C110" s="125" t="s">
        <v>5269</v>
      </c>
      <c r="D110" s="125" t="s">
        <v>5270</v>
      </c>
      <c r="E110" s="125" t="s">
        <v>2697</v>
      </c>
      <c r="F110" s="125" t="s">
        <v>5271</v>
      </c>
      <c r="G110" s="126">
        <v>1850</v>
      </c>
      <c r="H110" s="127">
        <v>5.57</v>
      </c>
      <c r="I110" s="124">
        <v>281000</v>
      </c>
      <c r="J110" s="124"/>
      <c r="K110" s="133"/>
      <c r="L110" s="131">
        <v>0</v>
      </c>
    </row>
    <row r="111" spans="1:12" ht="15" customHeight="1" x14ac:dyDescent="0.3">
      <c r="A111" s="118">
        <v>103</v>
      </c>
      <c r="B111" s="119" t="s">
        <v>4482</v>
      </c>
      <c r="C111" s="119" t="s">
        <v>5272</v>
      </c>
      <c r="D111" s="119" t="s">
        <v>5273</v>
      </c>
      <c r="E111" s="119" t="s">
        <v>5274</v>
      </c>
      <c r="F111" s="119" t="s">
        <v>5275</v>
      </c>
      <c r="G111" s="120">
        <v>940</v>
      </c>
      <c r="H111" s="121">
        <v>2</v>
      </c>
      <c r="I111" s="118">
        <v>253000</v>
      </c>
      <c r="J111" s="118"/>
      <c r="K111" s="134"/>
      <c r="L111" s="130">
        <v>0</v>
      </c>
    </row>
    <row r="112" spans="1:12" ht="15" customHeight="1" x14ac:dyDescent="0.3">
      <c r="A112" s="124">
        <v>104</v>
      </c>
      <c r="B112" s="125" t="s">
        <v>4482</v>
      </c>
      <c r="C112" s="125" t="s">
        <v>5276</v>
      </c>
      <c r="D112" s="125" t="s">
        <v>5277</v>
      </c>
      <c r="E112" s="125" t="s">
        <v>5278</v>
      </c>
      <c r="F112" s="125" t="s">
        <v>3831</v>
      </c>
      <c r="G112" s="126">
        <v>835</v>
      </c>
      <c r="H112" s="127">
        <v>2.0590000000000002</v>
      </c>
      <c r="I112" s="124">
        <v>171800</v>
      </c>
      <c r="J112" s="124"/>
      <c r="K112" s="133"/>
      <c r="L112" s="131">
        <v>0</v>
      </c>
    </row>
    <row r="113" spans="1:12" ht="15" customHeight="1" x14ac:dyDescent="0.3">
      <c r="A113" s="118">
        <v>105</v>
      </c>
      <c r="B113" s="119" t="s">
        <v>4482</v>
      </c>
      <c r="C113" s="119" t="s">
        <v>5279</v>
      </c>
      <c r="D113" s="119" t="s">
        <v>5280</v>
      </c>
      <c r="E113" s="119" t="s">
        <v>5281</v>
      </c>
      <c r="F113" s="119" t="s">
        <v>312</v>
      </c>
      <c r="G113" s="120">
        <v>2500</v>
      </c>
      <c r="H113" s="121">
        <v>5.7809999999999997</v>
      </c>
      <c r="I113" s="118">
        <v>281000</v>
      </c>
      <c r="J113" s="118"/>
      <c r="K113" s="134"/>
      <c r="L113" s="130">
        <v>0</v>
      </c>
    </row>
    <row r="114" spans="1:12" ht="15" customHeight="1" x14ac:dyDescent="0.3">
      <c r="A114" s="124">
        <v>106</v>
      </c>
      <c r="B114" s="125" t="s">
        <v>4482</v>
      </c>
      <c r="C114" s="125" t="s">
        <v>5282</v>
      </c>
      <c r="D114" s="125" t="s">
        <v>4618</v>
      </c>
      <c r="E114" s="125" t="s">
        <v>63</v>
      </c>
      <c r="F114" s="125" t="s">
        <v>4758</v>
      </c>
      <c r="G114" s="126">
        <v>1715.5</v>
      </c>
      <c r="H114" s="127">
        <v>3.4289999999999998</v>
      </c>
      <c r="I114" s="124">
        <v>197000</v>
      </c>
      <c r="J114" s="124"/>
      <c r="K114" s="133"/>
      <c r="L114" s="131">
        <v>0</v>
      </c>
    </row>
    <row r="115" spans="1:12" ht="15" customHeight="1" x14ac:dyDescent="0.3">
      <c r="A115" s="118">
        <v>107</v>
      </c>
      <c r="B115" s="119" t="s">
        <v>4482</v>
      </c>
      <c r="C115" s="119" t="s">
        <v>5283</v>
      </c>
      <c r="D115" s="119" t="s">
        <v>4571</v>
      </c>
      <c r="E115" s="119" t="s">
        <v>35</v>
      </c>
      <c r="F115" s="119" t="s">
        <v>312</v>
      </c>
      <c r="G115" s="120">
        <v>288</v>
      </c>
      <c r="H115" s="121">
        <v>1.3839999999999999</v>
      </c>
      <c r="I115" s="118">
        <v>283800</v>
      </c>
      <c r="J115" s="118"/>
      <c r="K115" s="134"/>
      <c r="L115" s="130">
        <v>0</v>
      </c>
    </row>
    <row r="116" spans="1:12" ht="15" customHeight="1" x14ac:dyDescent="0.3">
      <c r="A116" s="124">
        <v>108</v>
      </c>
      <c r="B116" s="125" t="s">
        <v>4482</v>
      </c>
      <c r="C116" s="125" t="s">
        <v>5284</v>
      </c>
      <c r="D116" s="125" t="s">
        <v>5285</v>
      </c>
      <c r="E116" s="125" t="s">
        <v>5286</v>
      </c>
      <c r="F116" s="125" t="s">
        <v>312</v>
      </c>
      <c r="G116" s="126">
        <v>500</v>
      </c>
      <c r="H116" s="127">
        <v>5.49</v>
      </c>
      <c r="I116" s="124">
        <v>331800</v>
      </c>
      <c r="J116" s="124"/>
      <c r="K116" s="133"/>
      <c r="L116" s="131">
        <v>0</v>
      </c>
    </row>
    <row r="117" spans="1:12" ht="15" customHeight="1" x14ac:dyDescent="0.3">
      <c r="A117" s="118">
        <v>109</v>
      </c>
      <c r="B117" s="119" t="s">
        <v>4482</v>
      </c>
      <c r="C117" s="119" t="s">
        <v>5287</v>
      </c>
      <c r="D117" s="119" t="s">
        <v>5288</v>
      </c>
      <c r="E117" s="119" t="s">
        <v>5274</v>
      </c>
      <c r="F117" s="119" t="s">
        <v>4758</v>
      </c>
      <c r="G117" s="120">
        <v>1600</v>
      </c>
      <c r="H117" s="121">
        <v>2.88</v>
      </c>
      <c r="I117" s="118">
        <v>281000</v>
      </c>
      <c r="J117" s="118"/>
      <c r="K117" s="134"/>
      <c r="L117" s="130">
        <v>0</v>
      </c>
    </row>
    <row r="118" spans="1:12" ht="15" customHeight="1" x14ac:dyDescent="0.3">
      <c r="A118" s="124">
        <v>110</v>
      </c>
      <c r="B118" s="125" t="s">
        <v>4482</v>
      </c>
      <c r="C118" s="125" t="s">
        <v>1753</v>
      </c>
      <c r="D118" s="125" t="s">
        <v>5289</v>
      </c>
      <c r="E118" s="125" t="s">
        <v>5290</v>
      </c>
      <c r="F118" s="125" t="s">
        <v>4879</v>
      </c>
      <c r="G118" s="126">
        <v>400.4</v>
      </c>
      <c r="H118" s="127">
        <v>1.5740000000000001</v>
      </c>
      <c r="I118" s="124">
        <v>171800</v>
      </c>
      <c r="J118" s="124"/>
      <c r="K118" s="133"/>
      <c r="L118" s="131">
        <v>0</v>
      </c>
    </row>
    <row r="119" spans="1:12" ht="15" customHeight="1" x14ac:dyDescent="0.3">
      <c r="A119" s="118">
        <v>111</v>
      </c>
      <c r="B119" s="119" t="s">
        <v>5291</v>
      </c>
      <c r="C119" s="119" t="s">
        <v>5292</v>
      </c>
      <c r="D119" s="119" t="s">
        <v>5293</v>
      </c>
      <c r="E119" s="119" t="s">
        <v>35</v>
      </c>
      <c r="F119" s="119" t="s">
        <v>3858</v>
      </c>
      <c r="G119" s="120">
        <v>570</v>
      </c>
      <c r="H119" s="121">
        <v>1.3680000000000001</v>
      </c>
      <c r="I119" s="118">
        <v>283800</v>
      </c>
      <c r="J119" s="118"/>
      <c r="K119" s="134"/>
      <c r="L119" s="130">
        <v>0</v>
      </c>
    </row>
    <row r="120" spans="1:12" ht="15" customHeight="1" x14ac:dyDescent="0.3">
      <c r="A120" s="124">
        <v>112</v>
      </c>
      <c r="B120" s="125" t="s">
        <v>5291</v>
      </c>
      <c r="C120" s="125" t="s">
        <v>5294</v>
      </c>
      <c r="D120" s="125" t="s">
        <v>5295</v>
      </c>
      <c r="E120" s="125" t="s">
        <v>5295</v>
      </c>
      <c r="F120" s="125" t="s">
        <v>4761</v>
      </c>
      <c r="G120" s="126">
        <v>1692</v>
      </c>
      <c r="H120" s="127">
        <v>5.51</v>
      </c>
      <c r="I120" s="124">
        <v>383000</v>
      </c>
      <c r="J120" s="124"/>
      <c r="K120" s="133"/>
      <c r="L120" s="131">
        <v>0</v>
      </c>
    </row>
    <row r="121" spans="1:12" ht="15" customHeight="1" x14ac:dyDescent="0.3">
      <c r="A121" s="118">
        <v>113</v>
      </c>
      <c r="B121" s="119" t="s">
        <v>5291</v>
      </c>
      <c r="C121" s="119" t="s">
        <v>5296</v>
      </c>
      <c r="D121" s="119" t="s">
        <v>5215</v>
      </c>
      <c r="E121" s="119" t="s">
        <v>2614</v>
      </c>
      <c r="F121" s="119" t="s">
        <v>4343</v>
      </c>
      <c r="G121" s="120">
        <v>2636</v>
      </c>
      <c r="H121" s="121">
        <v>4.8120000000000003</v>
      </c>
      <c r="I121" s="118">
        <v>253000</v>
      </c>
      <c r="J121" s="118"/>
      <c r="K121" s="134"/>
      <c r="L121" s="130">
        <v>0</v>
      </c>
    </row>
    <row r="122" spans="1:12" ht="15" customHeight="1" x14ac:dyDescent="0.3">
      <c r="A122" s="124">
        <v>114</v>
      </c>
      <c r="B122" s="125" t="s">
        <v>5291</v>
      </c>
      <c r="C122" s="125" t="s">
        <v>5297</v>
      </c>
      <c r="D122" s="125"/>
      <c r="E122" s="125" t="s">
        <v>35</v>
      </c>
      <c r="F122" s="125" t="s">
        <v>312</v>
      </c>
      <c r="G122" s="126">
        <v>322</v>
      </c>
      <c r="H122" s="127">
        <v>0.91300000000000003</v>
      </c>
      <c r="I122" s="124">
        <v>255800</v>
      </c>
      <c r="J122" s="124"/>
      <c r="K122" s="133"/>
      <c r="L122" s="131">
        <v>0</v>
      </c>
    </row>
    <row r="123" spans="1:12" ht="15" customHeight="1" x14ac:dyDescent="0.3">
      <c r="A123" s="118">
        <v>115</v>
      </c>
      <c r="B123" s="119" t="s">
        <v>5291</v>
      </c>
      <c r="C123" s="119" t="s">
        <v>5298</v>
      </c>
      <c r="D123" s="119" t="s">
        <v>5299</v>
      </c>
      <c r="E123" s="119" t="s">
        <v>3478</v>
      </c>
      <c r="F123" s="119" t="s">
        <v>5300</v>
      </c>
      <c r="G123" s="120">
        <v>4100</v>
      </c>
      <c r="H123" s="121">
        <v>1.8959999999999999</v>
      </c>
      <c r="I123" s="118">
        <v>329000</v>
      </c>
      <c r="J123" s="118"/>
      <c r="K123" s="134"/>
      <c r="L123" s="130">
        <v>0</v>
      </c>
    </row>
    <row r="124" spans="1:12" ht="15" customHeight="1" x14ac:dyDescent="0.3">
      <c r="A124" s="124">
        <v>116</v>
      </c>
      <c r="B124" s="125" t="s">
        <v>5291</v>
      </c>
      <c r="C124" s="125" t="s">
        <v>5301</v>
      </c>
      <c r="D124" s="125" t="s">
        <v>5302</v>
      </c>
      <c r="E124" s="125" t="s">
        <v>5303</v>
      </c>
      <c r="F124" s="125" t="s">
        <v>312</v>
      </c>
      <c r="G124" s="126">
        <v>660</v>
      </c>
      <c r="H124" s="127">
        <v>1.617</v>
      </c>
      <c r="I124" s="124">
        <v>171800</v>
      </c>
      <c r="J124" s="124"/>
      <c r="K124" s="133"/>
      <c r="L124" s="131">
        <v>0</v>
      </c>
    </row>
    <row r="125" spans="1:12" ht="15" customHeight="1" x14ac:dyDescent="0.3">
      <c r="A125" s="118">
        <v>117</v>
      </c>
      <c r="B125" s="119" t="s">
        <v>5291</v>
      </c>
      <c r="C125" s="119" t="s">
        <v>5304</v>
      </c>
      <c r="D125" s="119" t="s">
        <v>5305</v>
      </c>
      <c r="E125" s="119" t="s">
        <v>5306</v>
      </c>
      <c r="F125" s="119" t="s">
        <v>4058</v>
      </c>
      <c r="G125" s="120">
        <v>1582</v>
      </c>
      <c r="H125" s="121">
        <v>2.5619999999999998</v>
      </c>
      <c r="I125" s="118">
        <v>199800</v>
      </c>
      <c r="J125" s="118"/>
      <c r="K125" s="134"/>
      <c r="L125" s="130">
        <v>0</v>
      </c>
    </row>
    <row r="126" spans="1:12" ht="15" customHeight="1" x14ac:dyDescent="0.3">
      <c r="A126" s="124">
        <v>118</v>
      </c>
      <c r="B126" s="125" t="s">
        <v>5291</v>
      </c>
      <c r="C126" s="125" t="s">
        <v>5307</v>
      </c>
      <c r="D126" s="125" t="s">
        <v>4743</v>
      </c>
      <c r="E126" s="125" t="s">
        <v>4337</v>
      </c>
      <c r="F126" s="125" t="s">
        <v>5308</v>
      </c>
      <c r="G126" s="126">
        <v>717</v>
      </c>
      <c r="H126" s="127">
        <v>2.3010000000000002</v>
      </c>
      <c r="I126" s="124">
        <v>171800</v>
      </c>
      <c r="J126" s="124"/>
      <c r="K126" s="133"/>
      <c r="L126" s="131">
        <v>0</v>
      </c>
    </row>
    <row r="127" spans="1:12" ht="15" customHeight="1" x14ac:dyDescent="0.3">
      <c r="A127" s="118">
        <v>119</v>
      </c>
      <c r="B127" s="119" t="s">
        <v>5291</v>
      </c>
      <c r="C127" s="119" t="s">
        <v>5309</v>
      </c>
      <c r="D127" s="119" t="s">
        <v>5310</v>
      </c>
      <c r="E127" s="119" t="s">
        <v>5311</v>
      </c>
      <c r="F127" s="119" t="s">
        <v>3831</v>
      </c>
      <c r="G127" s="120">
        <v>520</v>
      </c>
      <c r="H127" s="121">
        <v>1.2</v>
      </c>
      <c r="I127" s="118">
        <v>145800</v>
      </c>
      <c r="J127" s="118"/>
      <c r="K127" s="134"/>
      <c r="L127" s="130">
        <v>0</v>
      </c>
    </row>
    <row r="128" spans="1:12" ht="15" customHeight="1" x14ac:dyDescent="0.3">
      <c r="A128" s="124">
        <v>120</v>
      </c>
      <c r="B128" s="125" t="s">
        <v>5291</v>
      </c>
      <c r="C128" s="125" t="s">
        <v>5312</v>
      </c>
      <c r="D128" s="125" t="s">
        <v>5313</v>
      </c>
      <c r="E128" s="125" t="s">
        <v>5314</v>
      </c>
      <c r="F128" s="125" t="s">
        <v>4343</v>
      </c>
      <c r="G128" s="126">
        <v>1951</v>
      </c>
      <c r="H128" s="127">
        <v>6.9119999999999999</v>
      </c>
      <c r="I128" s="124">
        <v>358800</v>
      </c>
      <c r="J128" s="124"/>
      <c r="K128" s="133"/>
      <c r="L128" s="131">
        <v>0</v>
      </c>
    </row>
    <row r="129" spans="1:12" ht="15" customHeight="1" x14ac:dyDescent="0.3">
      <c r="A129" s="118">
        <v>121</v>
      </c>
      <c r="B129" s="119" t="s">
        <v>5291</v>
      </c>
      <c r="C129" s="119" t="s">
        <v>5315</v>
      </c>
      <c r="D129" s="119" t="s">
        <v>3973</v>
      </c>
      <c r="E129" s="119" t="s">
        <v>35</v>
      </c>
      <c r="F129" s="119" t="s">
        <v>3831</v>
      </c>
      <c r="G129" s="120">
        <v>444</v>
      </c>
      <c r="H129" s="121">
        <v>1.371</v>
      </c>
      <c r="I129" s="118">
        <v>255800</v>
      </c>
      <c r="J129" s="118"/>
      <c r="K129" s="134"/>
      <c r="L129" s="130">
        <v>0</v>
      </c>
    </row>
    <row r="130" spans="1:12" ht="15" customHeight="1" x14ac:dyDescent="0.3">
      <c r="A130" s="124">
        <v>122</v>
      </c>
      <c r="B130" s="125" t="s">
        <v>5291</v>
      </c>
      <c r="C130" s="125" t="s">
        <v>5316</v>
      </c>
      <c r="D130" s="125" t="s">
        <v>5317</v>
      </c>
      <c r="E130" s="125" t="s">
        <v>5318</v>
      </c>
      <c r="F130" s="125" t="s">
        <v>4897</v>
      </c>
      <c r="G130" s="126">
        <v>128.11000000000001</v>
      </c>
      <c r="H130" s="127">
        <v>6.8239999999999998</v>
      </c>
      <c r="I130" s="124">
        <v>383000</v>
      </c>
      <c r="J130" s="124"/>
      <c r="K130" s="133"/>
      <c r="L130" s="131">
        <v>0</v>
      </c>
    </row>
    <row r="131" spans="1:12" ht="15" customHeight="1" x14ac:dyDescent="0.3">
      <c r="A131" s="118">
        <v>123</v>
      </c>
      <c r="B131" s="119" t="s">
        <v>5036</v>
      </c>
      <c r="C131" s="119" t="s">
        <v>5319</v>
      </c>
      <c r="D131" s="119" t="s">
        <v>5320</v>
      </c>
      <c r="E131" s="119" t="s">
        <v>5321</v>
      </c>
      <c r="F131" s="119" t="s">
        <v>4915</v>
      </c>
      <c r="G131" s="120">
        <v>983</v>
      </c>
      <c r="H131" s="121">
        <v>11.04</v>
      </c>
      <c r="I131" s="118">
        <v>464000</v>
      </c>
      <c r="J131" s="118"/>
      <c r="K131" s="134"/>
      <c r="L131" s="130">
        <v>0</v>
      </c>
    </row>
    <row r="132" spans="1:12" ht="15" customHeight="1" x14ac:dyDescent="0.3">
      <c r="A132" s="124">
        <v>124</v>
      </c>
      <c r="B132" s="125" t="s">
        <v>5036</v>
      </c>
      <c r="C132" s="125" t="s">
        <v>5322</v>
      </c>
      <c r="D132" s="125" t="s">
        <v>5323</v>
      </c>
      <c r="E132" s="125" t="s">
        <v>5324</v>
      </c>
      <c r="F132" s="125" t="s">
        <v>312</v>
      </c>
      <c r="G132" s="126">
        <v>680</v>
      </c>
      <c r="H132" s="127">
        <v>1.478</v>
      </c>
      <c r="I132" s="124">
        <v>283800</v>
      </c>
      <c r="J132" s="124"/>
      <c r="K132" s="133"/>
      <c r="L132" s="131">
        <v>0</v>
      </c>
    </row>
    <row r="133" spans="1:12" ht="15" customHeight="1" x14ac:dyDescent="0.3">
      <c r="A133" s="118">
        <v>125</v>
      </c>
      <c r="B133" s="119" t="s">
        <v>5036</v>
      </c>
      <c r="C133" s="119" t="s">
        <v>5325</v>
      </c>
      <c r="D133" s="119" t="s">
        <v>5326</v>
      </c>
      <c r="E133" s="119" t="s">
        <v>2614</v>
      </c>
      <c r="F133" s="119" t="s">
        <v>312</v>
      </c>
      <c r="G133" s="120">
        <v>372</v>
      </c>
      <c r="H133" s="121">
        <v>0.52800000000000002</v>
      </c>
      <c r="I133" s="118">
        <v>143000</v>
      </c>
      <c r="J133" s="118"/>
      <c r="K133" s="134"/>
      <c r="L133" s="130">
        <v>0</v>
      </c>
    </row>
    <row r="134" spans="1:12" ht="15" customHeight="1" x14ac:dyDescent="0.3">
      <c r="A134" s="124">
        <v>126</v>
      </c>
      <c r="B134" s="125" t="s">
        <v>5036</v>
      </c>
      <c r="C134" s="125" t="s">
        <v>5327</v>
      </c>
      <c r="D134" s="125" t="s">
        <v>5328</v>
      </c>
      <c r="E134" s="125" t="s">
        <v>5329</v>
      </c>
      <c r="F134" s="125" t="s">
        <v>5275</v>
      </c>
      <c r="G134" s="126">
        <v>308</v>
      </c>
      <c r="H134" s="127">
        <v>3.0089999999999999</v>
      </c>
      <c r="I134" s="124">
        <v>199800</v>
      </c>
      <c r="J134" s="124"/>
      <c r="K134" s="133"/>
      <c r="L134" s="131">
        <v>0</v>
      </c>
    </row>
    <row r="135" spans="1:12" ht="15" customHeight="1" x14ac:dyDescent="0.3">
      <c r="A135" s="118">
        <v>127</v>
      </c>
      <c r="B135" s="119" t="s">
        <v>5036</v>
      </c>
      <c r="C135" s="119" t="s">
        <v>5330</v>
      </c>
      <c r="D135" s="119" t="s">
        <v>5331</v>
      </c>
      <c r="E135" s="119" t="s">
        <v>63</v>
      </c>
      <c r="F135" s="119" t="s">
        <v>4879</v>
      </c>
      <c r="G135" s="120">
        <v>1664</v>
      </c>
      <c r="H135" s="121">
        <v>2.7770000000000001</v>
      </c>
      <c r="I135" s="118">
        <v>197000</v>
      </c>
      <c r="J135" s="118"/>
      <c r="K135" s="134"/>
      <c r="L135" s="130">
        <v>0</v>
      </c>
    </row>
    <row r="136" spans="1:12" ht="15" customHeight="1" x14ac:dyDescent="0.3">
      <c r="A136" s="124">
        <v>128</v>
      </c>
      <c r="B136" s="125" t="s">
        <v>5036</v>
      </c>
      <c r="C136" s="125" t="s">
        <v>5332</v>
      </c>
      <c r="D136" s="125" t="s">
        <v>5333</v>
      </c>
      <c r="E136" s="125" t="s">
        <v>63</v>
      </c>
      <c r="F136" s="125" t="s">
        <v>4879</v>
      </c>
      <c r="G136" s="126">
        <v>883.25300000000004</v>
      </c>
      <c r="H136" s="127">
        <v>2.3809999999999998</v>
      </c>
      <c r="I136" s="124">
        <v>169000</v>
      </c>
      <c r="J136" s="124"/>
      <c r="K136" s="133"/>
      <c r="L136" s="131">
        <v>0</v>
      </c>
    </row>
    <row r="137" spans="1:12" ht="15" customHeight="1" x14ac:dyDescent="0.3">
      <c r="A137" s="118">
        <v>129</v>
      </c>
      <c r="B137" s="119" t="s">
        <v>5036</v>
      </c>
      <c r="C137" s="119" t="s">
        <v>5334</v>
      </c>
      <c r="D137" s="119" t="s">
        <v>5335</v>
      </c>
      <c r="E137" s="119" t="s">
        <v>1975</v>
      </c>
      <c r="F137" s="119" t="s">
        <v>3831</v>
      </c>
      <c r="G137" s="120">
        <v>125</v>
      </c>
      <c r="H137" s="121">
        <v>0.76800000000000002</v>
      </c>
      <c r="I137" s="118">
        <v>171800</v>
      </c>
      <c r="J137" s="118"/>
      <c r="K137" s="134"/>
      <c r="L137" s="130">
        <v>0</v>
      </c>
    </row>
    <row r="138" spans="1:12" ht="15" customHeight="1" x14ac:dyDescent="0.3">
      <c r="A138" s="124">
        <v>130</v>
      </c>
      <c r="B138" s="125" t="s">
        <v>1059</v>
      </c>
      <c r="C138" s="125" t="s">
        <v>5336</v>
      </c>
      <c r="D138" s="125" t="s">
        <v>5337</v>
      </c>
      <c r="E138" s="125" t="s">
        <v>35</v>
      </c>
      <c r="F138" s="125" t="s">
        <v>5338</v>
      </c>
      <c r="G138" s="126">
        <v>6120</v>
      </c>
      <c r="H138" s="127">
        <v>14.385999999999999</v>
      </c>
      <c r="I138" s="124">
        <v>520800</v>
      </c>
      <c r="J138" s="124"/>
      <c r="K138" s="133"/>
      <c r="L138" s="131">
        <v>0</v>
      </c>
    </row>
    <row r="139" spans="1:12" ht="15" customHeight="1" x14ac:dyDescent="0.3">
      <c r="A139" s="118">
        <v>131</v>
      </c>
      <c r="B139" s="119" t="s">
        <v>1059</v>
      </c>
      <c r="C139" s="119" t="s">
        <v>5339</v>
      </c>
      <c r="D139" s="119" t="s">
        <v>5340</v>
      </c>
      <c r="E139" s="119" t="s">
        <v>35</v>
      </c>
      <c r="F139" s="119" t="s">
        <v>658</v>
      </c>
      <c r="G139" s="120">
        <v>5920</v>
      </c>
      <c r="H139" s="121">
        <v>3.581</v>
      </c>
      <c r="I139" s="118">
        <v>385800</v>
      </c>
      <c r="J139" s="118"/>
      <c r="K139" s="134"/>
      <c r="L139" s="130">
        <v>0</v>
      </c>
    </row>
    <row r="140" spans="1:12" ht="15" customHeight="1" x14ac:dyDescent="0.3">
      <c r="A140" s="124">
        <v>132</v>
      </c>
      <c r="B140" s="125" t="s">
        <v>1059</v>
      </c>
      <c r="C140" s="125" t="s">
        <v>5341</v>
      </c>
      <c r="D140" s="125" t="s">
        <v>5342</v>
      </c>
      <c r="E140" s="125" t="s">
        <v>35</v>
      </c>
      <c r="F140" s="125" t="s">
        <v>4335</v>
      </c>
      <c r="G140" s="126">
        <v>260</v>
      </c>
      <c r="H140" s="127">
        <v>0.33600000000000002</v>
      </c>
      <c r="I140" s="124">
        <v>255800</v>
      </c>
      <c r="J140" s="124"/>
      <c r="K140" s="133"/>
      <c r="L140" s="131">
        <v>0</v>
      </c>
    </row>
    <row r="141" spans="1:12" ht="15" customHeight="1" x14ac:dyDescent="0.3">
      <c r="A141" s="118">
        <v>133</v>
      </c>
      <c r="B141" s="119" t="s">
        <v>1059</v>
      </c>
      <c r="C141" s="119" t="s">
        <v>5343</v>
      </c>
      <c r="D141" s="119" t="s">
        <v>5344</v>
      </c>
      <c r="E141" s="119" t="s">
        <v>5345</v>
      </c>
      <c r="F141" s="119" t="s">
        <v>3831</v>
      </c>
      <c r="G141" s="120">
        <v>1542</v>
      </c>
      <c r="H141" s="121">
        <v>2.8380000000000001</v>
      </c>
      <c r="I141" s="118">
        <v>309000</v>
      </c>
      <c r="J141" s="118"/>
      <c r="K141" s="134"/>
      <c r="L141" s="130">
        <v>0</v>
      </c>
    </row>
    <row r="142" spans="1:12" ht="15" customHeight="1" x14ac:dyDescent="0.3">
      <c r="A142" s="124">
        <v>134</v>
      </c>
      <c r="B142" s="125" t="s">
        <v>1059</v>
      </c>
      <c r="C142" s="125" t="s">
        <v>5346</v>
      </c>
      <c r="D142" s="125" t="s">
        <v>5347</v>
      </c>
      <c r="E142" s="125" t="s">
        <v>35</v>
      </c>
      <c r="F142" s="125" t="s">
        <v>3933</v>
      </c>
      <c r="G142" s="126">
        <v>957.3</v>
      </c>
      <c r="H142" s="127">
        <v>1.968</v>
      </c>
      <c r="I142" s="124">
        <v>283800</v>
      </c>
      <c r="J142" s="124"/>
      <c r="K142" s="133"/>
      <c r="L142" s="131">
        <v>0</v>
      </c>
    </row>
    <row r="143" spans="1:12" ht="15" customHeight="1" x14ac:dyDescent="0.3">
      <c r="A143" s="118">
        <v>135</v>
      </c>
      <c r="B143" s="119" t="s">
        <v>1059</v>
      </c>
      <c r="C143" s="119" t="s">
        <v>5348</v>
      </c>
      <c r="D143" s="119" t="s">
        <v>453</v>
      </c>
      <c r="E143" s="119" t="s">
        <v>454</v>
      </c>
      <c r="F143" s="119" t="s">
        <v>5027</v>
      </c>
      <c r="G143" s="120">
        <v>2058</v>
      </c>
      <c r="H143" s="121">
        <v>2.8319999999999999</v>
      </c>
      <c r="I143" s="118">
        <v>309800</v>
      </c>
      <c r="J143" s="118"/>
      <c r="K143" s="134"/>
      <c r="L143" s="130">
        <v>0</v>
      </c>
    </row>
    <row r="144" spans="1:12" ht="15" customHeight="1" x14ac:dyDescent="0.3">
      <c r="A144" s="124">
        <v>136</v>
      </c>
      <c r="B144" s="125" t="s">
        <v>1059</v>
      </c>
      <c r="C144" s="125" t="s">
        <v>5349</v>
      </c>
      <c r="D144" s="125" t="s">
        <v>5350</v>
      </c>
      <c r="E144" s="125" t="s">
        <v>5351</v>
      </c>
      <c r="F144" s="125" t="s">
        <v>5027</v>
      </c>
      <c r="G144" s="126">
        <v>762</v>
      </c>
      <c r="H144" s="127">
        <v>3.3319999999999999</v>
      </c>
      <c r="I144" s="124">
        <v>199800</v>
      </c>
      <c r="J144" s="124"/>
      <c r="K144" s="133"/>
      <c r="L144" s="131">
        <v>0</v>
      </c>
    </row>
    <row r="145" spans="1:12" ht="15" customHeight="1" x14ac:dyDescent="0.3">
      <c r="A145" s="118">
        <v>137</v>
      </c>
      <c r="B145" s="119" t="s">
        <v>1059</v>
      </c>
      <c r="C145" s="119" t="s">
        <v>5352</v>
      </c>
      <c r="D145" s="119" t="s">
        <v>5353</v>
      </c>
      <c r="E145" s="119" t="s">
        <v>5354</v>
      </c>
      <c r="F145" s="119" t="s">
        <v>4986</v>
      </c>
      <c r="G145" s="120">
        <v>519</v>
      </c>
      <c r="H145" s="121"/>
      <c r="I145" s="118">
        <v>385800</v>
      </c>
      <c r="J145" s="118"/>
      <c r="K145" s="134"/>
      <c r="L145" s="130">
        <v>0</v>
      </c>
    </row>
    <row r="146" spans="1:12" ht="15" customHeight="1" x14ac:dyDescent="0.3">
      <c r="A146" s="124">
        <v>138</v>
      </c>
      <c r="B146" s="125" t="s">
        <v>1059</v>
      </c>
      <c r="C146" s="125" t="s">
        <v>5355</v>
      </c>
      <c r="D146" s="125" t="s">
        <v>4622</v>
      </c>
      <c r="E146" s="125" t="s">
        <v>2790</v>
      </c>
      <c r="F146" s="125" t="s">
        <v>5356</v>
      </c>
      <c r="G146" s="126">
        <v>2709.125</v>
      </c>
      <c r="H146" s="127">
        <v>5.3760000000000003</v>
      </c>
      <c r="I146" s="124">
        <v>253000</v>
      </c>
      <c r="J146" s="124"/>
      <c r="K146" s="133"/>
      <c r="L146" s="131">
        <v>0</v>
      </c>
    </row>
    <row r="147" spans="1:12" ht="15" customHeight="1" x14ac:dyDescent="0.3">
      <c r="A147" s="118">
        <v>139</v>
      </c>
      <c r="B147" s="119" t="s">
        <v>1059</v>
      </c>
      <c r="C147" s="119" t="s">
        <v>5357</v>
      </c>
      <c r="D147" s="119" t="s">
        <v>5358</v>
      </c>
      <c r="E147" s="119" t="s">
        <v>5359</v>
      </c>
      <c r="F147" s="119" t="s">
        <v>5356</v>
      </c>
      <c r="G147" s="120">
        <v>3151.33</v>
      </c>
      <c r="H147" s="121">
        <v>6.4029999999999996</v>
      </c>
      <c r="I147" s="118">
        <v>358000</v>
      </c>
      <c r="J147" s="118"/>
      <c r="K147" s="134"/>
      <c r="L147" s="130">
        <v>0</v>
      </c>
    </row>
    <row r="148" spans="1:12" ht="15" customHeight="1" x14ac:dyDescent="0.3">
      <c r="A148" s="124">
        <v>140</v>
      </c>
      <c r="B148" s="125" t="s">
        <v>4482</v>
      </c>
      <c r="C148" s="125" t="s">
        <v>5360</v>
      </c>
      <c r="D148" s="125" t="s">
        <v>3219</v>
      </c>
      <c r="E148" s="125" t="s">
        <v>5361</v>
      </c>
      <c r="F148" s="125" t="s">
        <v>3831</v>
      </c>
      <c r="G148" s="126">
        <v>680</v>
      </c>
      <c r="H148" s="127">
        <v>1.39</v>
      </c>
      <c r="I148" s="124">
        <v>283800</v>
      </c>
      <c r="J148" s="124"/>
      <c r="K148" s="133"/>
      <c r="L148" s="131">
        <v>0</v>
      </c>
    </row>
    <row r="149" spans="1:12" ht="15" customHeight="1" x14ac:dyDescent="0.3">
      <c r="A149" s="118">
        <v>141</v>
      </c>
      <c r="B149" s="119" t="s">
        <v>4482</v>
      </c>
      <c r="C149" s="119" t="s">
        <v>5362</v>
      </c>
      <c r="D149" s="119" t="s">
        <v>5363</v>
      </c>
      <c r="E149" s="119" t="s">
        <v>5364</v>
      </c>
      <c r="F149" s="119" t="s">
        <v>3933</v>
      </c>
      <c r="G149" s="120">
        <v>667</v>
      </c>
      <c r="H149" s="121">
        <v>6.0140000000000002</v>
      </c>
      <c r="I149" s="118">
        <v>281000</v>
      </c>
      <c r="J149" s="118"/>
      <c r="K149" s="134"/>
      <c r="L149" s="130">
        <v>0</v>
      </c>
    </row>
    <row r="150" spans="1:12" ht="15" customHeight="1" x14ac:dyDescent="0.3">
      <c r="A150" s="124">
        <v>142</v>
      </c>
      <c r="B150" s="125" t="s">
        <v>4482</v>
      </c>
      <c r="C150" s="125" t="s">
        <v>5365</v>
      </c>
      <c r="D150" s="125" t="s">
        <v>5366</v>
      </c>
      <c r="E150" s="125" t="s">
        <v>5367</v>
      </c>
      <c r="F150" s="125" t="s">
        <v>5356</v>
      </c>
      <c r="G150" s="126">
        <v>4861.2</v>
      </c>
      <c r="H150" s="127">
        <v>10.407</v>
      </c>
      <c r="I150" s="124">
        <v>385800</v>
      </c>
      <c r="J150" s="124"/>
      <c r="K150" s="133"/>
      <c r="L150" s="131">
        <v>0</v>
      </c>
    </row>
    <row r="151" spans="1:12" ht="15" customHeight="1" x14ac:dyDescent="0.3">
      <c r="A151" s="118">
        <v>143</v>
      </c>
      <c r="B151" s="119" t="s">
        <v>4482</v>
      </c>
      <c r="C151" s="119" t="s">
        <v>5368</v>
      </c>
      <c r="D151" s="119" t="s">
        <v>5369</v>
      </c>
      <c r="E151" s="119" t="s">
        <v>4385</v>
      </c>
      <c r="F151" s="119" t="s">
        <v>5370</v>
      </c>
      <c r="G151" s="120">
        <v>2443.6799999999998</v>
      </c>
      <c r="H151" s="121">
        <v>22.920999999999999</v>
      </c>
      <c r="I151" s="118">
        <v>736800</v>
      </c>
      <c r="J151" s="118"/>
      <c r="K151" s="134"/>
      <c r="L151" s="130">
        <v>0</v>
      </c>
    </row>
    <row r="152" spans="1:12" ht="15" customHeight="1" x14ac:dyDescent="0.3">
      <c r="A152" s="124">
        <v>144</v>
      </c>
      <c r="B152" s="125" t="s">
        <v>4482</v>
      </c>
      <c r="C152" s="125" t="s">
        <v>5371</v>
      </c>
      <c r="D152" s="125" t="s">
        <v>5372</v>
      </c>
      <c r="E152" s="125" t="s">
        <v>5373</v>
      </c>
      <c r="F152" s="125" t="s">
        <v>5374</v>
      </c>
      <c r="G152" s="126">
        <v>538</v>
      </c>
      <c r="H152" s="127">
        <v>4.4459999999999997</v>
      </c>
      <c r="I152" s="124">
        <v>329000</v>
      </c>
      <c r="J152" s="124"/>
      <c r="K152" s="133"/>
      <c r="L152" s="131">
        <v>0</v>
      </c>
    </row>
    <row r="153" spans="1:12" ht="15" customHeight="1" x14ac:dyDescent="0.3">
      <c r="A153" s="118">
        <v>145</v>
      </c>
      <c r="B153" s="119" t="s">
        <v>4482</v>
      </c>
      <c r="C153" s="119" t="s">
        <v>5375</v>
      </c>
      <c r="D153" s="119" t="s">
        <v>3123</v>
      </c>
      <c r="E153" s="119" t="s">
        <v>5376</v>
      </c>
      <c r="F153" s="119" t="s">
        <v>5377</v>
      </c>
      <c r="G153" s="120">
        <v>1238</v>
      </c>
      <c r="H153" s="121">
        <v>6.5090000000000003</v>
      </c>
      <c r="I153" s="118">
        <v>385800</v>
      </c>
      <c r="J153" s="118"/>
      <c r="K153" s="134"/>
      <c r="L153" s="130">
        <v>0</v>
      </c>
    </row>
    <row r="154" spans="1:12" ht="15" customHeight="1" x14ac:dyDescent="0.3">
      <c r="A154" s="124">
        <v>146</v>
      </c>
      <c r="B154" s="125" t="s">
        <v>4482</v>
      </c>
      <c r="C154" s="125" t="s">
        <v>5378</v>
      </c>
      <c r="D154" s="125" t="s">
        <v>5379</v>
      </c>
      <c r="E154" s="125" t="s">
        <v>5042</v>
      </c>
      <c r="F154" s="125" t="s">
        <v>3831</v>
      </c>
      <c r="G154" s="126">
        <v>166</v>
      </c>
      <c r="H154" s="127">
        <v>0.46100000000000002</v>
      </c>
      <c r="I154" s="124">
        <v>283800</v>
      </c>
      <c r="J154" s="124"/>
      <c r="K154" s="133"/>
      <c r="L154" s="131">
        <v>0</v>
      </c>
    </row>
    <row r="155" spans="1:12" ht="15" customHeight="1" x14ac:dyDescent="0.3">
      <c r="A155" s="118">
        <v>147</v>
      </c>
      <c r="B155" s="119" t="s">
        <v>4482</v>
      </c>
      <c r="C155" s="119" t="s">
        <v>5380</v>
      </c>
      <c r="D155" s="119" t="s">
        <v>5381</v>
      </c>
      <c r="E155" s="119" t="s">
        <v>5382</v>
      </c>
      <c r="F155" s="119" t="s">
        <v>658</v>
      </c>
      <c r="G155" s="120">
        <v>725.5</v>
      </c>
      <c r="H155" s="121">
        <v>2.8679999999999999</v>
      </c>
      <c r="I155" s="118">
        <v>311800</v>
      </c>
      <c r="J155" s="118"/>
      <c r="K155" s="134"/>
      <c r="L155" s="130">
        <v>0</v>
      </c>
    </row>
    <row r="156" spans="1:12" ht="15" customHeight="1" x14ac:dyDescent="0.3">
      <c r="A156" s="124">
        <v>148</v>
      </c>
      <c r="B156" s="125" t="s">
        <v>4482</v>
      </c>
      <c r="C156" s="125" t="s">
        <v>5383</v>
      </c>
      <c r="D156" s="125" t="s">
        <v>2958</v>
      </c>
      <c r="E156" s="125" t="s">
        <v>35</v>
      </c>
      <c r="F156" s="125" t="s">
        <v>3831</v>
      </c>
      <c r="G156" s="126">
        <v>406</v>
      </c>
      <c r="H156" s="127">
        <v>0.51700000000000002</v>
      </c>
      <c r="I156" s="124">
        <v>283800</v>
      </c>
      <c r="J156" s="124"/>
      <c r="K156" s="133"/>
      <c r="L156" s="131">
        <v>0</v>
      </c>
    </row>
    <row r="157" spans="1:12" ht="15" customHeight="1" x14ac:dyDescent="0.3">
      <c r="A157" s="118">
        <v>149</v>
      </c>
      <c r="B157" s="119" t="s">
        <v>4482</v>
      </c>
      <c r="C157" s="119" t="s">
        <v>5384</v>
      </c>
      <c r="D157" s="119" t="s">
        <v>3579</v>
      </c>
      <c r="E157" s="119" t="s">
        <v>35</v>
      </c>
      <c r="F157" s="119" t="s">
        <v>5027</v>
      </c>
      <c r="G157" s="120">
        <v>560</v>
      </c>
      <c r="H157" s="121">
        <v>1.5169999999999999</v>
      </c>
      <c r="I157" s="118">
        <v>311800</v>
      </c>
      <c r="J157" s="118"/>
      <c r="K157" s="134"/>
      <c r="L157" s="130">
        <v>0</v>
      </c>
    </row>
    <row r="158" spans="1:12" ht="15" customHeight="1" x14ac:dyDescent="0.3">
      <c r="A158" s="124">
        <v>150</v>
      </c>
      <c r="B158" s="125" t="s">
        <v>4482</v>
      </c>
      <c r="C158" s="125" t="s">
        <v>5385</v>
      </c>
      <c r="D158" s="125" t="s">
        <v>5386</v>
      </c>
      <c r="E158" s="125" t="s">
        <v>5387</v>
      </c>
      <c r="F158" s="125" t="s">
        <v>3831</v>
      </c>
      <c r="G158" s="126">
        <v>242</v>
      </c>
      <c r="H158" s="127">
        <v>0.91700000000000004</v>
      </c>
      <c r="I158" s="124">
        <v>255800</v>
      </c>
      <c r="J158" s="124"/>
      <c r="K158" s="133"/>
      <c r="L158" s="131">
        <v>0</v>
      </c>
    </row>
    <row r="159" spans="1:12" ht="15" customHeight="1" x14ac:dyDescent="0.3">
      <c r="A159" s="118">
        <v>151</v>
      </c>
      <c r="B159" s="119" t="s">
        <v>4482</v>
      </c>
      <c r="C159" s="119" t="s">
        <v>5388</v>
      </c>
      <c r="D159" s="119" t="s">
        <v>5389</v>
      </c>
      <c r="E159" s="119" t="s">
        <v>5390</v>
      </c>
      <c r="F159" s="119" t="s">
        <v>3858</v>
      </c>
      <c r="G159" s="120">
        <v>1404</v>
      </c>
      <c r="H159" s="121">
        <v>7.6769999999999996</v>
      </c>
      <c r="I159" s="118">
        <v>385800</v>
      </c>
      <c r="J159" s="118"/>
      <c r="K159" s="134"/>
      <c r="L159" s="130">
        <v>0</v>
      </c>
    </row>
    <row r="160" spans="1:12" ht="15" customHeight="1" x14ac:dyDescent="0.3">
      <c r="A160" s="124">
        <v>152</v>
      </c>
      <c r="B160" s="125" t="s">
        <v>5036</v>
      </c>
      <c r="C160" s="125" t="s">
        <v>5391</v>
      </c>
      <c r="D160" s="125" t="s">
        <v>4649</v>
      </c>
      <c r="E160" s="125" t="s">
        <v>35</v>
      </c>
      <c r="F160" s="125" t="s">
        <v>5392</v>
      </c>
      <c r="G160" s="126">
        <v>1920</v>
      </c>
      <c r="H160" s="127">
        <v>0.246</v>
      </c>
      <c r="I160" s="124">
        <v>283800</v>
      </c>
      <c r="J160" s="124"/>
      <c r="K160" s="133"/>
      <c r="L160" s="131">
        <v>0</v>
      </c>
    </row>
    <row r="161" spans="1:12" ht="15" customHeight="1" x14ac:dyDescent="0.3">
      <c r="A161" s="118">
        <v>153</v>
      </c>
      <c r="B161" s="119" t="s">
        <v>5036</v>
      </c>
      <c r="C161" s="119" t="s">
        <v>5393</v>
      </c>
      <c r="D161" s="119" t="s">
        <v>4649</v>
      </c>
      <c r="E161" s="119" t="s">
        <v>35</v>
      </c>
      <c r="F161" s="119" t="s">
        <v>5394</v>
      </c>
      <c r="G161" s="120">
        <v>4271</v>
      </c>
      <c r="H161" s="121">
        <v>2.2879999999999998</v>
      </c>
      <c r="I161" s="118">
        <v>358800</v>
      </c>
      <c r="J161" s="118"/>
      <c r="K161" s="134"/>
      <c r="L161" s="130">
        <v>0</v>
      </c>
    </row>
    <row r="162" spans="1:12" ht="15" customHeight="1" x14ac:dyDescent="0.3">
      <c r="A162" s="124">
        <v>154</v>
      </c>
      <c r="B162" s="125" t="s">
        <v>5036</v>
      </c>
      <c r="C162" s="125" t="s">
        <v>5395</v>
      </c>
      <c r="D162" s="125" t="s">
        <v>4649</v>
      </c>
      <c r="E162" s="125" t="s">
        <v>35</v>
      </c>
      <c r="F162" s="125" t="s">
        <v>5027</v>
      </c>
      <c r="G162" s="126">
        <v>960</v>
      </c>
      <c r="H162" s="127">
        <v>2.2050000000000001</v>
      </c>
      <c r="I162" s="124">
        <v>311800</v>
      </c>
      <c r="J162" s="124"/>
      <c r="K162" s="133"/>
      <c r="L162" s="131">
        <v>0</v>
      </c>
    </row>
    <row r="163" spans="1:12" ht="15" customHeight="1" x14ac:dyDescent="0.3">
      <c r="A163" s="118">
        <v>155</v>
      </c>
      <c r="B163" s="119" t="s">
        <v>5036</v>
      </c>
      <c r="C163" s="119" t="s">
        <v>5396</v>
      </c>
      <c r="D163" s="119" t="s">
        <v>4574</v>
      </c>
      <c r="E163" s="119" t="s">
        <v>35</v>
      </c>
      <c r="F163" s="119" t="s">
        <v>5397</v>
      </c>
      <c r="G163" s="120">
        <v>5101</v>
      </c>
      <c r="H163" s="121">
        <v>3.0219999999999998</v>
      </c>
      <c r="I163" s="118">
        <v>385800</v>
      </c>
      <c r="J163" s="118"/>
      <c r="K163" s="134"/>
      <c r="L163" s="130">
        <v>0</v>
      </c>
    </row>
    <row r="164" spans="1:12" ht="15" customHeight="1" x14ac:dyDescent="0.3">
      <c r="A164" s="124">
        <v>156</v>
      </c>
      <c r="B164" s="125" t="s">
        <v>5036</v>
      </c>
      <c r="C164" s="125" t="s">
        <v>5398</v>
      </c>
      <c r="D164" s="125" t="s">
        <v>5399</v>
      </c>
      <c r="E164" s="125" t="s">
        <v>5009</v>
      </c>
      <c r="F164" s="125" t="s">
        <v>3858</v>
      </c>
      <c r="G164" s="126">
        <v>273</v>
      </c>
      <c r="H164" s="127">
        <v>0.70399999999999996</v>
      </c>
      <c r="I164" s="124">
        <v>227800</v>
      </c>
      <c r="J164" s="124"/>
      <c r="K164" s="133"/>
      <c r="L164" s="131">
        <v>0</v>
      </c>
    </row>
    <row r="165" spans="1:12" ht="15" customHeight="1" x14ac:dyDescent="0.3">
      <c r="A165" s="118">
        <v>157</v>
      </c>
      <c r="B165" s="119" t="s">
        <v>5036</v>
      </c>
      <c r="C165" s="119" t="s">
        <v>5400</v>
      </c>
      <c r="D165" s="119" t="s">
        <v>4743</v>
      </c>
      <c r="E165" s="119" t="s">
        <v>5401</v>
      </c>
      <c r="F165" s="119" t="s">
        <v>4761</v>
      </c>
      <c r="G165" s="120">
        <v>624</v>
      </c>
      <c r="H165" s="121">
        <v>1.446</v>
      </c>
      <c r="I165" s="118">
        <v>225000</v>
      </c>
      <c r="J165" s="118"/>
      <c r="K165" s="134"/>
      <c r="L165" s="130">
        <v>0</v>
      </c>
    </row>
    <row r="166" spans="1:12" ht="15" customHeight="1" x14ac:dyDescent="0.3">
      <c r="A166" s="124">
        <v>158</v>
      </c>
      <c r="B166" s="125" t="s">
        <v>5036</v>
      </c>
      <c r="C166" s="125" t="s">
        <v>5402</v>
      </c>
      <c r="D166" s="125" t="s">
        <v>5403</v>
      </c>
      <c r="E166" s="125" t="s">
        <v>5404</v>
      </c>
      <c r="F166" s="125" t="s">
        <v>5405</v>
      </c>
      <c r="G166" s="126">
        <v>1345</v>
      </c>
      <c r="H166" s="127">
        <v>0.55700000000000005</v>
      </c>
      <c r="I166" s="124">
        <v>331800</v>
      </c>
      <c r="J166" s="124"/>
      <c r="K166" s="133"/>
      <c r="L166" s="131">
        <v>0</v>
      </c>
    </row>
    <row r="167" spans="1:12" ht="15" customHeight="1" x14ac:dyDescent="0.3">
      <c r="A167" s="118">
        <v>159</v>
      </c>
      <c r="B167" s="119" t="s">
        <v>5036</v>
      </c>
      <c r="C167" s="119" t="s">
        <v>5406</v>
      </c>
      <c r="D167" s="119" t="s">
        <v>2736</v>
      </c>
      <c r="E167" s="119" t="s">
        <v>5407</v>
      </c>
      <c r="F167" s="119" t="s">
        <v>5408</v>
      </c>
      <c r="G167" s="120">
        <v>2180</v>
      </c>
      <c r="H167" s="121">
        <v>4.6079999999999997</v>
      </c>
      <c r="I167" s="118">
        <v>356000</v>
      </c>
      <c r="J167" s="118"/>
      <c r="K167" s="134"/>
      <c r="L167" s="130">
        <v>0</v>
      </c>
    </row>
    <row r="168" spans="1:12" ht="15" customHeight="1" x14ac:dyDescent="0.3">
      <c r="A168" s="124">
        <v>160</v>
      </c>
      <c r="B168" s="125" t="s">
        <v>5036</v>
      </c>
      <c r="C168" s="125" t="s">
        <v>5409</v>
      </c>
      <c r="D168" s="125" t="s">
        <v>5331</v>
      </c>
      <c r="E168" s="125" t="s">
        <v>2820</v>
      </c>
      <c r="F168" s="125" t="s">
        <v>5027</v>
      </c>
      <c r="G168" s="126">
        <v>1115</v>
      </c>
      <c r="H168" s="127">
        <v>2.8170000000000002</v>
      </c>
      <c r="I168" s="124">
        <v>383000</v>
      </c>
      <c r="J168" s="124"/>
      <c r="K168" s="133"/>
      <c r="L168" s="131">
        <v>0</v>
      </c>
    </row>
    <row r="169" spans="1:12" ht="15" customHeight="1" x14ac:dyDescent="0.3">
      <c r="A169" s="118">
        <v>161</v>
      </c>
      <c r="B169" s="119" t="s">
        <v>5036</v>
      </c>
      <c r="C169" s="119" t="s">
        <v>5410</v>
      </c>
      <c r="D169" s="119" t="s">
        <v>56</v>
      </c>
      <c r="E169" s="119" t="s">
        <v>3577</v>
      </c>
      <c r="F169" s="119" t="s">
        <v>4335</v>
      </c>
      <c r="G169" s="120">
        <v>645</v>
      </c>
      <c r="H169" s="121">
        <v>0.95199999999999996</v>
      </c>
      <c r="I169" s="118">
        <v>311800</v>
      </c>
      <c r="J169" s="118"/>
      <c r="K169" s="134"/>
      <c r="L169" s="130">
        <v>0</v>
      </c>
    </row>
    <row r="170" spans="1:12" ht="15" customHeight="1" x14ac:dyDescent="0.3">
      <c r="A170" s="124">
        <v>162</v>
      </c>
      <c r="B170" s="125" t="s">
        <v>5036</v>
      </c>
      <c r="C170" s="125" t="s">
        <v>5411</v>
      </c>
      <c r="D170" s="125" t="s">
        <v>5412</v>
      </c>
      <c r="E170" s="125" t="s">
        <v>5413</v>
      </c>
      <c r="F170" s="125" t="s">
        <v>5027</v>
      </c>
      <c r="G170" s="126">
        <v>350</v>
      </c>
      <c r="H170" s="127">
        <v>3.8879999999999999</v>
      </c>
      <c r="I170" s="124">
        <v>311800</v>
      </c>
      <c r="J170" s="124"/>
      <c r="K170" s="133"/>
      <c r="L170" s="131">
        <v>0</v>
      </c>
    </row>
    <row r="171" spans="1:12" ht="15" customHeight="1" x14ac:dyDescent="0.3">
      <c r="A171" s="118">
        <v>163</v>
      </c>
      <c r="B171" s="119" t="s">
        <v>4482</v>
      </c>
      <c r="C171" s="119" t="s">
        <v>5414</v>
      </c>
      <c r="D171" s="119" t="s">
        <v>5415</v>
      </c>
      <c r="E171" s="119" t="s">
        <v>35</v>
      </c>
      <c r="F171" s="119" t="s">
        <v>5416</v>
      </c>
      <c r="G171" s="120">
        <v>58</v>
      </c>
      <c r="H171" s="121">
        <v>0.35799999999999998</v>
      </c>
      <c r="I171" s="118">
        <v>227800</v>
      </c>
      <c r="J171" s="118"/>
      <c r="K171" s="134"/>
      <c r="L171" s="130">
        <v>0</v>
      </c>
    </row>
    <row r="172" spans="1:12" ht="15" customHeight="1" x14ac:dyDescent="0.3">
      <c r="A172" s="124">
        <v>164</v>
      </c>
      <c r="B172" s="125" t="s">
        <v>4482</v>
      </c>
      <c r="C172" s="125" t="s">
        <v>5417</v>
      </c>
      <c r="D172" s="125" t="s">
        <v>5418</v>
      </c>
      <c r="E172" s="125" t="s">
        <v>5419</v>
      </c>
      <c r="F172" s="125" t="s">
        <v>5420</v>
      </c>
      <c r="G172" s="126">
        <v>520</v>
      </c>
      <c r="H172" s="127">
        <v>3.5</v>
      </c>
      <c r="I172" s="124">
        <v>253000</v>
      </c>
      <c r="J172" s="124"/>
      <c r="K172" s="133"/>
      <c r="L172" s="131">
        <v>0</v>
      </c>
    </row>
    <row r="173" spans="1:12" ht="15" customHeight="1" x14ac:dyDescent="0.3">
      <c r="A173" s="118">
        <v>165</v>
      </c>
      <c r="B173" s="119" t="s">
        <v>4482</v>
      </c>
      <c r="C173" s="119" t="s">
        <v>5421</v>
      </c>
      <c r="D173" s="119" t="s">
        <v>5422</v>
      </c>
      <c r="E173" s="119" t="s">
        <v>5423</v>
      </c>
      <c r="F173" s="119" t="s">
        <v>4754</v>
      </c>
      <c r="G173" s="120">
        <v>460</v>
      </c>
      <c r="H173" s="121">
        <v>0.77</v>
      </c>
      <c r="I173" s="118">
        <v>255800</v>
      </c>
      <c r="J173" s="118"/>
      <c r="K173" s="134"/>
      <c r="L173" s="130">
        <v>0</v>
      </c>
    </row>
    <row r="174" spans="1:12" ht="15" customHeight="1" x14ac:dyDescent="0.3">
      <c r="A174" s="124">
        <v>166</v>
      </c>
      <c r="B174" s="125" t="s">
        <v>4482</v>
      </c>
      <c r="C174" s="125" t="s">
        <v>5424</v>
      </c>
      <c r="D174" s="125" t="s">
        <v>5425</v>
      </c>
      <c r="E174" s="125" t="s">
        <v>5426</v>
      </c>
      <c r="F174" s="125" t="s">
        <v>5427</v>
      </c>
      <c r="G174" s="126">
        <v>154</v>
      </c>
      <c r="H174" s="127">
        <v>0.47</v>
      </c>
      <c r="I174" s="124">
        <v>171800</v>
      </c>
      <c r="J174" s="124"/>
      <c r="K174" s="133"/>
      <c r="L174" s="131">
        <v>0</v>
      </c>
    </row>
    <row r="175" spans="1:12" ht="15" customHeight="1" x14ac:dyDescent="0.3">
      <c r="A175" s="118">
        <v>167</v>
      </c>
      <c r="B175" s="119" t="s">
        <v>4482</v>
      </c>
      <c r="C175" s="119" t="s">
        <v>5400</v>
      </c>
      <c r="D175" s="119" t="s">
        <v>5428</v>
      </c>
      <c r="E175" s="119" t="s">
        <v>5429</v>
      </c>
      <c r="F175" s="119" t="s">
        <v>5430</v>
      </c>
      <c r="G175" s="120">
        <v>223.4</v>
      </c>
      <c r="H175" s="121">
        <v>1.21</v>
      </c>
      <c r="I175" s="118">
        <v>254800</v>
      </c>
      <c r="J175" s="118"/>
      <c r="K175" s="134"/>
      <c r="L175" s="130">
        <v>0</v>
      </c>
    </row>
    <row r="176" spans="1:12" ht="15" customHeight="1" x14ac:dyDescent="0.3">
      <c r="A176" s="124">
        <v>168</v>
      </c>
      <c r="B176" s="125" t="s">
        <v>4482</v>
      </c>
      <c r="C176" s="125" t="s">
        <v>5431</v>
      </c>
      <c r="D176" s="125" t="s">
        <v>5432</v>
      </c>
      <c r="E176" s="125" t="s">
        <v>2820</v>
      </c>
      <c r="F176" s="125" t="s">
        <v>5377</v>
      </c>
      <c r="G176" s="126">
        <v>4540.3999999999996</v>
      </c>
      <c r="H176" s="127">
        <v>8.0540000000000003</v>
      </c>
      <c r="I176" s="124">
        <v>383000</v>
      </c>
      <c r="J176" s="124"/>
      <c r="K176" s="133"/>
      <c r="L176" s="131">
        <v>0</v>
      </c>
    </row>
    <row r="177" spans="1:12" ht="15" customHeight="1" x14ac:dyDescent="0.3">
      <c r="A177" s="118">
        <v>169</v>
      </c>
      <c r="B177" s="119" t="s">
        <v>5291</v>
      </c>
      <c r="C177" s="119" t="s">
        <v>5433</v>
      </c>
      <c r="D177" s="119" t="s">
        <v>2608</v>
      </c>
      <c r="E177" s="119" t="s">
        <v>55</v>
      </c>
      <c r="F177" s="119" t="s">
        <v>5434</v>
      </c>
      <c r="G177" s="120">
        <v>1185</v>
      </c>
      <c r="H177" s="121">
        <v>1.97</v>
      </c>
      <c r="I177" s="118">
        <v>309000</v>
      </c>
      <c r="J177" s="118"/>
      <c r="K177" s="134"/>
      <c r="L177" s="130">
        <v>0</v>
      </c>
    </row>
    <row r="178" spans="1:12" ht="15" customHeight="1" x14ac:dyDescent="0.3">
      <c r="A178" s="124">
        <v>170</v>
      </c>
      <c r="B178" s="125" t="s">
        <v>5291</v>
      </c>
      <c r="C178" s="125" t="s">
        <v>5435</v>
      </c>
      <c r="D178" s="125" t="s">
        <v>3618</v>
      </c>
      <c r="E178" s="125" t="s">
        <v>35</v>
      </c>
      <c r="F178" s="125" t="s">
        <v>5436</v>
      </c>
      <c r="G178" s="126">
        <v>2381</v>
      </c>
      <c r="H178" s="127">
        <v>0.91300000000000003</v>
      </c>
      <c r="I178" s="124">
        <v>331800</v>
      </c>
      <c r="J178" s="124"/>
      <c r="K178" s="133"/>
      <c r="L178" s="131">
        <v>0</v>
      </c>
    </row>
    <row r="179" spans="1:12" ht="15" customHeight="1" x14ac:dyDescent="0.3">
      <c r="A179" s="118">
        <v>171</v>
      </c>
      <c r="B179" s="119" t="s">
        <v>5291</v>
      </c>
      <c r="C179" s="119" t="s">
        <v>5437</v>
      </c>
      <c r="D179" s="119" t="s">
        <v>1516</v>
      </c>
      <c r="E179" s="119" t="s">
        <v>5042</v>
      </c>
      <c r="F179" s="119" t="s">
        <v>5416</v>
      </c>
      <c r="G179" s="120">
        <v>1791</v>
      </c>
      <c r="H179" s="121">
        <v>0.82099999999999995</v>
      </c>
      <c r="I179" s="118">
        <v>311800</v>
      </c>
      <c r="J179" s="118"/>
      <c r="K179" s="134"/>
      <c r="L179" s="130">
        <v>0</v>
      </c>
    </row>
    <row r="180" spans="1:12" ht="15" customHeight="1" x14ac:dyDescent="0.3">
      <c r="A180" s="124">
        <v>172</v>
      </c>
      <c r="B180" s="125" t="s">
        <v>5291</v>
      </c>
      <c r="C180" s="125" t="s">
        <v>5438</v>
      </c>
      <c r="D180" s="125" t="s">
        <v>5439</v>
      </c>
      <c r="E180" s="125" t="s">
        <v>35</v>
      </c>
      <c r="F180" s="125" t="s">
        <v>674</v>
      </c>
      <c r="G180" s="126">
        <v>483</v>
      </c>
      <c r="H180" s="127">
        <v>1.36</v>
      </c>
      <c r="I180" s="124">
        <v>311800</v>
      </c>
      <c r="J180" s="124"/>
      <c r="K180" s="133"/>
      <c r="L180" s="131">
        <v>0</v>
      </c>
    </row>
    <row r="181" spans="1:12" ht="15" customHeight="1" x14ac:dyDescent="0.3">
      <c r="A181" s="118">
        <v>173</v>
      </c>
      <c r="B181" s="119" t="s">
        <v>5291</v>
      </c>
      <c r="C181" s="119" t="s">
        <v>5440</v>
      </c>
      <c r="D181" s="119" t="s">
        <v>5441</v>
      </c>
      <c r="E181" s="119" t="s">
        <v>5442</v>
      </c>
      <c r="F181" s="119" t="s">
        <v>5416</v>
      </c>
      <c r="G181" s="120">
        <v>793</v>
      </c>
      <c r="H181" s="121">
        <v>1.421</v>
      </c>
      <c r="I181" s="118">
        <v>283800</v>
      </c>
      <c r="J181" s="118"/>
      <c r="K181" s="134"/>
      <c r="L181" s="130">
        <v>0</v>
      </c>
    </row>
    <row r="182" spans="1:12" ht="15" customHeight="1" x14ac:dyDescent="0.3">
      <c r="A182" s="124">
        <v>174</v>
      </c>
      <c r="B182" s="125" t="s">
        <v>5291</v>
      </c>
      <c r="C182" s="125" t="s">
        <v>5443</v>
      </c>
      <c r="D182" s="125" t="s">
        <v>5444</v>
      </c>
      <c r="E182" s="125" t="s">
        <v>5445</v>
      </c>
      <c r="F182" s="125" t="s">
        <v>5377</v>
      </c>
      <c r="G182" s="126">
        <v>600</v>
      </c>
      <c r="H182" s="127">
        <v>5.6020000000000003</v>
      </c>
      <c r="I182" s="124">
        <v>331800</v>
      </c>
      <c r="J182" s="124"/>
      <c r="K182" s="133"/>
      <c r="L182" s="131">
        <v>0</v>
      </c>
    </row>
    <row r="183" spans="1:12" ht="15" customHeight="1" x14ac:dyDescent="0.3">
      <c r="A183" s="118">
        <v>175</v>
      </c>
      <c r="B183" s="119" t="s">
        <v>5291</v>
      </c>
      <c r="C183" s="119" t="s">
        <v>5446</v>
      </c>
      <c r="D183" s="119" t="s">
        <v>5447</v>
      </c>
      <c r="E183" s="119" t="s">
        <v>5423</v>
      </c>
      <c r="F183" s="119" t="s">
        <v>5434</v>
      </c>
      <c r="G183" s="120">
        <v>235.87</v>
      </c>
      <c r="H183" s="121">
        <v>1.032</v>
      </c>
      <c r="I183" s="118">
        <v>311800</v>
      </c>
      <c r="J183" s="118"/>
      <c r="K183" s="134"/>
      <c r="L183" s="130">
        <v>0</v>
      </c>
    </row>
    <row r="184" spans="1:12" ht="15" customHeight="1" x14ac:dyDescent="0.3">
      <c r="A184" s="124">
        <v>176</v>
      </c>
      <c r="B184" s="125" t="s">
        <v>5291</v>
      </c>
      <c r="C184" s="125" t="s">
        <v>5448</v>
      </c>
      <c r="D184" s="125" t="s">
        <v>5449</v>
      </c>
      <c r="E184" s="125" t="s">
        <v>2820</v>
      </c>
      <c r="F184" s="125" t="s">
        <v>5408</v>
      </c>
      <c r="G184" s="126">
        <v>2704.5830000000001</v>
      </c>
      <c r="H184" s="127">
        <v>5.4720000000000004</v>
      </c>
      <c r="I184" s="124">
        <v>383000</v>
      </c>
      <c r="J184" s="124"/>
      <c r="K184" s="133"/>
      <c r="L184" s="131">
        <v>0</v>
      </c>
    </row>
    <row r="185" spans="1:12" ht="15" customHeight="1" x14ac:dyDescent="0.3">
      <c r="A185" s="118">
        <v>177</v>
      </c>
      <c r="B185" s="119" t="s">
        <v>5291</v>
      </c>
      <c r="C185" s="119" t="s">
        <v>5450</v>
      </c>
      <c r="D185" s="119" t="s">
        <v>5451</v>
      </c>
      <c r="E185" s="119" t="s">
        <v>5452</v>
      </c>
      <c r="F185" s="119" t="s">
        <v>5416</v>
      </c>
      <c r="G185" s="120">
        <v>295</v>
      </c>
      <c r="H185" s="121">
        <v>0.52800000000000002</v>
      </c>
      <c r="I185" s="118">
        <v>255800</v>
      </c>
      <c r="J185" s="118"/>
      <c r="K185" s="134"/>
      <c r="L185" s="130">
        <v>0</v>
      </c>
    </row>
    <row r="186" spans="1:12" ht="15" customHeight="1" x14ac:dyDescent="0.3">
      <c r="A186" s="124">
        <v>178</v>
      </c>
      <c r="B186" s="125" t="s">
        <v>5291</v>
      </c>
      <c r="C186" s="125" t="s">
        <v>5453</v>
      </c>
      <c r="D186" s="125" t="s">
        <v>5454</v>
      </c>
      <c r="E186" s="125" t="s">
        <v>5455</v>
      </c>
      <c r="F186" s="125" t="s">
        <v>5456</v>
      </c>
      <c r="G186" s="126">
        <v>1331</v>
      </c>
      <c r="H186" s="127">
        <v>9.08</v>
      </c>
      <c r="I186" s="124">
        <v>385800</v>
      </c>
      <c r="J186" s="124"/>
      <c r="K186" s="133"/>
      <c r="L186" s="131">
        <v>0</v>
      </c>
    </row>
    <row r="187" spans="1:12" ht="15" customHeight="1" x14ac:dyDescent="0.3">
      <c r="A187" s="118">
        <v>179</v>
      </c>
      <c r="B187" s="119" t="s">
        <v>1059</v>
      </c>
      <c r="C187" s="119" t="s">
        <v>5457</v>
      </c>
      <c r="D187" s="119" t="s">
        <v>5458</v>
      </c>
      <c r="E187" s="119" t="s">
        <v>35</v>
      </c>
      <c r="F187" s="119" t="s">
        <v>306</v>
      </c>
      <c r="G187" s="120">
        <v>133</v>
      </c>
      <c r="H187" s="121">
        <v>0.27800000000000002</v>
      </c>
      <c r="I187" s="118">
        <v>227800</v>
      </c>
      <c r="J187" s="118"/>
      <c r="K187" s="134"/>
      <c r="L187" s="130">
        <v>0</v>
      </c>
    </row>
    <row r="188" spans="1:12" ht="15" customHeight="1" x14ac:dyDescent="0.3">
      <c r="A188" s="124">
        <v>180</v>
      </c>
      <c r="B188" s="125" t="s">
        <v>1059</v>
      </c>
      <c r="C188" s="125" t="s">
        <v>5459</v>
      </c>
      <c r="D188" s="125" t="s">
        <v>52</v>
      </c>
      <c r="E188" s="125" t="s">
        <v>35</v>
      </c>
      <c r="F188" s="125" t="s">
        <v>5408</v>
      </c>
      <c r="G188" s="126">
        <v>3325</v>
      </c>
      <c r="H188" s="127">
        <v>6.1840000000000002</v>
      </c>
      <c r="I188" s="124">
        <v>385800</v>
      </c>
      <c r="J188" s="124"/>
      <c r="K188" s="133"/>
      <c r="L188" s="131">
        <v>0</v>
      </c>
    </row>
    <row r="189" spans="1:12" ht="15" customHeight="1" x14ac:dyDescent="0.3">
      <c r="A189" s="118">
        <v>181</v>
      </c>
      <c r="B189" s="119" t="s">
        <v>1059</v>
      </c>
      <c r="C189" s="119" t="s">
        <v>5460</v>
      </c>
      <c r="D189" s="119" t="s">
        <v>5461</v>
      </c>
      <c r="E189" s="119" t="s">
        <v>35</v>
      </c>
      <c r="F189" s="119" t="s">
        <v>5462</v>
      </c>
      <c r="G189" s="120">
        <v>2998</v>
      </c>
      <c r="H189" s="121">
        <v>1.867</v>
      </c>
      <c r="I189" s="118">
        <v>331800</v>
      </c>
      <c r="J189" s="118"/>
      <c r="K189" s="134"/>
      <c r="L189" s="130">
        <v>0</v>
      </c>
    </row>
    <row r="190" spans="1:12" ht="15" customHeight="1" x14ac:dyDescent="0.3">
      <c r="A190" s="124">
        <v>182</v>
      </c>
      <c r="B190" s="125" t="s">
        <v>1059</v>
      </c>
      <c r="C190" s="125" t="s">
        <v>5463</v>
      </c>
      <c r="D190" s="125" t="s">
        <v>178</v>
      </c>
      <c r="E190" s="125" t="s">
        <v>35</v>
      </c>
      <c r="F190" s="125" t="s">
        <v>306</v>
      </c>
      <c r="G190" s="126">
        <v>327</v>
      </c>
      <c r="H190" s="127">
        <v>0.34599999999999997</v>
      </c>
      <c r="I190" s="124">
        <v>255800</v>
      </c>
      <c r="J190" s="124"/>
      <c r="K190" s="133"/>
      <c r="L190" s="131">
        <v>0</v>
      </c>
    </row>
    <row r="191" spans="1:12" ht="15" customHeight="1" x14ac:dyDescent="0.3">
      <c r="A191" s="118">
        <v>183</v>
      </c>
      <c r="B191" s="119" t="s">
        <v>1059</v>
      </c>
      <c r="C191" s="119" t="s">
        <v>5464</v>
      </c>
      <c r="D191" s="119" t="s">
        <v>5465</v>
      </c>
      <c r="E191" s="119" t="s">
        <v>4209</v>
      </c>
      <c r="F191" s="119" t="s">
        <v>5408</v>
      </c>
      <c r="G191" s="120">
        <v>1444.2</v>
      </c>
      <c r="H191" s="121">
        <v>6.5860000000000003</v>
      </c>
      <c r="I191" s="118">
        <v>385800</v>
      </c>
      <c r="J191" s="118"/>
      <c r="K191" s="134"/>
      <c r="L191" s="130">
        <v>0</v>
      </c>
    </row>
    <row r="192" spans="1:12" ht="15" customHeight="1" x14ac:dyDescent="0.3">
      <c r="A192" s="124">
        <v>184</v>
      </c>
      <c r="B192" s="125" t="s">
        <v>1059</v>
      </c>
      <c r="C192" s="125" t="s">
        <v>5466</v>
      </c>
      <c r="D192" s="125" t="s">
        <v>5467</v>
      </c>
      <c r="E192" s="125" t="s">
        <v>5468</v>
      </c>
      <c r="F192" s="125" t="s">
        <v>5434</v>
      </c>
      <c r="G192" s="126">
        <v>1655</v>
      </c>
      <c r="H192" s="127">
        <v>2.78</v>
      </c>
      <c r="I192" s="124">
        <v>253000</v>
      </c>
      <c r="J192" s="124"/>
      <c r="K192" s="133"/>
      <c r="L192" s="131">
        <v>0</v>
      </c>
    </row>
    <row r="193" spans="1:12" ht="15" customHeight="1" x14ac:dyDescent="0.3">
      <c r="A193" s="118">
        <v>185</v>
      </c>
      <c r="B193" s="119" t="s">
        <v>1059</v>
      </c>
      <c r="C193" s="119" t="s">
        <v>5469</v>
      </c>
      <c r="D193" s="119" t="s">
        <v>5470</v>
      </c>
      <c r="E193" s="119" t="s">
        <v>2820</v>
      </c>
      <c r="F193" s="119" t="s">
        <v>5434</v>
      </c>
      <c r="G193" s="120">
        <v>1115.5</v>
      </c>
      <c r="H193" s="121">
        <v>2.5129999999999999</v>
      </c>
      <c r="I193" s="118">
        <v>329000</v>
      </c>
      <c r="J193" s="118"/>
      <c r="K193" s="134"/>
      <c r="L193" s="130">
        <v>0</v>
      </c>
    </row>
    <row r="194" spans="1:12" ht="15" customHeight="1" x14ac:dyDescent="0.3">
      <c r="A194" s="124">
        <v>186</v>
      </c>
      <c r="B194" s="125" t="s">
        <v>1059</v>
      </c>
      <c r="C194" s="125" t="s">
        <v>5471</v>
      </c>
      <c r="D194" s="125" t="s">
        <v>5472</v>
      </c>
      <c r="E194" s="125" t="s">
        <v>5473</v>
      </c>
      <c r="F194" s="125" t="s">
        <v>674</v>
      </c>
      <c r="G194" s="126">
        <v>6570</v>
      </c>
      <c r="H194" s="127">
        <v>4.0090000000000003</v>
      </c>
      <c r="I194" s="124">
        <v>383000</v>
      </c>
      <c r="J194" s="124"/>
      <c r="K194" s="133"/>
      <c r="L194" s="131">
        <v>0</v>
      </c>
    </row>
    <row r="195" spans="1:12" ht="15" customHeight="1" x14ac:dyDescent="0.3">
      <c r="A195" s="118">
        <v>187</v>
      </c>
      <c r="B195" s="119" t="s">
        <v>1059</v>
      </c>
      <c r="C195" s="119" t="s">
        <v>5474</v>
      </c>
      <c r="D195" s="119" t="s">
        <v>5475</v>
      </c>
      <c r="E195" s="119" t="s">
        <v>4490</v>
      </c>
      <c r="F195" s="119" t="s">
        <v>5476</v>
      </c>
      <c r="G195" s="120">
        <v>3060</v>
      </c>
      <c r="H195" s="121">
        <v>3</v>
      </c>
      <c r="I195" s="118">
        <v>329000</v>
      </c>
      <c r="J195" s="118"/>
      <c r="K195" s="134"/>
      <c r="L195" s="130">
        <v>0</v>
      </c>
    </row>
    <row r="196" spans="1:12" ht="15" customHeight="1" x14ac:dyDescent="0.3">
      <c r="A196" s="124">
        <v>188</v>
      </c>
      <c r="B196" s="125" t="s">
        <v>1059</v>
      </c>
      <c r="C196" s="125" t="s">
        <v>5477</v>
      </c>
      <c r="D196" s="125" t="s">
        <v>5478</v>
      </c>
      <c r="E196" s="125" t="s">
        <v>5479</v>
      </c>
      <c r="F196" s="125" t="s">
        <v>1314</v>
      </c>
      <c r="G196" s="126">
        <v>952</v>
      </c>
      <c r="H196" s="127">
        <v>2.2480000000000002</v>
      </c>
      <c r="I196" s="124">
        <v>331800</v>
      </c>
      <c r="J196" s="124"/>
      <c r="K196" s="133"/>
      <c r="L196" s="131">
        <v>0</v>
      </c>
    </row>
    <row r="197" spans="1:12" ht="15" customHeight="1" x14ac:dyDescent="0.3">
      <c r="A197" s="118">
        <v>189</v>
      </c>
      <c r="B197" s="119" t="s">
        <v>5291</v>
      </c>
      <c r="C197" s="119" t="s">
        <v>5699</v>
      </c>
      <c r="D197" s="119" t="s">
        <v>5481</v>
      </c>
      <c r="E197" s="119" t="s">
        <v>5482</v>
      </c>
      <c r="F197" s="119" t="s">
        <v>4343</v>
      </c>
      <c r="G197" s="120">
        <v>5510.4</v>
      </c>
      <c r="H197" s="121">
        <v>10.32</v>
      </c>
      <c r="I197" s="118">
        <v>439800</v>
      </c>
      <c r="J197" s="118"/>
      <c r="K197" s="134"/>
      <c r="L197" s="130">
        <v>0</v>
      </c>
    </row>
    <row r="198" spans="1:12" ht="15" customHeight="1" x14ac:dyDescent="0.3">
      <c r="A198" s="124">
        <v>190</v>
      </c>
      <c r="B198" s="125" t="s">
        <v>5291</v>
      </c>
      <c r="C198" s="125" t="s">
        <v>5700</v>
      </c>
      <c r="D198" s="125" t="s">
        <v>2850</v>
      </c>
      <c r="E198" s="125" t="s">
        <v>57</v>
      </c>
      <c r="F198" s="125" t="s">
        <v>1031</v>
      </c>
      <c r="G198" s="126">
        <v>293</v>
      </c>
      <c r="H198" s="127">
        <v>5.5650000000000004</v>
      </c>
      <c r="I198" s="124">
        <v>356000</v>
      </c>
      <c r="J198" s="124"/>
      <c r="K198" s="133"/>
      <c r="L198" s="131">
        <v>0</v>
      </c>
    </row>
    <row r="199" spans="1:12" ht="15" customHeight="1" x14ac:dyDescent="0.3">
      <c r="A199" s="118">
        <v>191</v>
      </c>
      <c r="B199" s="119" t="s">
        <v>5291</v>
      </c>
      <c r="C199" s="119" t="s">
        <v>5701</v>
      </c>
      <c r="D199" s="119" t="s">
        <v>5485</v>
      </c>
      <c r="E199" s="119" t="s">
        <v>5486</v>
      </c>
      <c r="F199" s="119" t="s">
        <v>5275</v>
      </c>
      <c r="G199" s="120">
        <v>320</v>
      </c>
      <c r="H199" s="121">
        <v>4.8220000000000001</v>
      </c>
      <c r="I199" s="118">
        <v>311800</v>
      </c>
      <c r="J199" s="118"/>
      <c r="K199" s="134"/>
      <c r="L199" s="130">
        <v>0</v>
      </c>
    </row>
    <row r="200" spans="1:12" ht="15" customHeight="1" x14ac:dyDescent="0.3">
      <c r="A200" s="124">
        <v>192</v>
      </c>
      <c r="B200" s="125" t="s">
        <v>5291</v>
      </c>
      <c r="C200" s="125" t="s">
        <v>5702</v>
      </c>
      <c r="D200" s="125" t="s">
        <v>5488</v>
      </c>
      <c r="E200" s="125" t="s">
        <v>4147</v>
      </c>
      <c r="F200" s="125" t="s">
        <v>5275</v>
      </c>
      <c r="G200" s="126">
        <v>215.2</v>
      </c>
      <c r="H200" s="127">
        <v>0.72399999999999998</v>
      </c>
      <c r="I200" s="124">
        <v>227800</v>
      </c>
      <c r="J200" s="124"/>
      <c r="K200" s="133"/>
      <c r="L200" s="131">
        <v>0</v>
      </c>
    </row>
    <row r="201" spans="1:12" ht="15" customHeight="1" x14ac:dyDescent="0.3">
      <c r="A201" s="118">
        <v>193</v>
      </c>
      <c r="B201" s="119" t="s">
        <v>5291</v>
      </c>
      <c r="C201" s="119" t="s">
        <v>5703</v>
      </c>
      <c r="D201" s="119" t="s">
        <v>5490</v>
      </c>
      <c r="E201" s="119" t="s">
        <v>5491</v>
      </c>
      <c r="F201" s="119" t="s">
        <v>4343</v>
      </c>
      <c r="G201" s="120">
        <v>3108</v>
      </c>
      <c r="H201" s="121">
        <v>4.32</v>
      </c>
      <c r="I201" s="118">
        <v>309000</v>
      </c>
      <c r="J201" s="118"/>
      <c r="K201" s="134"/>
      <c r="L201" s="130">
        <v>0</v>
      </c>
    </row>
    <row r="202" spans="1:12" ht="15" customHeight="1" x14ac:dyDescent="0.3">
      <c r="A202" s="124">
        <v>194</v>
      </c>
      <c r="B202" s="125" t="s">
        <v>5291</v>
      </c>
      <c r="C202" s="125" t="s">
        <v>5704</v>
      </c>
      <c r="D202" s="125" t="s">
        <v>5493</v>
      </c>
      <c r="E202" s="125" t="s">
        <v>5494</v>
      </c>
      <c r="F202" s="125" t="s">
        <v>5495</v>
      </c>
      <c r="G202" s="126">
        <v>1132.5</v>
      </c>
      <c r="H202" s="127">
        <v>3.4319999999999999</v>
      </c>
      <c r="I202" s="124">
        <v>283800</v>
      </c>
      <c r="J202" s="124"/>
      <c r="K202" s="133"/>
      <c r="L202" s="131">
        <v>0</v>
      </c>
    </row>
    <row r="203" spans="1:12" ht="15" customHeight="1" x14ac:dyDescent="0.3">
      <c r="A203" s="118">
        <v>195</v>
      </c>
      <c r="B203" s="119" t="s">
        <v>5291</v>
      </c>
      <c r="C203" s="119" t="s">
        <v>5705</v>
      </c>
      <c r="D203" s="119" t="s">
        <v>5497</v>
      </c>
      <c r="E203" s="119" t="s">
        <v>37</v>
      </c>
      <c r="F203" s="119" t="s">
        <v>5498</v>
      </c>
      <c r="G203" s="120">
        <v>630</v>
      </c>
      <c r="H203" s="121">
        <v>0.72</v>
      </c>
      <c r="I203" s="118">
        <v>255800</v>
      </c>
      <c r="J203" s="118"/>
      <c r="K203" s="134"/>
      <c r="L203" s="130">
        <v>0</v>
      </c>
    </row>
    <row r="204" spans="1:12" x14ac:dyDescent="0.3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5"/>
      <c r="L204" s="132"/>
    </row>
    <row r="205" spans="1:12" x14ac:dyDescent="0.3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5"/>
      <c r="L205" s="132"/>
    </row>
    <row r="206" spans="1:12" x14ac:dyDescent="0.3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5"/>
      <c r="L206" s="132"/>
    </row>
    <row r="207" spans="1:12" x14ac:dyDescent="0.3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5"/>
      <c r="L207" s="132"/>
    </row>
    <row r="208" spans="1:12" x14ac:dyDescent="0.3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5"/>
      <c r="L208" s="132"/>
    </row>
    <row r="209" spans="1:12" x14ac:dyDescent="0.3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5"/>
      <c r="L209" s="132"/>
    </row>
    <row r="210" spans="1:12" x14ac:dyDescent="0.3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5"/>
      <c r="L210" s="132"/>
    </row>
    <row r="211" spans="1:12" x14ac:dyDescent="0.3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5"/>
      <c r="L211" s="132"/>
    </row>
    <row r="212" spans="1:12" x14ac:dyDescent="0.3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5"/>
      <c r="L212" s="132"/>
    </row>
    <row r="213" spans="1:12" x14ac:dyDescent="0.3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5"/>
      <c r="L213" s="132"/>
    </row>
    <row r="214" spans="1:12" x14ac:dyDescent="0.3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5"/>
      <c r="L214" s="132"/>
    </row>
    <row r="215" spans="1:12" x14ac:dyDescent="0.3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5"/>
      <c r="L215" s="132"/>
    </row>
    <row r="216" spans="1:12" x14ac:dyDescent="0.3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5"/>
      <c r="L216" s="132"/>
    </row>
    <row r="217" spans="1:12" x14ac:dyDescent="0.3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5"/>
      <c r="L217" s="132"/>
    </row>
    <row r="218" spans="1:12" x14ac:dyDescent="0.3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5"/>
      <c r="L218" s="132"/>
    </row>
    <row r="219" spans="1:12" x14ac:dyDescent="0.3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5"/>
      <c r="L219" s="132"/>
    </row>
    <row r="220" spans="1:12" x14ac:dyDescent="0.3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5"/>
      <c r="L220" s="132"/>
    </row>
    <row r="221" spans="1:12" x14ac:dyDescent="0.3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5"/>
      <c r="L221" s="132"/>
    </row>
    <row r="222" spans="1:12" x14ac:dyDescent="0.3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5"/>
      <c r="L222" s="132"/>
    </row>
    <row r="223" spans="1:12" x14ac:dyDescent="0.3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5"/>
      <c r="L223" s="132"/>
    </row>
    <row r="224" spans="1:12" x14ac:dyDescent="0.3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5"/>
      <c r="L224" s="132"/>
    </row>
    <row r="225" spans="1:12" x14ac:dyDescent="0.3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5"/>
      <c r="L225" s="132"/>
    </row>
    <row r="226" spans="1:12" x14ac:dyDescent="0.3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5"/>
      <c r="L226" s="132"/>
    </row>
    <row r="227" spans="1:12" x14ac:dyDescent="0.3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5"/>
      <c r="L227" s="132"/>
    </row>
    <row r="228" spans="1:12" x14ac:dyDescent="0.3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5"/>
      <c r="L228" s="132"/>
    </row>
    <row r="229" spans="1:12" x14ac:dyDescent="0.3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5"/>
      <c r="L229" s="132"/>
    </row>
    <row r="230" spans="1:12" x14ac:dyDescent="0.3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5"/>
      <c r="L230" s="132"/>
    </row>
    <row r="231" spans="1:12" x14ac:dyDescent="0.3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5"/>
      <c r="L231" s="132"/>
    </row>
    <row r="232" spans="1:12" x14ac:dyDescent="0.3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5"/>
      <c r="L232" s="132"/>
    </row>
    <row r="233" spans="1:12" x14ac:dyDescent="0.3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5"/>
      <c r="L233" s="132"/>
    </row>
    <row r="234" spans="1:12" x14ac:dyDescent="0.3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5"/>
      <c r="L234" s="132"/>
    </row>
    <row r="235" spans="1:12" x14ac:dyDescent="0.3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5"/>
      <c r="L235" s="132"/>
    </row>
    <row r="236" spans="1:12" x14ac:dyDescent="0.3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5"/>
      <c r="L236" s="132"/>
    </row>
    <row r="237" spans="1:12" x14ac:dyDescent="0.3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5"/>
      <c r="L237" s="132"/>
    </row>
    <row r="238" spans="1:12" x14ac:dyDescent="0.3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5"/>
      <c r="L238" s="132"/>
    </row>
    <row r="239" spans="1:12" x14ac:dyDescent="0.3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5"/>
      <c r="L239" s="132"/>
    </row>
    <row r="240" spans="1:12" x14ac:dyDescent="0.3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5"/>
      <c r="L240" s="132"/>
    </row>
    <row r="241" spans="1:12" x14ac:dyDescent="0.3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5"/>
      <c r="L241" s="132"/>
    </row>
    <row r="242" spans="1:12" x14ac:dyDescent="0.3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5"/>
      <c r="L242" s="132"/>
    </row>
    <row r="243" spans="1:12" x14ac:dyDescent="0.3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5"/>
      <c r="L243" s="132"/>
    </row>
    <row r="244" spans="1:12" x14ac:dyDescent="0.3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5"/>
      <c r="L244" s="132"/>
    </row>
    <row r="245" spans="1:12" x14ac:dyDescent="0.3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5"/>
      <c r="L245" s="132"/>
    </row>
    <row r="246" spans="1:12" x14ac:dyDescent="0.3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5"/>
      <c r="L246" s="132"/>
    </row>
    <row r="247" spans="1:12" x14ac:dyDescent="0.3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5"/>
      <c r="L247" s="132"/>
    </row>
    <row r="248" spans="1:12" x14ac:dyDescent="0.3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5"/>
      <c r="L248" s="132"/>
    </row>
    <row r="249" spans="1:12" x14ac:dyDescent="0.3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5"/>
      <c r="L249" s="132"/>
    </row>
    <row r="250" spans="1:12" x14ac:dyDescent="0.3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5"/>
      <c r="L250" s="132"/>
    </row>
    <row r="251" spans="1:12" x14ac:dyDescent="0.3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5"/>
      <c r="L251" s="132"/>
    </row>
    <row r="252" spans="1:12" x14ac:dyDescent="0.3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5"/>
      <c r="L252" s="132"/>
    </row>
    <row r="253" spans="1:12" x14ac:dyDescent="0.3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5"/>
      <c r="L253" s="132"/>
    </row>
    <row r="254" spans="1:12" x14ac:dyDescent="0.3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5"/>
      <c r="L254" s="132"/>
    </row>
    <row r="255" spans="1:12" x14ac:dyDescent="0.3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5"/>
      <c r="L255" s="132"/>
    </row>
    <row r="256" spans="1:12" x14ac:dyDescent="0.3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5"/>
      <c r="L256" s="132"/>
    </row>
    <row r="257" spans="1:12" x14ac:dyDescent="0.3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5"/>
      <c r="L257" s="132"/>
    </row>
    <row r="258" spans="1:12" x14ac:dyDescent="0.3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5"/>
      <c r="L258" s="132"/>
    </row>
    <row r="259" spans="1:12" x14ac:dyDescent="0.3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5"/>
      <c r="L259" s="132"/>
    </row>
    <row r="260" spans="1:12" x14ac:dyDescent="0.3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5"/>
      <c r="L260" s="132"/>
    </row>
    <row r="261" spans="1:12" x14ac:dyDescent="0.3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5"/>
      <c r="L261" s="132"/>
    </row>
    <row r="262" spans="1:12" x14ac:dyDescent="0.3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5"/>
      <c r="L262" s="132"/>
    </row>
    <row r="263" spans="1:12" x14ac:dyDescent="0.3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5"/>
      <c r="L263" s="132"/>
    </row>
    <row r="264" spans="1:12" x14ac:dyDescent="0.3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5"/>
      <c r="L264" s="132"/>
    </row>
    <row r="265" spans="1:12" x14ac:dyDescent="0.3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5"/>
      <c r="L265" s="132"/>
    </row>
    <row r="266" spans="1:12" x14ac:dyDescent="0.3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5"/>
      <c r="L266" s="132"/>
    </row>
    <row r="267" spans="1:12" x14ac:dyDescent="0.3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5"/>
      <c r="L267" s="132"/>
    </row>
    <row r="268" spans="1:12" x14ac:dyDescent="0.3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5"/>
      <c r="L268" s="132"/>
    </row>
    <row r="269" spans="1:12" x14ac:dyDescent="0.3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5"/>
      <c r="L269" s="132"/>
    </row>
    <row r="270" spans="1:12" x14ac:dyDescent="0.3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5"/>
      <c r="L270" s="132"/>
    </row>
    <row r="271" spans="1:12" x14ac:dyDescent="0.3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5"/>
      <c r="L271" s="132"/>
    </row>
    <row r="272" spans="1:12" x14ac:dyDescent="0.3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5"/>
      <c r="L272" s="132"/>
    </row>
    <row r="273" spans="1:12" x14ac:dyDescent="0.3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5"/>
      <c r="L273" s="132"/>
    </row>
    <row r="274" spans="1:12" x14ac:dyDescent="0.3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5"/>
      <c r="L274" s="132"/>
    </row>
    <row r="275" spans="1:12" x14ac:dyDescent="0.3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5"/>
      <c r="L275" s="132"/>
    </row>
    <row r="276" spans="1:12" x14ac:dyDescent="0.3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5"/>
      <c r="L276" s="132"/>
    </row>
    <row r="277" spans="1:12" x14ac:dyDescent="0.3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5"/>
      <c r="L277" s="132"/>
    </row>
    <row r="278" spans="1:12" x14ac:dyDescent="0.3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5"/>
      <c r="L278" s="132"/>
    </row>
    <row r="279" spans="1:12" x14ac:dyDescent="0.3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5"/>
      <c r="L279" s="132"/>
    </row>
    <row r="280" spans="1:12" x14ac:dyDescent="0.3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5"/>
      <c r="L280" s="132"/>
    </row>
    <row r="281" spans="1:12" x14ac:dyDescent="0.3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5"/>
      <c r="L281" s="132"/>
    </row>
    <row r="282" spans="1:12" x14ac:dyDescent="0.3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5"/>
      <c r="L282" s="132"/>
    </row>
    <row r="283" spans="1:12" x14ac:dyDescent="0.3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5"/>
      <c r="L283" s="132"/>
    </row>
    <row r="284" spans="1:12" x14ac:dyDescent="0.3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5"/>
      <c r="L284" s="132"/>
    </row>
    <row r="285" spans="1:12" x14ac:dyDescent="0.3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5"/>
      <c r="L285" s="132"/>
    </row>
    <row r="286" spans="1:12" x14ac:dyDescent="0.3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5"/>
      <c r="L286" s="132"/>
    </row>
    <row r="287" spans="1:12" x14ac:dyDescent="0.3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5"/>
      <c r="L287" s="132"/>
    </row>
    <row r="288" spans="1:12" x14ac:dyDescent="0.3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5"/>
      <c r="L288" s="132"/>
    </row>
    <row r="289" spans="1:12" x14ac:dyDescent="0.3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5"/>
      <c r="L289" s="132"/>
    </row>
    <row r="290" spans="1:12" x14ac:dyDescent="0.3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5"/>
      <c r="L290" s="132"/>
    </row>
    <row r="291" spans="1:12" x14ac:dyDescent="0.3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5"/>
      <c r="L291" s="132"/>
    </row>
    <row r="292" spans="1:12" x14ac:dyDescent="0.3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5"/>
      <c r="L292" s="132"/>
    </row>
    <row r="293" spans="1:12" x14ac:dyDescent="0.3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5"/>
      <c r="L293" s="132"/>
    </row>
    <row r="294" spans="1:12" x14ac:dyDescent="0.3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5"/>
      <c r="L294" s="132"/>
    </row>
    <row r="295" spans="1:12" x14ac:dyDescent="0.3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5"/>
      <c r="L295" s="132"/>
    </row>
    <row r="296" spans="1:12" x14ac:dyDescent="0.3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5"/>
      <c r="L296" s="132"/>
    </row>
    <row r="297" spans="1:12" x14ac:dyDescent="0.3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5"/>
      <c r="L297" s="132"/>
    </row>
    <row r="298" spans="1:12" x14ac:dyDescent="0.3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5"/>
      <c r="L298" s="132"/>
    </row>
    <row r="299" spans="1:12" x14ac:dyDescent="0.3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5"/>
      <c r="L299" s="132"/>
    </row>
    <row r="300" spans="1:12" x14ac:dyDescent="0.3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5"/>
      <c r="L300" s="132"/>
    </row>
    <row r="301" spans="1:12" x14ac:dyDescent="0.3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5"/>
      <c r="L301" s="132"/>
    </row>
    <row r="302" spans="1:12" x14ac:dyDescent="0.3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5"/>
      <c r="L302" s="132"/>
    </row>
    <row r="303" spans="1:12" x14ac:dyDescent="0.3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5"/>
      <c r="L303" s="132"/>
    </row>
    <row r="304" spans="1:12" x14ac:dyDescent="0.3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5"/>
      <c r="L304" s="132"/>
    </row>
    <row r="305" spans="1:12" x14ac:dyDescent="0.3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5"/>
      <c r="L305" s="132"/>
    </row>
    <row r="306" spans="1:12" x14ac:dyDescent="0.3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5"/>
      <c r="L306" s="132"/>
    </row>
    <row r="307" spans="1:12" x14ac:dyDescent="0.3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5"/>
      <c r="L307" s="132"/>
    </row>
    <row r="308" spans="1:12" x14ac:dyDescent="0.3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5"/>
      <c r="L308" s="132"/>
    </row>
    <row r="309" spans="1:12" x14ac:dyDescent="0.3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5"/>
      <c r="L309" s="132"/>
    </row>
    <row r="310" spans="1:12" x14ac:dyDescent="0.3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5"/>
      <c r="L310" s="132"/>
    </row>
    <row r="311" spans="1:12" x14ac:dyDescent="0.3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5"/>
      <c r="L311" s="132"/>
    </row>
    <row r="312" spans="1:12" x14ac:dyDescent="0.3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5"/>
      <c r="L312" s="132"/>
    </row>
    <row r="313" spans="1:12" x14ac:dyDescent="0.3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5"/>
      <c r="L313" s="132"/>
    </row>
    <row r="314" spans="1:12" x14ac:dyDescent="0.3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5"/>
      <c r="L314" s="132"/>
    </row>
    <row r="315" spans="1:12" x14ac:dyDescent="0.3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5"/>
      <c r="L315" s="132"/>
    </row>
    <row r="316" spans="1:12" x14ac:dyDescent="0.3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5"/>
      <c r="L316" s="132"/>
    </row>
    <row r="317" spans="1:12" x14ac:dyDescent="0.3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5"/>
      <c r="L317" s="132"/>
    </row>
    <row r="318" spans="1:12" x14ac:dyDescent="0.3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5"/>
      <c r="L318" s="132"/>
    </row>
    <row r="319" spans="1:12" x14ac:dyDescent="0.3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5"/>
      <c r="L319" s="132"/>
    </row>
    <row r="320" spans="1:12" x14ac:dyDescent="0.3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5"/>
      <c r="L320" s="132"/>
    </row>
    <row r="321" spans="1:12" x14ac:dyDescent="0.3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5"/>
      <c r="L321" s="132"/>
    </row>
    <row r="322" spans="1:12" x14ac:dyDescent="0.3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</row>
    <row r="323" spans="1:12" x14ac:dyDescent="0.3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</row>
    <row r="324" spans="1:12" x14ac:dyDescent="0.3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</row>
    <row r="325" spans="1:12" x14ac:dyDescent="0.3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</row>
    <row r="326" spans="1:12" x14ac:dyDescent="0.3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</row>
    <row r="327" spans="1:12" x14ac:dyDescent="0.3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</row>
    <row r="328" spans="1:12" x14ac:dyDescent="0.3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</row>
    <row r="329" spans="1:12" x14ac:dyDescent="0.3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</row>
    <row r="330" spans="1:12" x14ac:dyDescent="0.3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</row>
    <row r="331" spans="1:12" x14ac:dyDescent="0.3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</row>
    <row r="332" spans="1:12" x14ac:dyDescent="0.3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</row>
    <row r="333" spans="1:12" x14ac:dyDescent="0.3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</row>
    <row r="334" spans="1:12" x14ac:dyDescent="0.3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</row>
    <row r="335" spans="1:12" x14ac:dyDescent="0.3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</row>
    <row r="336" spans="1:12" x14ac:dyDescent="0.3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</row>
    <row r="337" spans="1:12" x14ac:dyDescent="0.3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</row>
    <row r="338" spans="1:12" x14ac:dyDescent="0.3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</row>
    <row r="339" spans="1:12" x14ac:dyDescent="0.3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</row>
    <row r="340" spans="1:12" x14ac:dyDescent="0.3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</row>
    <row r="341" spans="1:12" x14ac:dyDescent="0.3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</row>
    <row r="342" spans="1:12" x14ac:dyDescent="0.3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</row>
    <row r="343" spans="1:12" x14ac:dyDescent="0.3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</row>
    <row r="344" spans="1:12" x14ac:dyDescent="0.3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</row>
    <row r="345" spans="1:12" x14ac:dyDescent="0.3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</row>
    <row r="346" spans="1:12" x14ac:dyDescent="0.3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</row>
    <row r="347" spans="1:12" x14ac:dyDescent="0.3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</row>
    <row r="348" spans="1:12" x14ac:dyDescent="0.3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</row>
    <row r="349" spans="1:12" x14ac:dyDescent="0.3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</row>
    <row r="350" spans="1:12" x14ac:dyDescent="0.3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</row>
    <row r="351" spans="1:12" x14ac:dyDescent="0.3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</row>
    <row r="352" spans="1:12" x14ac:dyDescent="0.3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</row>
    <row r="353" spans="1:12" x14ac:dyDescent="0.3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</row>
    <row r="354" spans="1:12" x14ac:dyDescent="0.3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</row>
    <row r="355" spans="1:12" x14ac:dyDescent="0.3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</row>
    <row r="356" spans="1:12" x14ac:dyDescent="0.3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</row>
    <row r="357" spans="1:12" x14ac:dyDescent="0.3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</row>
    <row r="358" spans="1:12" x14ac:dyDescent="0.3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</row>
    <row r="359" spans="1:12" x14ac:dyDescent="0.3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</row>
    <row r="360" spans="1:12" x14ac:dyDescent="0.3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</row>
    <row r="361" spans="1:12" x14ac:dyDescent="0.3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</row>
    <row r="362" spans="1:12" x14ac:dyDescent="0.3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</row>
    <row r="363" spans="1:12" x14ac:dyDescent="0.3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</row>
    <row r="364" spans="1:12" x14ac:dyDescent="0.3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</row>
    <row r="365" spans="1:12" x14ac:dyDescent="0.3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</row>
    <row r="366" spans="1:12" x14ac:dyDescent="0.3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</row>
    <row r="367" spans="1:12" x14ac:dyDescent="0.3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</row>
    <row r="368" spans="1:12" x14ac:dyDescent="0.3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</row>
    <row r="369" spans="1:12" x14ac:dyDescent="0.3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</row>
    <row r="370" spans="1:12" x14ac:dyDescent="0.3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</row>
    <row r="371" spans="1:12" x14ac:dyDescent="0.3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</row>
    <row r="372" spans="1:12" x14ac:dyDescent="0.3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</row>
    <row r="373" spans="1:12" x14ac:dyDescent="0.3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</row>
    <row r="374" spans="1:12" x14ac:dyDescent="0.3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</row>
    <row r="375" spans="1:12" x14ac:dyDescent="0.3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</row>
    <row r="376" spans="1:12" x14ac:dyDescent="0.3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</row>
    <row r="377" spans="1:12" x14ac:dyDescent="0.3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</row>
    <row r="378" spans="1:12" x14ac:dyDescent="0.3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</row>
    <row r="379" spans="1:12" x14ac:dyDescent="0.3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</row>
    <row r="380" spans="1:12" x14ac:dyDescent="0.3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</row>
    <row r="381" spans="1:12" x14ac:dyDescent="0.3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</row>
    <row r="382" spans="1:12" x14ac:dyDescent="0.3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</row>
    <row r="383" spans="1:12" x14ac:dyDescent="0.3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</row>
    <row r="384" spans="1:12" x14ac:dyDescent="0.3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</row>
    <row r="385" spans="1:12" x14ac:dyDescent="0.3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</row>
    <row r="386" spans="1:12" x14ac:dyDescent="0.3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</row>
    <row r="387" spans="1:12" x14ac:dyDescent="0.3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</row>
    <row r="388" spans="1:12" x14ac:dyDescent="0.3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</row>
    <row r="389" spans="1:12" x14ac:dyDescent="0.3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</row>
    <row r="390" spans="1:12" x14ac:dyDescent="0.3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</row>
    <row r="391" spans="1:12" x14ac:dyDescent="0.3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</row>
    <row r="392" spans="1:12" x14ac:dyDescent="0.3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</row>
    <row r="393" spans="1:12" x14ac:dyDescent="0.3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</row>
    <row r="394" spans="1:12" x14ac:dyDescent="0.3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</row>
    <row r="395" spans="1:12" x14ac:dyDescent="0.3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</row>
    <row r="396" spans="1:12" x14ac:dyDescent="0.3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</row>
    <row r="397" spans="1:12" x14ac:dyDescent="0.3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</row>
    <row r="398" spans="1:12" x14ac:dyDescent="0.3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</row>
    <row r="399" spans="1:12" x14ac:dyDescent="0.3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</row>
    <row r="400" spans="1:12" x14ac:dyDescent="0.3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</row>
    <row r="401" spans="1:12" x14ac:dyDescent="0.3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</row>
    <row r="402" spans="1:12" x14ac:dyDescent="0.3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</row>
    <row r="403" spans="1:12" x14ac:dyDescent="0.3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</row>
    <row r="404" spans="1:12" x14ac:dyDescent="0.3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</row>
    <row r="405" spans="1:12" x14ac:dyDescent="0.3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</row>
    <row r="406" spans="1:12" x14ac:dyDescent="0.3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</row>
    <row r="407" spans="1:12" x14ac:dyDescent="0.3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</row>
    <row r="408" spans="1:12" x14ac:dyDescent="0.3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</row>
    <row r="409" spans="1:12" x14ac:dyDescent="0.3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</row>
    <row r="410" spans="1:12" x14ac:dyDescent="0.3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</row>
    <row r="411" spans="1:12" x14ac:dyDescent="0.3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</row>
    <row r="412" spans="1:12" x14ac:dyDescent="0.3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</row>
    <row r="413" spans="1:12" x14ac:dyDescent="0.3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</row>
    <row r="414" spans="1:12" x14ac:dyDescent="0.3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</row>
    <row r="415" spans="1:12" x14ac:dyDescent="0.3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</row>
    <row r="416" spans="1:12" x14ac:dyDescent="0.3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</row>
    <row r="417" spans="1:12" x14ac:dyDescent="0.3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</row>
    <row r="418" spans="1:12" x14ac:dyDescent="0.3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</row>
    <row r="419" spans="1:12" x14ac:dyDescent="0.3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</row>
    <row r="420" spans="1:12" x14ac:dyDescent="0.3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</row>
    <row r="421" spans="1:12" x14ac:dyDescent="0.3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</row>
    <row r="422" spans="1:12" x14ac:dyDescent="0.3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</row>
    <row r="423" spans="1:12" x14ac:dyDescent="0.3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</row>
    <row r="424" spans="1:12" x14ac:dyDescent="0.3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</row>
    <row r="425" spans="1:12" x14ac:dyDescent="0.3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</row>
    <row r="426" spans="1:12" x14ac:dyDescent="0.3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</row>
    <row r="427" spans="1:12" x14ac:dyDescent="0.3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</row>
    <row r="428" spans="1:12" x14ac:dyDescent="0.3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</row>
    <row r="429" spans="1:12" x14ac:dyDescent="0.3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</row>
    <row r="430" spans="1:12" x14ac:dyDescent="0.3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</row>
    <row r="431" spans="1:12" x14ac:dyDescent="0.3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</row>
    <row r="432" spans="1:12" x14ac:dyDescent="0.3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</row>
    <row r="433" spans="1:12" x14ac:dyDescent="0.3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</row>
    <row r="434" spans="1:12" x14ac:dyDescent="0.3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</row>
    <row r="435" spans="1:12" x14ac:dyDescent="0.3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</row>
    <row r="436" spans="1:12" x14ac:dyDescent="0.3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</row>
    <row r="437" spans="1:12" x14ac:dyDescent="0.3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</row>
    <row r="438" spans="1:12" x14ac:dyDescent="0.3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</row>
    <row r="439" spans="1:12" x14ac:dyDescent="0.3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</row>
    <row r="440" spans="1:12" x14ac:dyDescent="0.3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</row>
    <row r="441" spans="1:12" x14ac:dyDescent="0.3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</row>
    <row r="442" spans="1:12" x14ac:dyDescent="0.3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</row>
    <row r="443" spans="1:12" x14ac:dyDescent="0.3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</row>
    <row r="444" spans="1:12" x14ac:dyDescent="0.3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</row>
    <row r="445" spans="1:12" x14ac:dyDescent="0.3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</row>
    <row r="446" spans="1:12" x14ac:dyDescent="0.3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</row>
    <row r="447" spans="1:12" x14ac:dyDescent="0.3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</row>
    <row r="448" spans="1:12" x14ac:dyDescent="0.3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</row>
    <row r="449" spans="1:12" x14ac:dyDescent="0.3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</row>
    <row r="450" spans="1:12" x14ac:dyDescent="0.3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</row>
    <row r="451" spans="1:12" x14ac:dyDescent="0.3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</row>
    <row r="452" spans="1:12" x14ac:dyDescent="0.3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</row>
    <row r="453" spans="1:12" x14ac:dyDescent="0.3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</row>
    <row r="454" spans="1:12" x14ac:dyDescent="0.3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</row>
    <row r="455" spans="1:12" x14ac:dyDescent="0.3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</row>
    <row r="456" spans="1:12" x14ac:dyDescent="0.3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</row>
    <row r="457" spans="1:12" x14ac:dyDescent="0.3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</row>
    <row r="458" spans="1:12" x14ac:dyDescent="0.3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</row>
    <row r="459" spans="1:12" x14ac:dyDescent="0.3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</row>
    <row r="460" spans="1:12" x14ac:dyDescent="0.3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</row>
    <row r="461" spans="1:12" x14ac:dyDescent="0.3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</row>
    <row r="462" spans="1:12" x14ac:dyDescent="0.3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</row>
    <row r="463" spans="1:12" x14ac:dyDescent="0.3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</row>
    <row r="464" spans="1:12" x14ac:dyDescent="0.3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</row>
    <row r="465" spans="1:12" x14ac:dyDescent="0.3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</row>
    <row r="466" spans="1:12" x14ac:dyDescent="0.3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</row>
    <row r="467" spans="1:12" x14ac:dyDescent="0.3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</row>
    <row r="468" spans="1:12" x14ac:dyDescent="0.3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</row>
    <row r="469" spans="1:12" x14ac:dyDescent="0.3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</row>
    <row r="470" spans="1:12" x14ac:dyDescent="0.3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</row>
    <row r="471" spans="1:12" x14ac:dyDescent="0.3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</row>
    <row r="472" spans="1:12" x14ac:dyDescent="0.3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</row>
    <row r="473" spans="1:12" x14ac:dyDescent="0.3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</row>
    <row r="474" spans="1:12" x14ac:dyDescent="0.3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</row>
    <row r="475" spans="1:12" x14ac:dyDescent="0.3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</row>
    <row r="476" spans="1:12" x14ac:dyDescent="0.3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</row>
    <row r="477" spans="1:12" x14ac:dyDescent="0.3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</row>
    <row r="478" spans="1:12" x14ac:dyDescent="0.3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</row>
    <row r="479" spans="1:12" x14ac:dyDescent="0.3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</row>
    <row r="480" spans="1:12" x14ac:dyDescent="0.3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</row>
    <row r="481" spans="1:12" x14ac:dyDescent="0.3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</row>
    <row r="482" spans="1:12" x14ac:dyDescent="0.3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</row>
    <row r="483" spans="1:12" x14ac:dyDescent="0.3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</row>
    <row r="484" spans="1:12" x14ac:dyDescent="0.3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</row>
    <row r="485" spans="1:12" x14ac:dyDescent="0.3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</row>
    <row r="486" spans="1:12" x14ac:dyDescent="0.3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</row>
    <row r="487" spans="1:12" x14ac:dyDescent="0.3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</row>
    <row r="488" spans="1:12" x14ac:dyDescent="0.3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</row>
    <row r="489" spans="1:12" x14ac:dyDescent="0.3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</row>
    <row r="490" spans="1:12" x14ac:dyDescent="0.3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</row>
    <row r="491" spans="1:12" x14ac:dyDescent="0.3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</row>
    <row r="492" spans="1:12" x14ac:dyDescent="0.3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</row>
    <row r="493" spans="1:12" x14ac:dyDescent="0.3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</row>
    <row r="494" spans="1:12" x14ac:dyDescent="0.3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</row>
    <row r="495" spans="1:12" x14ac:dyDescent="0.3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</row>
    <row r="496" spans="1:12" x14ac:dyDescent="0.3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</row>
    <row r="497" spans="1:12" x14ac:dyDescent="0.3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</row>
    <row r="498" spans="1:12" x14ac:dyDescent="0.3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</row>
    <row r="499" spans="1:12" x14ac:dyDescent="0.3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</row>
    <row r="500" spans="1:12" x14ac:dyDescent="0.3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</row>
    <row r="501" spans="1:12" x14ac:dyDescent="0.3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</row>
    <row r="502" spans="1:12" x14ac:dyDescent="0.3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</row>
    <row r="503" spans="1:12" x14ac:dyDescent="0.3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</row>
    <row r="504" spans="1:12" x14ac:dyDescent="0.3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</row>
    <row r="505" spans="1:12" x14ac:dyDescent="0.3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</row>
    <row r="506" spans="1:12" x14ac:dyDescent="0.3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</row>
    <row r="507" spans="1:12" x14ac:dyDescent="0.3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</row>
    <row r="508" spans="1:12" x14ac:dyDescent="0.3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</row>
    <row r="509" spans="1:12" x14ac:dyDescent="0.3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</row>
    <row r="510" spans="1:12" x14ac:dyDescent="0.3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</row>
    <row r="511" spans="1:12" x14ac:dyDescent="0.3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</row>
    <row r="512" spans="1:12" x14ac:dyDescent="0.3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</row>
    <row r="513" spans="1:12" x14ac:dyDescent="0.3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</row>
    <row r="514" spans="1:12" x14ac:dyDescent="0.3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</row>
    <row r="515" spans="1:12" x14ac:dyDescent="0.3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</row>
    <row r="516" spans="1:12" x14ac:dyDescent="0.3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</row>
    <row r="517" spans="1:12" x14ac:dyDescent="0.3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</row>
    <row r="518" spans="1:12" x14ac:dyDescent="0.3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</row>
    <row r="519" spans="1:12" x14ac:dyDescent="0.3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</row>
    <row r="520" spans="1:12" x14ac:dyDescent="0.3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</row>
    <row r="521" spans="1:12" x14ac:dyDescent="0.3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</row>
    <row r="522" spans="1:12" x14ac:dyDescent="0.3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</row>
    <row r="523" spans="1:12" x14ac:dyDescent="0.3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</row>
    <row r="524" spans="1:12" x14ac:dyDescent="0.3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</row>
    <row r="525" spans="1:12" x14ac:dyDescent="0.3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</row>
    <row r="526" spans="1:12" x14ac:dyDescent="0.3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</row>
    <row r="527" spans="1:12" x14ac:dyDescent="0.3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</row>
    <row r="528" spans="1:12" x14ac:dyDescent="0.3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</row>
    <row r="529" spans="1:12" x14ac:dyDescent="0.3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</row>
    <row r="530" spans="1:12" x14ac:dyDescent="0.3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</row>
    <row r="531" spans="1:12" x14ac:dyDescent="0.3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</row>
    <row r="532" spans="1:12" x14ac:dyDescent="0.3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</row>
    <row r="533" spans="1:12" x14ac:dyDescent="0.3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</row>
    <row r="534" spans="1:12" x14ac:dyDescent="0.3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</row>
    <row r="535" spans="1:12" x14ac:dyDescent="0.3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</row>
    <row r="536" spans="1:12" x14ac:dyDescent="0.3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</row>
    <row r="537" spans="1:12" x14ac:dyDescent="0.3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</row>
    <row r="538" spans="1:12" x14ac:dyDescent="0.3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</row>
    <row r="539" spans="1:12" x14ac:dyDescent="0.3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</row>
    <row r="540" spans="1:12" x14ac:dyDescent="0.3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</row>
    <row r="541" spans="1:12" x14ac:dyDescent="0.3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</row>
    <row r="542" spans="1:12" x14ac:dyDescent="0.3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</row>
    <row r="543" spans="1:12" x14ac:dyDescent="0.3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</row>
    <row r="544" spans="1:12" x14ac:dyDescent="0.3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</row>
    <row r="545" spans="1:12" x14ac:dyDescent="0.3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</row>
    <row r="546" spans="1:12" x14ac:dyDescent="0.3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</row>
    <row r="547" spans="1:12" x14ac:dyDescent="0.3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</row>
    <row r="548" spans="1:12" x14ac:dyDescent="0.3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</row>
    <row r="549" spans="1:12" x14ac:dyDescent="0.3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</row>
    <row r="550" spans="1:12" x14ac:dyDescent="0.3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</row>
    <row r="551" spans="1:12" x14ac:dyDescent="0.3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</row>
    <row r="552" spans="1:12" x14ac:dyDescent="0.3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</row>
    <row r="553" spans="1:12" x14ac:dyDescent="0.3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</row>
    <row r="554" spans="1:12" x14ac:dyDescent="0.3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</row>
    <row r="555" spans="1:12" x14ac:dyDescent="0.3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</row>
    <row r="556" spans="1:12" x14ac:dyDescent="0.3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</row>
    <row r="557" spans="1:12" x14ac:dyDescent="0.3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</row>
    <row r="558" spans="1:12" x14ac:dyDescent="0.3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</row>
    <row r="559" spans="1:12" x14ac:dyDescent="0.3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</row>
    <row r="560" spans="1:12" x14ac:dyDescent="0.3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</row>
    <row r="561" spans="1:12" x14ac:dyDescent="0.3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</row>
    <row r="562" spans="1:12" x14ac:dyDescent="0.3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</row>
    <row r="563" spans="1:12" x14ac:dyDescent="0.3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</row>
    <row r="564" spans="1:12" x14ac:dyDescent="0.3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</row>
    <row r="565" spans="1:12" x14ac:dyDescent="0.3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</row>
    <row r="566" spans="1:12" x14ac:dyDescent="0.3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</row>
    <row r="567" spans="1:12" x14ac:dyDescent="0.3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</row>
    <row r="568" spans="1:12" x14ac:dyDescent="0.3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</row>
    <row r="569" spans="1:12" x14ac:dyDescent="0.3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</row>
    <row r="570" spans="1:12" x14ac:dyDescent="0.3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</row>
    <row r="571" spans="1:12" x14ac:dyDescent="0.3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</row>
    <row r="572" spans="1:12" x14ac:dyDescent="0.3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</row>
    <row r="573" spans="1:12" x14ac:dyDescent="0.3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</row>
    <row r="574" spans="1:12" x14ac:dyDescent="0.3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</row>
    <row r="575" spans="1:12" x14ac:dyDescent="0.3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</row>
    <row r="576" spans="1:12" x14ac:dyDescent="0.3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</row>
    <row r="577" spans="1:12" x14ac:dyDescent="0.3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</row>
    <row r="578" spans="1:12" x14ac:dyDescent="0.3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</row>
    <row r="579" spans="1:12" x14ac:dyDescent="0.3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</row>
    <row r="580" spans="1:12" x14ac:dyDescent="0.3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</row>
    <row r="581" spans="1:12" x14ac:dyDescent="0.3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</row>
    <row r="582" spans="1:12" x14ac:dyDescent="0.3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</row>
    <row r="583" spans="1:12" x14ac:dyDescent="0.3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</row>
    <row r="584" spans="1:12" x14ac:dyDescent="0.3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</row>
    <row r="585" spans="1:12" x14ac:dyDescent="0.3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</row>
    <row r="586" spans="1:12" x14ac:dyDescent="0.3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</row>
    <row r="587" spans="1:12" x14ac:dyDescent="0.3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</row>
    <row r="588" spans="1:12" x14ac:dyDescent="0.3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</row>
    <row r="589" spans="1:12" x14ac:dyDescent="0.3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</row>
    <row r="590" spans="1:12" x14ac:dyDescent="0.3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</row>
    <row r="591" spans="1:12" x14ac:dyDescent="0.3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</row>
    <row r="592" spans="1:12" x14ac:dyDescent="0.3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</row>
    <row r="593" spans="1:12" x14ac:dyDescent="0.3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</row>
    <row r="594" spans="1:12" x14ac:dyDescent="0.3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</row>
    <row r="595" spans="1:12" x14ac:dyDescent="0.3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</row>
    <row r="596" spans="1:12" x14ac:dyDescent="0.3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</row>
    <row r="597" spans="1:12" x14ac:dyDescent="0.3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</row>
    <row r="598" spans="1:12" x14ac:dyDescent="0.3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</row>
    <row r="599" spans="1:12" x14ac:dyDescent="0.3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</row>
    <row r="600" spans="1:12" x14ac:dyDescent="0.3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</row>
    <row r="601" spans="1:12" x14ac:dyDescent="0.3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</row>
    <row r="602" spans="1:12" x14ac:dyDescent="0.3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</row>
    <row r="603" spans="1:12" x14ac:dyDescent="0.3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</row>
    <row r="604" spans="1:12" x14ac:dyDescent="0.3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</row>
    <row r="605" spans="1:12" x14ac:dyDescent="0.3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</row>
    <row r="606" spans="1:12" x14ac:dyDescent="0.3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</row>
    <row r="607" spans="1:12" x14ac:dyDescent="0.3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</row>
    <row r="608" spans="1:12" x14ac:dyDescent="0.3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</row>
    <row r="609" spans="1:12" x14ac:dyDescent="0.3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</row>
    <row r="610" spans="1:12" x14ac:dyDescent="0.3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</row>
    <row r="611" spans="1:12" x14ac:dyDescent="0.3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</row>
    <row r="612" spans="1:12" x14ac:dyDescent="0.3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</row>
    <row r="613" spans="1:12" x14ac:dyDescent="0.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</row>
    <row r="614" spans="1:12" x14ac:dyDescent="0.3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</row>
    <row r="615" spans="1:12" x14ac:dyDescent="0.3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</row>
    <row r="616" spans="1:12" x14ac:dyDescent="0.3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</row>
    <row r="617" spans="1:12" x14ac:dyDescent="0.3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</row>
    <row r="618" spans="1:12" x14ac:dyDescent="0.3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</row>
    <row r="619" spans="1:12" x14ac:dyDescent="0.3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</row>
    <row r="620" spans="1:12" x14ac:dyDescent="0.3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</row>
    <row r="621" spans="1:12" x14ac:dyDescent="0.3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</row>
    <row r="622" spans="1:12" x14ac:dyDescent="0.3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</row>
    <row r="623" spans="1:12" x14ac:dyDescent="0.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</row>
    <row r="624" spans="1:12" x14ac:dyDescent="0.3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</row>
    <row r="625" spans="1:12" x14ac:dyDescent="0.3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</row>
    <row r="626" spans="1:12" x14ac:dyDescent="0.3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</row>
    <row r="627" spans="1:12" x14ac:dyDescent="0.3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</row>
    <row r="628" spans="1:12" x14ac:dyDescent="0.3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</row>
    <row r="629" spans="1:12" x14ac:dyDescent="0.3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</row>
    <row r="630" spans="1:12" x14ac:dyDescent="0.3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</row>
    <row r="631" spans="1:12" x14ac:dyDescent="0.3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</row>
    <row r="632" spans="1:12" x14ac:dyDescent="0.3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</row>
    <row r="633" spans="1:12" x14ac:dyDescent="0.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</row>
    <row r="634" spans="1:12" x14ac:dyDescent="0.3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</row>
    <row r="635" spans="1:12" x14ac:dyDescent="0.3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</row>
    <row r="636" spans="1:12" x14ac:dyDescent="0.3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</row>
    <row r="637" spans="1:12" x14ac:dyDescent="0.3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</row>
    <row r="638" spans="1:12" x14ac:dyDescent="0.3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</row>
    <row r="639" spans="1:12" x14ac:dyDescent="0.3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</row>
    <row r="640" spans="1:12" x14ac:dyDescent="0.3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</row>
    <row r="641" spans="1:12" x14ac:dyDescent="0.3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</row>
    <row r="642" spans="1:12" x14ac:dyDescent="0.3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</row>
    <row r="643" spans="1:12" x14ac:dyDescent="0.3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</row>
    <row r="644" spans="1:12" x14ac:dyDescent="0.3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</row>
    <row r="645" spans="1:12" x14ac:dyDescent="0.3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</row>
    <row r="646" spans="1:12" x14ac:dyDescent="0.3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</row>
    <row r="647" spans="1:12" x14ac:dyDescent="0.3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</row>
    <row r="648" spans="1:12" x14ac:dyDescent="0.3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</row>
    <row r="649" spans="1:12" x14ac:dyDescent="0.3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</row>
    <row r="650" spans="1:12" x14ac:dyDescent="0.3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</row>
    <row r="651" spans="1:12" x14ac:dyDescent="0.3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</row>
    <row r="652" spans="1:12" x14ac:dyDescent="0.3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</row>
    <row r="653" spans="1:12" x14ac:dyDescent="0.3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</row>
    <row r="654" spans="1:12" x14ac:dyDescent="0.3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</row>
    <row r="655" spans="1:12" x14ac:dyDescent="0.3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</row>
    <row r="656" spans="1:12" x14ac:dyDescent="0.3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</row>
    <row r="657" spans="1:12" x14ac:dyDescent="0.3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</row>
    <row r="658" spans="1:12" x14ac:dyDescent="0.3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</row>
    <row r="659" spans="1:12" x14ac:dyDescent="0.3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</row>
    <row r="660" spans="1:12" x14ac:dyDescent="0.3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</row>
    <row r="661" spans="1:12" x14ac:dyDescent="0.3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</row>
    <row r="662" spans="1:12" x14ac:dyDescent="0.3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</row>
    <row r="663" spans="1:12" x14ac:dyDescent="0.3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</row>
    <row r="664" spans="1:12" x14ac:dyDescent="0.3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</row>
    <row r="665" spans="1:12" x14ac:dyDescent="0.3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</row>
    <row r="666" spans="1:12" x14ac:dyDescent="0.3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</row>
    <row r="667" spans="1:12" x14ac:dyDescent="0.3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</row>
    <row r="668" spans="1:12" x14ac:dyDescent="0.3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</row>
    <row r="669" spans="1:12" x14ac:dyDescent="0.3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</row>
    <row r="670" spans="1:12" x14ac:dyDescent="0.3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</row>
    <row r="671" spans="1:12" x14ac:dyDescent="0.3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</row>
    <row r="672" spans="1:12" x14ac:dyDescent="0.3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</row>
    <row r="673" spans="1:12" x14ac:dyDescent="0.3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</row>
    <row r="674" spans="1:12" x14ac:dyDescent="0.3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</row>
    <row r="675" spans="1:12" x14ac:dyDescent="0.3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</row>
    <row r="676" spans="1:12" x14ac:dyDescent="0.3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</row>
    <row r="677" spans="1:12" x14ac:dyDescent="0.3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</row>
    <row r="678" spans="1:12" x14ac:dyDescent="0.3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</row>
    <row r="679" spans="1:12" x14ac:dyDescent="0.3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</row>
    <row r="680" spans="1:12" x14ac:dyDescent="0.3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</row>
    <row r="681" spans="1:12" x14ac:dyDescent="0.3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</row>
    <row r="682" spans="1:12" x14ac:dyDescent="0.3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</row>
    <row r="683" spans="1:12" x14ac:dyDescent="0.3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</row>
    <row r="684" spans="1:12" x14ac:dyDescent="0.3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</row>
    <row r="685" spans="1:12" x14ac:dyDescent="0.3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</row>
    <row r="686" spans="1:12" x14ac:dyDescent="0.3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</row>
    <row r="687" spans="1:12" x14ac:dyDescent="0.3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</row>
    <row r="688" spans="1:12" x14ac:dyDescent="0.3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</row>
    <row r="689" spans="1:12" x14ac:dyDescent="0.3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</row>
    <row r="690" spans="1:12" x14ac:dyDescent="0.3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</row>
    <row r="691" spans="1:12" x14ac:dyDescent="0.3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</row>
    <row r="692" spans="1:12" x14ac:dyDescent="0.3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</row>
    <row r="693" spans="1:12" x14ac:dyDescent="0.3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</row>
    <row r="694" spans="1:12" x14ac:dyDescent="0.3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</row>
    <row r="695" spans="1:12" x14ac:dyDescent="0.3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</row>
    <row r="696" spans="1:12" x14ac:dyDescent="0.3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</row>
    <row r="697" spans="1:12" x14ac:dyDescent="0.3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</row>
    <row r="698" spans="1:12" x14ac:dyDescent="0.3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</row>
    <row r="699" spans="1:12" x14ac:dyDescent="0.3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</row>
    <row r="700" spans="1:12" x14ac:dyDescent="0.3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</row>
    <row r="701" spans="1:12" x14ac:dyDescent="0.3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</row>
    <row r="702" spans="1:12" x14ac:dyDescent="0.3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</row>
    <row r="703" spans="1:12" x14ac:dyDescent="0.3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</row>
    <row r="704" spans="1:12" x14ac:dyDescent="0.3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</row>
    <row r="705" spans="1:12" x14ac:dyDescent="0.3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</row>
    <row r="706" spans="1:12" x14ac:dyDescent="0.3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</row>
    <row r="707" spans="1:12" x14ac:dyDescent="0.3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</row>
    <row r="708" spans="1:12" x14ac:dyDescent="0.3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</row>
    <row r="709" spans="1:12" x14ac:dyDescent="0.3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</row>
    <row r="710" spans="1:12" x14ac:dyDescent="0.3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</row>
    <row r="711" spans="1:12" x14ac:dyDescent="0.3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</row>
    <row r="712" spans="1:12" x14ac:dyDescent="0.3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</row>
    <row r="713" spans="1:12" x14ac:dyDescent="0.3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</row>
    <row r="714" spans="1:12" x14ac:dyDescent="0.3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</row>
    <row r="715" spans="1:12" x14ac:dyDescent="0.3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</row>
    <row r="716" spans="1:12" x14ac:dyDescent="0.3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</row>
    <row r="717" spans="1:12" x14ac:dyDescent="0.3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</row>
    <row r="718" spans="1:12" x14ac:dyDescent="0.3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</row>
    <row r="719" spans="1:12" x14ac:dyDescent="0.3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</row>
    <row r="720" spans="1:12" x14ac:dyDescent="0.3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</row>
    <row r="721" spans="1:12" x14ac:dyDescent="0.3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</row>
    <row r="722" spans="1:12" x14ac:dyDescent="0.3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</row>
    <row r="723" spans="1:12" x14ac:dyDescent="0.3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</row>
    <row r="724" spans="1:12" x14ac:dyDescent="0.3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</row>
    <row r="725" spans="1:12" x14ac:dyDescent="0.3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</row>
    <row r="726" spans="1:12" x14ac:dyDescent="0.3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</row>
    <row r="727" spans="1:12" x14ac:dyDescent="0.3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</row>
    <row r="728" spans="1:12" x14ac:dyDescent="0.3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</row>
    <row r="729" spans="1:12" x14ac:dyDescent="0.3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</row>
    <row r="730" spans="1:12" x14ac:dyDescent="0.3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</row>
    <row r="731" spans="1:12" x14ac:dyDescent="0.3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</row>
    <row r="732" spans="1:12" x14ac:dyDescent="0.3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</row>
    <row r="733" spans="1:12" x14ac:dyDescent="0.3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</row>
    <row r="734" spans="1:12" x14ac:dyDescent="0.3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</row>
    <row r="735" spans="1:12" x14ac:dyDescent="0.3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</row>
    <row r="736" spans="1:12" x14ac:dyDescent="0.3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</row>
    <row r="737" spans="1:12" x14ac:dyDescent="0.3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</row>
    <row r="738" spans="1:12" x14ac:dyDescent="0.3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</row>
    <row r="739" spans="1:12" x14ac:dyDescent="0.3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</row>
    <row r="740" spans="1:12" x14ac:dyDescent="0.3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</row>
    <row r="741" spans="1:12" x14ac:dyDescent="0.3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</row>
    <row r="742" spans="1:12" x14ac:dyDescent="0.3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</row>
    <row r="743" spans="1:12" x14ac:dyDescent="0.3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</row>
    <row r="744" spans="1:12" x14ac:dyDescent="0.3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</row>
    <row r="745" spans="1:12" x14ac:dyDescent="0.3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</row>
    <row r="746" spans="1:12" x14ac:dyDescent="0.3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</row>
    <row r="747" spans="1:12" x14ac:dyDescent="0.3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</row>
    <row r="748" spans="1:12" x14ac:dyDescent="0.3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</row>
    <row r="749" spans="1:12" x14ac:dyDescent="0.3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</row>
    <row r="750" spans="1:12" x14ac:dyDescent="0.3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</row>
    <row r="751" spans="1:12" x14ac:dyDescent="0.3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</row>
    <row r="752" spans="1:12" x14ac:dyDescent="0.3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</row>
    <row r="753" spans="1:12" x14ac:dyDescent="0.3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</row>
    <row r="754" spans="1:12" x14ac:dyDescent="0.3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</row>
    <row r="755" spans="1:12" x14ac:dyDescent="0.3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</row>
    <row r="756" spans="1:12" x14ac:dyDescent="0.3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</row>
    <row r="757" spans="1:12" x14ac:dyDescent="0.3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</row>
    <row r="758" spans="1:12" x14ac:dyDescent="0.3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</row>
    <row r="759" spans="1:12" x14ac:dyDescent="0.3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</row>
    <row r="760" spans="1:12" x14ac:dyDescent="0.3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</row>
    <row r="761" spans="1:12" x14ac:dyDescent="0.3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</row>
    <row r="762" spans="1:12" x14ac:dyDescent="0.3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</row>
    <row r="763" spans="1:12" x14ac:dyDescent="0.3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</row>
    <row r="764" spans="1:12" x14ac:dyDescent="0.3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</row>
    <row r="765" spans="1:12" x14ac:dyDescent="0.3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</row>
    <row r="766" spans="1:12" x14ac:dyDescent="0.3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</row>
    <row r="767" spans="1:12" x14ac:dyDescent="0.3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</row>
    <row r="768" spans="1:12" x14ac:dyDescent="0.3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</row>
    <row r="769" spans="1:12" x14ac:dyDescent="0.3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</row>
    <row r="770" spans="1:12" x14ac:dyDescent="0.3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</row>
    <row r="771" spans="1:12" x14ac:dyDescent="0.3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</row>
    <row r="772" spans="1:12" x14ac:dyDescent="0.3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</row>
    <row r="773" spans="1:12" x14ac:dyDescent="0.3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</row>
    <row r="774" spans="1:12" x14ac:dyDescent="0.3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</row>
    <row r="775" spans="1:12" x14ac:dyDescent="0.3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</row>
    <row r="776" spans="1:12" x14ac:dyDescent="0.3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</row>
    <row r="777" spans="1:12" x14ac:dyDescent="0.3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</row>
    <row r="778" spans="1:12" x14ac:dyDescent="0.3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</row>
    <row r="779" spans="1:12" x14ac:dyDescent="0.3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</row>
    <row r="780" spans="1:12" x14ac:dyDescent="0.3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</row>
    <row r="781" spans="1:12" x14ac:dyDescent="0.3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</row>
    <row r="782" spans="1:12" x14ac:dyDescent="0.3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</row>
    <row r="783" spans="1:12" x14ac:dyDescent="0.3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</row>
    <row r="784" spans="1:12" x14ac:dyDescent="0.3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</row>
    <row r="785" spans="1:12" x14ac:dyDescent="0.3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</row>
    <row r="786" spans="1:12" x14ac:dyDescent="0.3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</row>
    <row r="787" spans="1:12" x14ac:dyDescent="0.3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</row>
    <row r="788" spans="1:12" x14ac:dyDescent="0.3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</row>
    <row r="789" spans="1:12" x14ac:dyDescent="0.3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</row>
    <row r="790" spans="1:12" x14ac:dyDescent="0.3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</row>
    <row r="791" spans="1:12" x14ac:dyDescent="0.3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</row>
    <row r="792" spans="1:12" x14ac:dyDescent="0.3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</row>
    <row r="793" spans="1:12" x14ac:dyDescent="0.3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</row>
    <row r="794" spans="1:12" x14ac:dyDescent="0.3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</row>
    <row r="795" spans="1:12" x14ac:dyDescent="0.3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</row>
    <row r="796" spans="1:12" x14ac:dyDescent="0.3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</row>
    <row r="797" spans="1:12" x14ac:dyDescent="0.3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</row>
    <row r="798" spans="1:12" x14ac:dyDescent="0.3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</row>
    <row r="799" spans="1:12" x14ac:dyDescent="0.3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</row>
    <row r="800" spans="1:12" x14ac:dyDescent="0.3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</row>
    <row r="801" spans="1:12" x14ac:dyDescent="0.3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</row>
    <row r="802" spans="1:12" x14ac:dyDescent="0.3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</row>
    <row r="803" spans="1:12" x14ac:dyDescent="0.3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</row>
    <row r="804" spans="1:12" x14ac:dyDescent="0.3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</row>
    <row r="805" spans="1:12" x14ac:dyDescent="0.3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</row>
    <row r="806" spans="1:12" x14ac:dyDescent="0.3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</row>
    <row r="807" spans="1:12" x14ac:dyDescent="0.3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</row>
    <row r="808" spans="1:12" x14ac:dyDescent="0.3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</row>
    <row r="809" spans="1:12" x14ac:dyDescent="0.3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</row>
    <row r="810" spans="1:12" x14ac:dyDescent="0.3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</row>
    <row r="811" spans="1:12" x14ac:dyDescent="0.3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</row>
    <row r="812" spans="1:12" x14ac:dyDescent="0.3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</row>
    <row r="813" spans="1:12" x14ac:dyDescent="0.3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</row>
    <row r="814" spans="1:12" x14ac:dyDescent="0.3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</row>
    <row r="815" spans="1:12" x14ac:dyDescent="0.3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</row>
    <row r="816" spans="1:12" x14ac:dyDescent="0.3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</row>
    <row r="817" spans="1:12" x14ac:dyDescent="0.3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</row>
    <row r="818" spans="1:12" x14ac:dyDescent="0.3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</row>
    <row r="819" spans="1:12" x14ac:dyDescent="0.3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</row>
    <row r="820" spans="1:12" x14ac:dyDescent="0.3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</row>
    <row r="821" spans="1:12" x14ac:dyDescent="0.3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</row>
    <row r="822" spans="1:12" x14ac:dyDescent="0.3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</row>
    <row r="823" spans="1:12" x14ac:dyDescent="0.3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</row>
    <row r="824" spans="1:12" x14ac:dyDescent="0.3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</row>
    <row r="825" spans="1:12" x14ac:dyDescent="0.3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</row>
    <row r="826" spans="1:12" x14ac:dyDescent="0.3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</row>
    <row r="827" spans="1:12" x14ac:dyDescent="0.3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</row>
    <row r="828" spans="1:12" x14ac:dyDescent="0.3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</row>
    <row r="829" spans="1:12" x14ac:dyDescent="0.3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</row>
    <row r="830" spans="1:12" x14ac:dyDescent="0.3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</row>
    <row r="831" spans="1:12" x14ac:dyDescent="0.3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</row>
    <row r="832" spans="1:12" x14ac:dyDescent="0.3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</row>
    <row r="833" spans="1:12" x14ac:dyDescent="0.3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</row>
    <row r="834" spans="1:12" x14ac:dyDescent="0.3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</row>
    <row r="835" spans="1:12" x14ac:dyDescent="0.3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</row>
    <row r="836" spans="1:12" x14ac:dyDescent="0.3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</row>
    <row r="837" spans="1:12" x14ac:dyDescent="0.3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</row>
    <row r="838" spans="1:12" x14ac:dyDescent="0.3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</row>
    <row r="839" spans="1:12" x14ac:dyDescent="0.3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</row>
    <row r="840" spans="1:12" x14ac:dyDescent="0.3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</row>
    <row r="841" spans="1:12" x14ac:dyDescent="0.3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</row>
    <row r="842" spans="1:12" x14ac:dyDescent="0.3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</row>
    <row r="843" spans="1:12" x14ac:dyDescent="0.3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</row>
    <row r="844" spans="1:12" x14ac:dyDescent="0.3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</row>
    <row r="845" spans="1:12" x14ac:dyDescent="0.3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</row>
    <row r="846" spans="1:12" x14ac:dyDescent="0.3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</row>
    <row r="847" spans="1:12" x14ac:dyDescent="0.3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</row>
    <row r="848" spans="1:12" x14ac:dyDescent="0.3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</row>
    <row r="849" spans="1:12" x14ac:dyDescent="0.3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</row>
    <row r="850" spans="1:12" x14ac:dyDescent="0.3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</row>
    <row r="851" spans="1:12" x14ac:dyDescent="0.3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</row>
    <row r="852" spans="1:12" x14ac:dyDescent="0.3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</row>
    <row r="853" spans="1:12" x14ac:dyDescent="0.3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</row>
    <row r="854" spans="1:12" x14ac:dyDescent="0.3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</row>
    <row r="855" spans="1:12" x14ac:dyDescent="0.3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</row>
    <row r="856" spans="1:12" x14ac:dyDescent="0.3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</row>
    <row r="857" spans="1:12" x14ac:dyDescent="0.3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</row>
    <row r="858" spans="1:12" x14ac:dyDescent="0.3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</row>
    <row r="859" spans="1:12" x14ac:dyDescent="0.3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</row>
    <row r="860" spans="1:12" x14ac:dyDescent="0.3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</row>
    <row r="861" spans="1:12" x14ac:dyDescent="0.3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</row>
    <row r="862" spans="1:12" x14ac:dyDescent="0.3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</row>
    <row r="863" spans="1:12" x14ac:dyDescent="0.3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</row>
    <row r="864" spans="1:12" x14ac:dyDescent="0.3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</row>
    <row r="865" spans="1:12" x14ac:dyDescent="0.3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</row>
    <row r="866" spans="1:12" x14ac:dyDescent="0.3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</row>
    <row r="867" spans="1:12" x14ac:dyDescent="0.3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</row>
    <row r="868" spans="1:12" x14ac:dyDescent="0.3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</row>
    <row r="869" spans="1:12" x14ac:dyDescent="0.3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</row>
    <row r="870" spans="1:12" x14ac:dyDescent="0.3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</row>
    <row r="871" spans="1:12" x14ac:dyDescent="0.3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</row>
    <row r="872" spans="1:12" x14ac:dyDescent="0.3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</row>
    <row r="873" spans="1:12" x14ac:dyDescent="0.3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</row>
    <row r="874" spans="1:12" x14ac:dyDescent="0.3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</row>
    <row r="875" spans="1:12" x14ac:dyDescent="0.3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</row>
    <row r="876" spans="1:12" x14ac:dyDescent="0.3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</row>
    <row r="877" spans="1:12" x14ac:dyDescent="0.3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</row>
    <row r="878" spans="1:12" x14ac:dyDescent="0.3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</row>
    <row r="879" spans="1:12" x14ac:dyDescent="0.3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</row>
    <row r="880" spans="1:12" x14ac:dyDescent="0.3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</row>
    <row r="881" spans="1:12" x14ac:dyDescent="0.3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</row>
    <row r="882" spans="1:12" x14ac:dyDescent="0.3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</row>
    <row r="883" spans="1:12" x14ac:dyDescent="0.3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</row>
    <row r="884" spans="1:12" x14ac:dyDescent="0.3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</row>
    <row r="885" spans="1:12" x14ac:dyDescent="0.3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</row>
    <row r="886" spans="1:12" x14ac:dyDescent="0.3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</row>
    <row r="887" spans="1:12" x14ac:dyDescent="0.3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</row>
    <row r="888" spans="1:12" x14ac:dyDescent="0.3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</row>
    <row r="889" spans="1:12" x14ac:dyDescent="0.3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</row>
    <row r="890" spans="1:12" x14ac:dyDescent="0.3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</row>
    <row r="891" spans="1:12" x14ac:dyDescent="0.3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</row>
    <row r="892" spans="1:12" x14ac:dyDescent="0.3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</row>
    <row r="893" spans="1:12" x14ac:dyDescent="0.3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</row>
    <row r="894" spans="1:12" x14ac:dyDescent="0.3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</row>
    <row r="895" spans="1:12" x14ac:dyDescent="0.3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</row>
    <row r="896" spans="1:12" x14ac:dyDescent="0.3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</row>
    <row r="897" spans="1:12" x14ac:dyDescent="0.3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</row>
    <row r="898" spans="1:12" x14ac:dyDescent="0.3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</row>
    <row r="899" spans="1:12" x14ac:dyDescent="0.3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</row>
    <row r="900" spans="1:12" x14ac:dyDescent="0.3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</row>
    <row r="901" spans="1:12" x14ac:dyDescent="0.3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</row>
    <row r="902" spans="1:12" x14ac:dyDescent="0.3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</row>
    <row r="903" spans="1:12" x14ac:dyDescent="0.3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</row>
    <row r="904" spans="1:12" x14ac:dyDescent="0.3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</row>
    <row r="905" spans="1:12" x14ac:dyDescent="0.3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</row>
    <row r="906" spans="1:12" x14ac:dyDescent="0.3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</row>
    <row r="907" spans="1:12" x14ac:dyDescent="0.3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</row>
    <row r="908" spans="1:12" x14ac:dyDescent="0.3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</row>
    <row r="909" spans="1:12" x14ac:dyDescent="0.3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</row>
    <row r="910" spans="1:12" x14ac:dyDescent="0.3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</row>
    <row r="911" spans="1:12" x14ac:dyDescent="0.3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</row>
    <row r="912" spans="1:12" x14ac:dyDescent="0.3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</row>
    <row r="913" spans="1:12" x14ac:dyDescent="0.3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</row>
    <row r="914" spans="1:12" x14ac:dyDescent="0.3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</row>
    <row r="915" spans="1:12" x14ac:dyDescent="0.3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</row>
    <row r="916" spans="1:12" x14ac:dyDescent="0.3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</row>
    <row r="917" spans="1:12" x14ac:dyDescent="0.3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</row>
    <row r="918" spans="1:12" x14ac:dyDescent="0.3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</row>
    <row r="919" spans="1:12" x14ac:dyDescent="0.3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</row>
    <row r="920" spans="1:12" x14ac:dyDescent="0.3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</row>
    <row r="921" spans="1:12" x14ac:dyDescent="0.3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</row>
    <row r="922" spans="1:12" x14ac:dyDescent="0.3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</row>
    <row r="923" spans="1:12" x14ac:dyDescent="0.3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</row>
    <row r="924" spans="1:12" x14ac:dyDescent="0.3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</row>
    <row r="925" spans="1:12" x14ac:dyDescent="0.3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</row>
    <row r="926" spans="1:12" x14ac:dyDescent="0.3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</row>
    <row r="927" spans="1:12" x14ac:dyDescent="0.3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</row>
    <row r="928" spans="1:12" x14ac:dyDescent="0.3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</row>
    <row r="929" spans="1:12" x14ac:dyDescent="0.3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</row>
    <row r="930" spans="1:12" x14ac:dyDescent="0.3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</row>
    <row r="931" spans="1:12" x14ac:dyDescent="0.3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</row>
    <row r="932" spans="1:12" x14ac:dyDescent="0.3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</row>
    <row r="933" spans="1:12" x14ac:dyDescent="0.3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</row>
    <row r="934" spans="1:12" x14ac:dyDescent="0.3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</row>
    <row r="935" spans="1:12" x14ac:dyDescent="0.3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</row>
    <row r="936" spans="1:12" x14ac:dyDescent="0.3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</row>
    <row r="937" spans="1:12" x14ac:dyDescent="0.3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</row>
    <row r="938" spans="1:12" x14ac:dyDescent="0.3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</row>
    <row r="939" spans="1:12" x14ac:dyDescent="0.3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</row>
    <row r="940" spans="1:12" x14ac:dyDescent="0.3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</row>
    <row r="941" spans="1:12" x14ac:dyDescent="0.3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</row>
    <row r="942" spans="1:12" x14ac:dyDescent="0.3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</row>
    <row r="943" spans="1:12" x14ac:dyDescent="0.3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</row>
    <row r="944" spans="1:12" x14ac:dyDescent="0.3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</row>
    <row r="945" spans="1:12" x14ac:dyDescent="0.3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</row>
    <row r="946" spans="1:12" x14ac:dyDescent="0.3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</row>
    <row r="947" spans="1:12" x14ac:dyDescent="0.3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</row>
    <row r="948" spans="1:12" x14ac:dyDescent="0.3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</row>
    <row r="949" spans="1:12" x14ac:dyDescent="0.3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</row>
    <row r="950" spans="1:12" x14ac:dyDescent="0.3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</row>
    <row r="951" spans="1:12" x14ac:dyDescent="0.3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</row>
    <row r="952" spans="1:12" x14ac:dyDescent="0.3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</row>
    <row r="953" spans="1:12" x14ac:dyDescent="0.3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</row>
    <row r="954" spans="1:12" x14ac:dyDescent="0.3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</row>
    <row r="955" spans="1:12" x14ac:dyDescent="0.3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</row>
    <row r="956" spans="1:12" x14ac:dyDescent="0.3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</row>
    <row r="957" spans="1:12" x14ac:dyDescent="0.3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</row>
    <row r="958" spans="1:12" x14ac:dyDescent="0.3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</row>
    <row r="959" spans="1:12" x14ac:dyDescent="0.3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</row>
    <row r="960" spans="1:12" x14ac:dyDescent="0.3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</row>
    <row r="961" spans="1:12" x14ac:dyDescent="0.3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</row>
    <row r="962" spans="1:12" x14ac:dyDescent="0.3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</row>
    <row r="963" spans="1:12" x14ac:dyDescent="0.3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</row>
    <row r="964" spans="1:12" x14ac:dyDescent="0.3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</row>
    <row r="965" spans="1:12" x14ac:dyDescent="0.3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</row>
    <row r="966" spans="1:12" x14ac:dyDescent="0.3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</row>
    <row r="967" spans="1:12" x14ac:dyDescent="0.3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</row>
    <row r="968" spans="1:12" x14ac:dyDescent="0.3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</row>
    <row r="969" spans="1:12" x14ac:dyDescent="0.3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</row>
    <row r="970" spans="1:12" x14ac:dyDescent="0.3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</row>
    <row r="971" spans="1:12" x14ac:dyDescent="0.3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</row>
    <row r="972" spans="1:12" x14ac:dyDescent="0.3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</row>
    <row r="973" spans="1:12" x14ac:dyDescent="0.3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</row>
    <row r="974" spans="1:12" x14ac:dyDescent="0.3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</row>
    <row r="975" spans="1:12" x14ac:dyDescent="0.3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</row>
    <row r="976" spans="1:12" x14ac:dyDescent="0.3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</row>
    <row r="977" spans="1:12" x14ac:dyDescent="0.3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</row>
    <row r="978" spans="1:12" x14ac:dyDescent="0.3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</row>
    <row r="979" spans="1:12" x14ac:dyDescent="0.3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</row>
    <row r="980" spans="1:12" x14ac:dyDescent="0.3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</row>
    <row r="981" spans="1:12" x14ac:dyDescent="0.3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</row>
    <row r="982" spans="1:12" x14ac:dyDescent="0.3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</row>
    <row r="983" spans="1:12" x14ac:dyDescent="0.3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</row>
    <row r="984" spans="1:12" x14ac:dyDescent="0.3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</row>
    <row r="985" spans="1:12" x14ac:dyDescent="0.3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</row>
    <row r="986" spans="1:12" x14ac:dyDescent="0.3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</row>
    <row r="987" spans="1:12" x14ac:dyDescent="0.3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</row>
    <row r="988" spans="1:12" x14ac:dyDescent="0.3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</row>
    <row r="989" spans="1:12" x14ac:dyDescent="0.3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</row>
    <row r="990" spans="1:12" x14ac:dyDescent="0.3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</row>
    <row r="991" spans="1:12" x14ac:dyDescent="0.3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</row>
    <row r="992" spans="1:12" x14ac:dyDescent="0.3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</row>
    <row r="993" spans="1:12" x14ac:dyDescent="0.3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</row>
    <row r="994" spans="1:12" x14ac:dyDescent="0.3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</row>
    <row r="995" spans="1:12" x14ac:dyDescent="0.3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</row>
    <row r="996" spans="1:12" x14ac:dyDescent="0.3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</row>
    <row r="997" spans="1:12" x14ac:dyDescent="0.3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</row>
    <row r="998" spans="1:12" x14ac:dyDescent="0.3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</row>
    <row r="999" spans="1:12" x14ac:dyDescent="0.3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</row>
    <row r="1000" spans="1:12" x14ac:dyDescent="0.3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</row>
    <row r="1001" spans="1:12" x14ac:dyDescent="0.3">
      <c r="A1001" s="132"/>
      <c r="B1001" s="132"/>
      <c r="C1001" s="132"/>
      <c r="D1001" s="132"/>
      <c r="E1001" s="132"/>
      <c r="F1001" s="132"/>
      <c r="G1001" s="132"/>
      <c r="H1001" s="132"/>
      <c r="I1001" s="132"/>
      <c r="J1001" s="132"/>
      <c r="K1001" s="132"/>
      <c r="L1001" s="132"/>
    </row>
    <row r="1002" spans="1:12" x14ac:dyDescent="0.3">
      <c r="A1002" s="132"/>
      <c r="B1002" s="132"/>
      <c r="C1002" s="132"/>
      <c r="D1002" s="132"/>
      <c r="E1002" s="132"/>
      <c r="F1002" s="132"/>
      <c r="G1002" s="132"/>
      <c r="H1002" s="132"/>
      <c r="I1002" s="132"/>
      <c r="J1002" s="132"/>
      <c r="K1002" s="132"/>
      <c r="L1002" s="132"/>
    </row>
    <row r="1003" spans="1:12" x14ac:dyDescent="0.3">
      <c r="A1003" s="132"/>
      <c r="B1003" s="132"/>
      <c r="C1003" s="132"/>
      <c r="D1003" s="132"/>
      <c r="E1003" s="132"/>
      <c r="F1003" s="132"/>
      <c r="G1003" s="132"/>
      <c r="H1003" s="132"/>
      <c r="I1003" s="132"/>
      <c r="J1003" s="132"/>
      <c r="K1003" s="132"/>
      <c r="L1003" s="132"/>
    </row>
    <row r="1004" spans="1:12" x14ac:dyDescent="0.3">
      <c r="A1004" s="132"/>
      <c r="B1004" s="132"/>
      <c r="C1004" s="132"/>
      <c r="D1004" s="132"/>
      <c r="E1004" s="132"/>
      <c r="F1004" s="132"/>
      <c r="G1004" s="132"/>
      <c r="H1004" s="132"/>
      <c r="I1004" s="132"/>
      <c r="J1004" s="132"/>
      <c r="K1004" s="132"/>
      <c r="L1004" s="132"/>
    </row>
    <row r="1005" spans="1:12" x14ac:dyDescent="0.3">
      <c r="A1005" s="132"/>
      <c r="B1005" s="132"/>
      <c r="C1005" s="132"/>
      <c r="D1005" s="132"/>
      <c r="E1005" s="132"/>
      <c r="F1005" s="132"/>
      <c r="G1005" s="132"/>
      <c r="H1005" s="132"/>
      <c r="I1005" s="132"/>
      <c r="J1005" s="132"/>
      <c r="K1005" s="132"/>
      <c r="L1005" s="132"/>
    </row>
    <row r="1006" spans="1:12" x14ac:dyDescent="0.3">
      <c r="A1006" s="132"/>
      <c r="B1006" s="132"/>
      <c r="C1006" s="132"/>
      <c r="D1006" s="132"/>
      <c r="E1006" s="132"/>
      <c r="F1006" s="132"/>
      <c r="G1006" s="132"/>
      <c r="H1006" s="132"/>
      <c r="I1006" s="132"/>
      <c r="J1006" s="132"/>
      <c r="K1006" s="132"/>
      <c r="L1006" s="132"/>
    </row>
    <row r="1007" spans="1:12" x14ac:dyDescent="0.3">
      <c r="A1007" s="132"/>
      <c r="B1007" s="132"/>
      <c r="C1007" s="132"/>
      <c r="D1007" s="132"/>
      <c r="E1007" s="132"/>
      <c r="F1007" s="132"/>
      <c r="G1007" s="132"/>
      <c r="H1007" s="132"/>
      <c r="I1007" s="132"/>
      <c r="J1007" s="132"/>
      <c r="K1007" s="132"/>
      <c r="L1007" s="132"/>
    </row>
    <row r="1008" spans="1:12" x14ac:dyDescent="0.3">
      <c r="A1008" s="132"/>
      <c r="B1008" s="132"/>
      <c r="C1008" s="132"/>
      <c r="D1008" s="132"/>
      <c r="E1008" s="132"/>
      <c r="F1008" s="132"/>
      <c r="G1008" s="132"/>
      <c r="H1008" s="132"/>
      <c r="I1008" s="132"/>
      <c r="J1008" s="132"/>
      <c r="K1008" s="132"/>
      <c r="L1008" s="132"/>
    </row>
    <row r="1009" spans="1:12" x14ac:dyDescent="0.3">
      <c r="A1009" s="132"/>
      <c r="B1009" s="132"/>
      <c r="C1009" s="132"/>
      <c r="D1009" s="132"/>
      <c r="E1009" s="132"/>
      <c r="F1009" s="132"/>
      <c r="G1009" s="132"/>
      <c r="H1009" s="132"/>
      <c r="I1009" s="132"/>
      <c r="J1009" s="132"/>
      <c r="K1009" s="132"/>
      <c r="L1009" s="132"/>
    </row>
    <row r="1010" spans="1:12" x14ac:dyDescent="0.3">
      <c r="A1010" s="132"/>
      <c r="B1010" s="132"/>
      <c r="C1010" s="132"/>
      <c r="D1010" s="132"/>
      <c r="E1010" s="132"/>
      <c r="F1010" s="132"/>
      <c r="G1010" s="132"/>
      <c r="H1010" s="132"/>
      <c r="I1010" s="132"/>
      <c r="J1010" s="132"/>
      <c r="K1010" s="132"/>
      <c r="L1010" s="132"/>
    </row>
    <row r="1011" spans="1:12" x14ac:dyDescent="0.3">
      <c r="A1011" s="132"/>
      <c r="B1011" s="132"/>
      <c r="C1011" s="132"/>
      <c r="D1011" s="132"/>
      <c r="E1011" s="132"/>
      <c r="F1011" s="132"/>
      <c r="G1011" s="132"/>
      <c r="H1011" s="132"/>
      <c r="I1011" s="132"/>
      <c r="J1011" s="132"/>
      <c r="K1011" s="132"/>
      <c r="L1011" s="132"/>
    </row>
    <row r="1012" spans="1:12" x14ac:dyDescent="0.3">
      <c r="A1012" s="132"/>
      <c r="B1012" s="132"/>
      <c r="C1012" s="132"/>
      <c r="D1012" s="132"/>
      <c r="E1012" s="132"/>
      <c r="F1012" s="132"/>
      <c r="G1012" s="132"/>
      <c r="H1012" s="132"/>
      <c r="I1012" s="132"/>
      <c r="J1012" s="132"/>
      <c r="K1012" s="132"/>
      <c r="L1012" s="132"/>
    </row>
    <row r="1013" spans="1:12" x14ac:dyDescent="0.3">
      <c r="A1013" s="132"/>
      <c r="B1013" s="132"/>
      <c r="C1013" s="132"/>
      <c r="D1013" s="132"/>
      <c r="E1013" s="132"/>
      <c r="F1013" s="132"/>
      <c r="G1013" s="132"/>
      <c r="H1013" s="132"/>
      <c r="I1013" s="132"/>
      <c r="J1013" s="132"/>
      <c r="K1013" s="132"/>
      <c r="L1013" s="132"/>
    </row>
    <row r="1014" spans="1:12" x14ac:dyDescent="0.3">
      <c r="A1014" s="132"/>
      <c r="B1014" s="132"/>
      <c r="C1014" s="132"/>
      <c r="D1014" s="132"/>
      <c r="E1014" s="132"/>
      <c r="F1014" s="132"/>
      <c r="G1014" s="132"/>
      <c r="H1014" s="132"/>
      <c r="I1014" s="132"/>
      <c r="J1014" s="132"/>
      <c r="K1014" s="132"/>
      <c r="L1014" s="132"/>
    </row>
    <row r="1015" spans="1:12" x14ac:dyDescent="0.3">
      <c r="A1015" s="132"/>
      <c r="B1015" s="132"/>
      <c r="C1015" s="132"/>
      <c r="D1015" s="132"/>
      <c r="E1015" s="132"/>
      <c r="F1015" s="132"/>
      <c r="G1015" s="132"/>
      <c r="H1015" s="132"/>
      <c r="I1015" s="132"/>
      <c r="J1015" s="132"/>
      <c r="K1015" s="132"/>
      <c r="L1015" s="132"/>
    </row>
    <row r="1016" spans="1:12" x14ac:dyDescent="0.3">
      <c r="A1016" s="132"/>
      <c r="B1016" s="132"/>
      <c r="C1016" s="132"/>
      <c r="D1016" s="132"/>
      <c r="E1016" s="132"/>
      <c r="F1016" s="132"/>
      <c r="G1016" s="132"/>
      <c r="H1016" s="132"/>
      <c r="I1016" s="132"/>
      <c r="J1016" s="132"/>
      <c r="K1016" s="132"/>
      <c r="L1016" s="132"/>
    </row>
    <row r="1017" spans="1:12" x14ac:dyDescent="0.3">
      <c r="A1017" s="132"/>
      <c r="B1017" s="132"/>
      <c r="C1017" s="132"/>
      <c r="D1017" s="132"/>
      <c r="E1017" s="132"/>
      <c r="F1017" s="132"/>
      <c r="G1017" s="132"/>
      <c r="H1017" s="132"/>
      <c r="I1017" s="132"/>
      <c r="J1017" s="132"/>
      <c r="K1017" s="132"/>
      <c r="L1017" s="132"/>
    </row>
    <row r="1018" spans="1:12" x14ac:dyDescent="0.3">
      <c r="A1018" s="132"/>
      <c r="B1018" s="132"/>
      <c r="C1018" s="132"/>
      <c r="D1018" s="132"/>
      <c r="E1018" s="132"/>
      <c r="F1018" s="132"/>
      <c r="G1018" s="132"/>
      <c r="H1018" s="132"/>
      <c r="I1018" s="132"/>
      <c r="J1018" s="132"/>
      <c r="K1018" s="132"/>
      <c r="L1018" s="132"/>
    </row>
    <row r="1019" spans="1:12" x14ac:dyDescent="0.3">
      <c r="A1019" s="132"/>
      <c r="B1019" s="132"/>
      <c r="C1019" s="132"/>
      <c r="D1019" s="132"/>
      <c r="E1019" s="132"/>
      <c r="F1019" s="132"/>
      <c r="G1019" s="132"/>
      <c r="H1019" s="132"/>
      <c r="I1019" s="132"/>
      <c r="J1019" s="132"/>
      <c r="K1019" s="132"/>
      <c r="L1019" s="132"/>
    </row>
    <row r="1020" spans="1:12" x14ac:dyDescent="0.3">
      <c r="A1020" s="132"/>
      <c r="B1020" s="132"/>
      <c r="C1020" s="132"/>
      <c r="D1020" s="132"/>
      <c r="E1020" s="132"/>
      <c r="F1020" s="132"/>
      <c r="G1020" s="132"/>
      <c r="H1020" s="132"/>
      <c r="I1020" s="132"/>
      <c r="J1020" s="132"/>
      <c r="K1020" s="132"/>
      <c r="L1020" s="132"/>
    </row>
    <row r="1021" spans="1:12" x14ac:dyDescent="0.3">
      <c r="A1021" s="132"/>
      <c r="B1021" s="132"/>
      <c r="C1021" s="132"/>
      <c r="D1021" s="132"/>
      <c r="E1021" s="132"/>
      <c r="F1021" s="132"/>
      <c r="G1021" s="132"/>
      <c r="H1021" s="132"/>
      <c r="I1021" s="132"/>
      <c r="J1021" s="132"/>
      <c r="K1021" s="132"/>
      <c r="L1021" s="132"/>
    </row>
    <row r="1022" spans="1:12" x14ac:dyDescent="0.3">
      <c r="A1022" s="132"/>
      <c r="B1022" s="132"/>
      <c r="C1022" s="132"/>
      <c r="D1022" s="132"/>
      <c r="E1022" s="132"/>
      <c r="F1022" s="132"/>
      <c r="G1022" s="132"/>
      <c r="H1022" s="132"/>
      <c r="I1022" s="132"/>
      <c r="J1022" s="132"/>
      <c r="K1022" s="132"/>
      <c r="L1022" s="132"/>
    </row>
    <row r="1023" spans="1:12" x14ac:dyDescent="0.3">
      <c r="A1023" s="132"/>
      <c r="B1023" s="132"/>
      <c r="C1023" s="132"/>
      <c r="D1023" s="132"/>
      <c r="E1023" s="132"/>
      <c r="F1023" s="132"/>
      <c r="G1023" s="132"/>
      <c r="H1023" s="132"/>
      <c r="I1023" s="132"/>
      <c r="J1023" s="132"/>
      <c r="K1023" s="132"/>
      <c r="L1023" s="132"/>
    </row>
    <row r="1024" spans="1:12" x14ac:dyDescent="0.3">
      <c r="A1024" s="132"/>
      <c r="B1024" s="132"/>
      <c r="C1024" s="132"/>
      <c r="D1024" s="132"/>
      <c r="E1024" s="132"/>
      <c r="F1024" s="132"/>
      <c r="G1024" s="132"/>
      <c r="H1024" s="132"/>
      <c r="I1024" s="132"/>
      <c r="J1024" s="132"/>
      <c r="K1024" s="132"/>
      <c r="L1024" s="132"/>
    </row>
    <row r="1025" spans="1:12" x14ac:dyDescent="0.3">
      <c r="A1025" s="132"/>
      <c r="B1025" s="132"/>
      <c r="C1025" s="132"/>
      <c r="D1025" s="132"/>
      <c r="E1025" s="132"/>
      <c r="F1025" s="132"/>
      <c r="G1025" s="132"/>
      <c r="H1025" s="132"/>
      <c r="I1025" s="132"/>
      <c r="J1025" s="132"/>
      <c r="K1025" s="132"/>
      <c r="L1025" s="132"/>
    </row>
    <row r="1026" spans="1:12" x14ac:dyDescent="0.3">
      <c r="A1026" s="132"/>
      <c r="B1026" s="132"/>
      <c r="C1026" s="132"/>
      <c r="D1026" s="132"/>
      <c r="E1026" s="132"/>
      <c r="F1026" s="132"/>
      <c r="G1026" s="132"/>
      <c r="H1026" s="132"/>
      <c r="I1026" s="132"/>
      <c r="J1026" s="132"/>
      <c r="K1026" s="132"/>
      <c r="L1026" s="132"/>
    </row>
    <row r="1027" spans="1:12" x14ac:dyDescent="0.3">
      <c r="A1027" s="132"/>
      <c r="B1027" s="132"/>
      <c r="C1027" s="132"/>
      <c r="D1027" s="132"/>
      <c r="E1027" s="132"/>
      <c r="F1027" s="132"/>
      <c r="G1027" s="132"/>
      <c r="H1027" s="132"/>
      <c r="I1027" s="132"/>
      <c r="J1027" s="132"/>
      <c r="K1027" s="132"/>
      <c r="L1027" s="132"/>
    </row>
    <row r="1028" spans="1:12" x14ac:dyDescent="0.3">
      <c r="A1028" s="132"/>
      <c r="B1028" s="132"/>
      <c r="C1028" s="132"/>
      <c r="D1028" s="132"/>
      <c r="E1028" s="132"/>
      <c r="F1028" s="132"/>
      <c r="G1028" s="132"/>
      <c r="H1028" s="132"/>
      <c r="I1028" s="132"/>
      <c r="J1028" s="132"/>
      <c r="K1028" s="132"/>
      <c r="L1028" s="132"/>
    </row>
    <row r="1029" spans="1:12" x14ac:dyDescent="0.3">
      <c r="A1029" s="132"/>
      <c r="B1029" s="132"/>
      <c r="C1029" s="132"/>
      <c r="D1029" s="132"/>
      <c r="E1029" s="132"/>
      <c r="F1029" s="132"/>
      <c r="G1029" s="132"/>
      <c r="H1029" s="132"/>
      <c r="I1029" s="132"/>
      <c r="J1029" s="132"/>
      <c r="K1029" s="132"/>
      <c r="L1029" s="132"/>
    </row>
    <row r="1030" spans="1:12" x14ac:dyDescent="0.3">
      <c r="A1030" s="132"/>
      <c r="B1030" s="132"/>
      <c r="C1030" s="132"/>
      <c r="D1030" s="132"/>
      <c r="E1030" s="132"/>
      <c r="F1030" s="132"/>
      <c r="G1030" s="132"/>
      <c r="H1030" s="132"/>
      <c r="I1030" s="132"/>
      <c r="J1030" s="132"/>
      <c r="K1030" s="132"/>
      <c r="L1030" s="132"/>
    </row>
    <row r="1031" spans="1:12" x14ac:dyDescent="0.3">
      <c r="A1031" s="132"/>
      <c r="B1031" s="132"/>
      <c r="C1031" s="132"/>
      <c r="D1031" s="132"/>
      <c r="E1031" s="132"/>
      <c r="F1031" s="132"/>
      <c r="G1031" s="132"/>
      <c r="H1031" s="132"/>
      <c r="I1031" s="132"/>
      <c r="J1031" s="132"/>
      <c r="K1031" s="132"/>
      <c r="L1031" s="132"/>
    </row>
    <row r="1032" spans="1:12" x14ac:dyDescent="0.3">
      <c r="A1032" s="132"/>
      <c r="B1032" s="132"/>
      <c r="C1032" s="132"/>
      <c r="D1032" s="132"/>
      <c r="E1032" s="132"/>
      <c r="F1032" s="132"/>
      <c r="G1032" s="132"/>
      <c r="H1032" s="132"/>
      <c r="I1032" s="132"/>
      <c r="J1032" s="132"/>
      <c r="K1032" s="132"/>
      <c r="L1032" s="132"/>
    </row>
    <row r="1033" spans="1:12" x14ac:dyDescent="0.3">
      <c r="A1033" s="132"/>
      <c r="B1033" s="132"/>
      <c r="C1033" s="132"/>
      <c r="D1033" s="132"/>
      <c r="E1033" s="132"/>
      <c r="F1033" s="132"/>
      <c r="G1033" s="132"/>
      <c r="H1033" s="132"/>
      <c r="I1033" s="132"/>
      <c r="J1033" s="132"/>
      <c r="K1033" s="132"/>
      <c r="L1033" s="132"/>
    </row>
    <row r="1034" spans="1:12" x14ac:dyDescent="0.3">
      <c r="A1034" s="132"/>
      <c r="B1034" s="132"/>
      <c r="C1034" s="132"/>
      <c r="D1034" s="132"/>
      <c r="E1034" s="132"/>
      <c r="F1034" s="132"/>
      <c r="G1034" s="132"/>
      <c r="H1034" s="132"/>
      <c r="I1034" s="132"/>
      <c r="J1034" s="132"/>
      <c r="K1034" s="132"/>
      <c r="L1034" s="132"/>
    </row>
    <row r="1035" spans="1:12" x14ac:dyDescent="0.3">
      <c r="A1035" s="132"/>
      <c r="B1035" s="132"/>
      <c r="C1035" s="132"/>
      <c r="D1035" s="132"/>
      <c r="E1035" s="132"/>
      <c r="F1035" s="132"/>
      <c r="G1035" s="132"/>
      <c r="H1035" s="132"/>
      <c r="I1035" s="132"/>
      <c r="J1035" s="132"/>
      <c r="K1035" s="132"/>
      <c r="L1035" s="132"/>
    </row>
    <row r="1036" spans="1:12" x14ac:dyDescent="0.3">
      <c r="A1036" s="132"/>
      <c r="B1036" s="132"/>
      <c r="C1036" s="132"/>
      <c r="D1036" s="132"/>
      <c r="E1036" s="132"/>
      <c r="F1036" s="132"/>
      <c r="G1036" s="132"/>
      <c r="H1036" s="132"/>
      <c r="I1036" s="132"/>
      <c r="J1036" s="132"/>
      <c r="K1036" s="132"/>
      <c r="L1036" s="132"/>
    </row>
    <row r="1037" spans="1:12" x14ac:dyDescent="0.3">
      <c r="A1037" s="132"/>
      <c r="B1037" s="132"/>
      <c r="C1037" s="132"/>
      <c r="D1037" s="132"/>
      <c r="E1037" s="132"/>
      <c r="F1037" s="132"/>
      <c r="G1037" s="132"/>
      <c r="H1037" s="132"/>
      <c r="I1037" s="132"/>
      <c r="J1037" s="132"/>
      <c r="K1037" s="132"/>
      <c r="L1037" s="132"/>
    </row>
    <row r="1038" spans="1:12" x14ac:dyDescent="0.3">
      <c r="A1038" s="132"/>
      <c r="B1038" s="132"/>
      <c r="C1038" s="132"/>
      <c r="D1038" s="132"/>
      <c r="E1038" s="132"/>
      <c r="F1038" s="132"/>
      <c r="G1038" s="132"/>
      <c r="H1038" s="132"/>
      <c r="I1038" s="132"/>
      <c r="J1038" s="132"/>
      <c r="K1038" s="132"/>
      <c r="L1038" s="132"/>
    </row>
    <row r="1039" spans="1:12" x14ac:dyDescent="0.3">
      <c r="A1039" s="132"/>
      <c r="B1039" s="132"/>
      <c r="C1039" s="132"/>
      <c r="D1039" s="132"/>
      <c r="E1039" s="132"/>
      <c r="F1039" s="132"/>
      <c r="G1039" s="132"/>
      <c r="H1039" s="132"/>
      <c r="I1039" s="132"/>
      <c r="J1039" s="132"/>
      <c r="K1039" s="132"/>
      <c r="L1039" s="132"/>
    </row>
    <row r="1040" spans="1:12" x14ac:dyDescent="0.3">
      <c r="A1040" s="132"/>
      <c r="B1040" s="132"/>
      <c r="C1040" s="132"/>
      <c r="D1040" s="132"/>
      <c r="E1040" s="132"/>
      <c r="F1040" s="132"/>
      <c r="G1040" s="132"/>
      <c r="H1040" s="132"/>
      <c r="I1040" s="132"/>
      <c r="J1040" s="132"/>
      <c r="K1040" s="132"/>
      <c r="L1040" s="132"/>
    </row>
    <row r="1041" spans="1:12" x14ac:dyDescent="0.3">
      <c r="A1041" s="132"/>
      <c r="B1041" s="132"/>
      <c r="C1041" s="132"/>
      <c r="D1041" s="132"/>
      <c r="E1041" s="132"/>
      <c r="F1041" s="132"/>
      <c r="G1041" s="132"/>
      <c r="H1041" s="132"/>
      <c r="I1041" s="132"/>
      <c r="J1041" s="132"/>
      <c r="K1041" s="132"/>
      <c r="L1041" s="132"/>
    </row>
    <row r="1042" spans="1:12" x14ac:dyDescent="0.3">
      <c r="A1042" s="132"/>
      <c r="B1042" s="132"/>
      <c r="C1042" s="132"/>
      <c r="D1042" s="132"/>
      <c r="E1042" s="132"/>
      <c r="F1042" s="132"/>
      <c r="G1042" s="132"/>
      <c r="H1042" s="132"/>
      <c r="I1042" s="132"/>
      <c r="J1042" s="132"/>
      <c r="K1042" s="132"/>
      <c r="L1042" s="132"/>
    </row>
    <row r="1043" spans="1:12" x14ac:dyDescent="0.3">
      <c r="A1043" s="132"/>
      <c r="B1043" s="132"/>
      <c r="C1043" s="132"/>
      <c r="D1043" s="132"/>
      <c r="E1043" s="132"/>
      <c r="F1043" s="132"/>
      <c r="G1043" s="132"/>
      <c r="H1043" s="132"/>
      <c r="I1043" s="132"/>
      <c r="J1043" s="132"/>
      <c r="K1043" s="132"/>
      <c r="L1043" s="132"/>
    </row>
    <row r="1044" spans="1:12" x14ac:dyDescent="0.3">
      <c r="A1044" s="132"/>
      <c r="B1044" s="132"/>
      <c r="C1044" s="132"/>
      <c r="D1044" s="132"/>
      <c r="E1044" s="132"/>
      <c r="F1044" s="132"/>
      <c r="G1044" s="132"/>
      <c r="H1044" s="132"/>
      <c r="I1044" s="132"/>
      <c r="J1044" s="132"/>
      <c r="K1044" s="132"/>
      <c r="L1044" s="132"/>
    </row>
    <row r="1045" spans="1:12" x14ac:dyDescent="0.3">
      <c r="A1045" s="132"/>
      <c r="B1045" s="132"/>
      <c r="C1045" s="132"/>
      <c r="D1045" s="132"/>
      <c r="E1045" s="132"/>
      <c r="F1045" s="132"/>
      <c r="G1045" s="132"/>
      <c r="H1045" s="132"/>
      <c r="I1045" s="132"/>
      <c r="J1045" s="132"/>
      <c r="K1045" s="132"/>
      <c r="L1045" s="132"/>
    </row>
    <row r="1046" spans="1:12" x14ac:dyDescent="0.3">
      <c r="A1046" s="132"/>
      <c r="B1046" s="132"/>
      <c r="C1046" s="132"/>
      <c r="D1046" s="132"/>
      <c r="E1046" s="132"/>
      <c r="F1046" s="132"/>
      <c r="G1046" s="132"/>
      <c r="H1046" s="132"/>
      <c r="I1046" s="132"/>
      <c r="J1046" s="132"/>
      <c r="K1046" s="132"/>
      <c r="L1046" s="132"/>
    </row>
    <row r="1047" spans="1:12" x14ac:dyDescent="0.3">
      <c r="A1047" s="132"/>
      <c r="B1047" s="132"/>
      <c r="C1047" s="132"/>
      <c r="D1047" s="132"/>
      <c r="E1047" s="132"/>
      <c r="F1047" s="132"/>
      <c r="G1047" s="132"/>
      <c r="H1047" s="132"/>
      <c r="I1047" s="132"/>
      <c r="J1047" s="132"/>
      <c r="K1047" s="132"/>
      <c r="L1047" s="132"/>
    </row>
    <row r="1048" spans="1:12" x14ac:dyDescent="0.3">
      <c r="A1048" s="132"/>
      <c r="B1048" s="132"/>
      <c r="C1048" s="132"/>
      <c r="D1048" s="132"/>
      <c r="E1048" s="132"/>
      <c r="F1048" s="132"/>
      <c r="G1048" s="132"/>
      <c r="H1048" s="132"/>
      <c r="I1048" s="132"/>
      <c r="J1048" s="132"/>
      <c r="K1048" s="132"/>
      <c r="L1048" s="132"/>
    </row>
    <row r="1049" spans="1:12" x14ac:dyDescent="0.3">
      <c r="A1049" s="132"/>
      <c r="B1049" s="132"/>
      <c r="C1049" s="132"/>
      <c r="D1049" s="132"/>
      <c r="E1049" s="132"/>
      <c r="F1049" s="132"/>
      <c r="G1049" s="132"/>
      <c r="H1049" s="132"/>
      <c r="I1049" s="132"/>
      <c r="J1049" s="132"/>
      <c r="K1049" s="132"/>
      <c r="L1049" s="132"/>
    </row>
    <row r="1050" spans="1:12" x14ac:dyDescent="0.3">
      <c r="A1050" s="132"/>
      <c r="B1050" s="132"/>
      <c r="C1050" s="132"/>
      <c r="D1050" s="132"/>
      <c r="E1050" s="132"/>
      <c r="F1050" s="132"/>
      <c r="G1050" s="132"/>
      <c r="H1050" s="132"/>
      <c r="I1050" s="132"/>
      <c r="J1050" s="132"/>
      <c r="K1050" s="132"/>
      <c r="L1050" s="132"/>
    </row>
    <row r="1051" spans="1:12" x14ac:dyDescent="0.3">
      <c r="A1051" s="132"/>
      <c r="B1051" s="132"/>
      <c r="C1051" s="132"/>
      <c r="D1051" s="132"/>
      <c r="E1051" s="132"/>
      <c r="F1051" s="132"/>
      <c r="G1051" s="132"/>
      <c r="H1051" s="132"/>
      <c r="I1051" s="132"/>
      <c r="J1051" s="132"/>
      <c r="K1051" s="132"/>
      <c r="L1051" s="132"/>
    </row>
    <row r="1052" spans="1:12" x14ac:dyDescent="0.3">
      <c r="A1052" s="132"/>
      <c r="B1052" s="132"/>
      <c r="C1052" s="132"/>
      <c r="D1052" s="132"/>
      <c r="E1052" s="132"/>
      <c r="F1052" s="132"/>
      <c r="G1052" s="132"/>
      <c r="H1052" s="132"/>
      <c r="I1052" s="132"/>
      <c r="J1052" s="132"/>
      <c r="K1052" s="132"/>
      <c r="L1052" s="132"/>
    </row>
    <row r="1053" spans="1:12" x14ac:dyDescent="0.3">
      <c r="A1053" s="132"/>
      <c r="B1053" s="132"/>
      <c r="C1053" s="132"/>
      <c r="D1053" s="132"/>
      <c r="E1053" s="132"/>
      <c r="F1053" s="132"/>
      <c r="G1053" s="132"/>
      <c r="H1053" s="132"/>
      <c r="I1053" s="132"/>
      <c r="J1053" s="132"/>
      <c r="K1053" s="132"/>
      <c r="L1053" s="132"/>
    </row>
    <row r="1054" spans="1:12" x14ac:dyDescent="0.3">
      <c r="A1054" s="132"/>
      <c r="B1054" s="132"/>
      <c r="C1054" s="132"/>
      <c r="D1054" s="132"/>
      <c r="E1054" s="132"/>
      <c r="F1054" s="132"/>
      <c r="G1054" s="132"/>
      <c r="H1054" s="132"/>
      <c r="I1054" s="132"/>
      <c r="J1054" s="132"/>
      <c r="K1054" s="132"/>
      <c r="L1054" s="132"/>
    </row>
    <row r="1055" spans="1:12" x14ac:dyDescent="0.3">
      <c r="A1055" s="132"/>
      <c r="B1055" s="132"/>
      <c r="C1055" s="132"/>
      <c r="D1055" s="132"/>
      <c r="E1055" s="132"/>
      <c r="F1055" s="132"/>
      <c r="G1055" s="132"/>
      <c r="H1055" s="132"/>
      <c r="I1055" s="132"/>
      <c r="J1055" s="132"/>
      <c r="K1055" s="132"/>
      <c r="L1055" s="132"/>
    </row>
    <row r="1056" spans="1:12" x14ac:dyDescent="0.3">
      <c r="A1056" s="132"/>
      <c r="B1056" s="132"/>
      <c r="C1056" s="132"/>
      <c r="D1056" s="132"/>
      <c r="E1056" s="132"/>
      <c r="F1056" s="132"/>
      <c r="G1056" s="132"/>
      <c r="H1056" s="132"/>
      <c r="I1056" s="132"/>
      <c r="J1056" s="132"/>
      <c r="K1056" s="132"/>
      <c r="L1056" s="132"/>
    </row>
    <row r="1057" spans="1:12" x14ac:dyDescent="0.3">
      <c r="A1057" s="132"/>
      <c r="B1057" s="132"/>
      <c r="C1057" s="132"/>
      <c r="D1057" s="132"/>
      <c r="E1057" s="132"/>
      <c r="F1057" s="132"/>
      <c r="G1057" s="132"/>
      <c r="H1057" s="132"/>
      <c r="I1057" s="132"/>
      <c r="J1057" s="132"/>
      <c r="K1057" s="132"/>
      <c r="L1057" s="132"/>
    </row>
    <row r="1058" spans="1:12" x14ac:dyDescent="0.3">
      <c r="A1058" s="132"/>
      <c r="B1058" s="132"/>
      <c r="C1058" s="132"/>
      <c r="D1058" s="132"/>
      <c r="E1058" s="132"/>
      <c r="F1058" s="132"/>
      <c r="G1058" s="132"/>
      <c r="H1058" s="132"/>
      <c r="I1058" s="132"/>
      <c r="J1058" s="132"/>
      <c r="K1058" s="132"/>
      <c r="L1058" s="132"/>
    </row>
    <row r="1059" spans="1:12" x14ac:dyDescent="0.3">
      <c r="A1059" s="132"/>
      <c r="B1059" s="132"/>
      <c r="C1059" s="132"/>
      <c r="D1059" s="132"/>
      <c r="E1059" s="132"/>
      <c r="F1059" s="132"/>
      <c r="G1059" s="132"/>
      <c r="H1059" s="132"/>
      <c r="I1059" s="132"/>
      <c r="J1059" s="132"/>
      <c r="K1059" s="132"/>
      <c r="L1059" s="132"/>
    </row>
    <row r="1060" spans="1:12" x14ac:dyDescent="0.3">
      <c r="A1060" s="132"/>
      <c r="B1060" s="132"/>
      <c r="C1060" s="132"/>
      <c r="D1060" s="132"/>
      <c r="E1060" s="132"/>
      <c r="F1060" s="132"/>
      <c r="G1060" s="132"/>
      <c r="H1060" s="132"/>
      <c r="I1060" s="132"/>
      <c r="J1060" s="132"/>
      <c r="K1060" s="132"/>
      <c r="L1060" s="132"/>
    </row>
    <row r="1061" spans="1:12" x14ac:dyDescent="0.3">
      <c r="A1061" s="132"/>
      <c r="B1061" s="132"/>
      <c r="C1061" s="132"/>
      <c r="D1061" s="132"/>
      <c r="E1061" s="132"/>
      <c r="F1061" s="132"/>
      <c r="G1061" s="132"/>
      <c r="H1061" s="132"/>
      <c r="I1061" s="132"/>
      <c r="J1061" s="132"/>
      <c r="K1061" s="132"/>
      <c r="L1061" s="132"/>
    </row>
    <row r="1062" spans="1:12" x14ac:dyDescent="0.3">
      <c r="A1062" s="132"/>
      <c r="B1062" s="132"/>
      <c r="C1062" s="132"/>
      <c r="D1062" s="132"/>
      <c r="E1062" s="132"/>
      <c r="F1062" s="132"/>
      <c r="G1062" s="132"/>
      <c r="H1062" s="132"/>
      <c r="I1062" s="132"/>
      <c r="J1062" s="132"/>
      <c r="K1062" s="132"/>
      <c r="L1062" s="132"/>
    </row>
    <row r="1063" spans="1:12" x14ac:dyDescent="0.3">
      <c r="A1063" s="132"/>
      <c r="B1063" s="132"/>
      <c r="C1063" s="132"/>
      <c r="D1063" s="132"/>
      <c r="E1063" s="132"/>
      <c r="F1063" s="132"/>
      <c r="G1063" s="132"/>
      <c r="H1063" s="132"/>
      <c r="I1063" s="132"/>
      <c r="J1063" s="132"/>
      <c r="K1063" s="132"/>
      <c r="L1063" s="132"/>
    </row>
    <row r="1064" spans="1:12" x14ac:dyDescent="0.3">
      <c r="A1064" s="132"/>
      <c r="B1064" s="132"/>
      <c r="C1064" s="132"/>
      <c r="D1064" s="132"/>
      <c r="E1064" s="132"/>
      <c r="F1064" s="132"/>
      <c r="G1064" s="132"/>
      <c r="H1064" s="132"/>
      <c r="I1064" s="132"/>
      <c r="J1064" s="132"/>
      <c r="K1064" s="132"/>
      <c r="L1064" s="132"/>
    </row>
    <row r="1065" spans="1:12" x14ac:dyDescent="0.3">
      <c r="A1065" s="132"/>
      <c r="B1065" s="132"/>
      <c r="C1065" s="132"/>
      <c r="D1065" s="132"/>
      <c r="E1065" s="132"/>
      <c r="F1065" s="132"/>
      <c r="G1065" s="132"/>
      <c r="H1065" s="132"/>
      <c r="I1065" s="132"/>
      <c r="J1065" s="132"/>
      <c r="K1065" s="132"/>
      <c r="L1065" s="132"/>
    </row>
    <row r="1066" spans="1:12" x14ac:dyDescent="0.3">
      <c r="A1066" s="132"/>
      <c r="B1066" s="132"/>
      <c r="C1066" s="132"/>
      <c r="D1066" s="132"/>
      <c r="E1066" s="132"/>
      <c r="F1066" s="132"/>
      <c r="G1066" s="132"/>
      <c r="H1066" s="132"/>
      <c r="I1066" s="132"/>
      <c r="J1066" s="132"/>
      <c r="K1066" s="132"/>
      <c r="L1066" s="132"/>
    </row>
    <row r="1067" spans="1:12" x14ac:dyDescent="0.3">
      <c r="A1067" s="132"/>
      <c r="B1067" s="132"/>
      <c r="C1067" s="132"/>
      <c r="D1067" s="132"/>
      <c r="E1067" s="132"/>
      <c r="F1067" s="132"/>
      <c r="G1067" s="132"/>
      <c r="H1067" s="132"/>
      <c r="I1067" s="132"/>
      <c r="J1067" s="132"/>
      <c r="K1067" s="132"/>
      <c r="L1067" s="132"/>
    </row>
    <row r="1068" spans="1:12" x14ac:dyDescent="0.3">
      <c r="A1068" s="132"/>
      <c r="B1068" s="132"/>
      <c r="C1068" s="132"/>
      <c r="D1068" s="132"/>
      <c r="E1068" s="132"/>
      <c r="F1068" s="132"/>
      <c r="G1068" s="132"/>
      <c r="H1068" s="132"/>
      <c r="I1068" s="132"/>
      <c r="J1068" s="132"/>
      <c r="K1068" s="132"/>
      <c r="L1068" s="132"/>
    </row>
    <row r="1069" spans="1:12" x14ac:dyDescent="0.3">
      <c r="A1069" s="132"/>
      <c r="B1069" s="132"/>
      <c r="C1069" s="132"/>
      <c r="D1069" s="132"/>
      <c r="E1069" s="132"/>
      <c r="F1069" s="132"/>
      <c r="G1069" s="132"/>
      <c r="H1069" s="132"/>
      <c r="I1069" s="132"/>
      <c r="J1069" s="132"/>
      <c r="K1069" s="132"/>
      <c r="L1069" s="132"/>
    </row>
    <row r="1070" spans="1:12" x14ac:dyDescent="0.3">
      <c r="A1070" s="132"/>
      <c r="B1070" s="132"/>
      <c r="C1070" s="132"/>
      <c r="D1070" s="132"/>
      <c r="E1070" s="132"/>
      <c r="F1070" s="132"/>
      <c r="G1070" s="132"/>
      <c r="H1070" s="132"/>
      <c r="I1070" s="132"/>
      <c r="J1070" s="132"/>
      <c r="K1070" s="132"/>
      <c r="L1070" s="132"/>
    </row>
    <row r="1071" spans="1:12" x14ac:dyDescent="0.3">
      <c r="A1071" s="132"/>
      <c r="B1071" s="132"/>
      <c r="C1071" s="132"/>
      <c r="D1071" s="132"/>
      <c r="E1071" s="132"/>
      <c r="F1071" s="132"/>
      <c r="G1071" s="132"/>
      <c r="H1071" s="132"/>
      <c r="I1071" s="132"/>
      <c r="J1071" s="132"/>
      <c r="K1071" s="132"/>
      <c r="L1071" s="132"/>
    </row>
    <row r="1072" spans="1:12" x14ac:dyDescent="0.3">
      <c r="A1072" s="132"/>
      <c r="B1072" s="132"/>
      <c r="C1072" s="132"/>
      <c r="D1072" s="132"/>
      <c r="E1072" s="132"/>
      <c r="F1072" s="132"/>
      <c r="G1072" s="132"/>
      <c r="H1072" s="132"/>
      <c r="I1072" s="132"/>
      <c r="J1072" s="132"/>
      <c r="K1072" s="132"/>
      <c r="L1072" s="132"/>
    </row>
    <row r="1073" spans="1:12" x14ac:dyDescent="0.3">
      <c r="A1073" s="132"/>
      <c r="B1073" s="132"/>
      <c r="C1073" s="132"/>
      <c r="D1073" s="132"/>
      <c r="E1073" s="132"/>
      <c r="F1073" s="132"/>
      <c r="G1073" s="132"/>
      <c r="H1073" s="132"/>
      <c r="I1073" s="132"/>
      <c r="J1073" s="132"/>
      <c r="K1073" s="132"/>
      <c r="L1073" s="132"/>
    </row>
    <row r="1074" spans="1:12" x14ac:dyDescent="0.3">
      <c r="A1074" s="132"/>
      <c r="B1074" s="132"/>
      <c r="C1074" s="132"/>
      <c r="D1074" s="132"/>
      <c r="E1074" s="132"/>
      <c r="F1074" s="132"/>
      <c r="G1074" s="132"/>
      <c r="H1074" s="132"/>
      <c r="I1074" s="132"/>
      <c r="J1074" s="132"/>
      <c r="K1074" s="132"/>
      <c r="L1074" s="132"/>
    </row>
    <row r="1075" spans="1:12" x14ac:dyDescent="0.3">
      <c r="A1075" s="132"/>
      <c r="B1075" s="132"/>
      <c r="C1075" s="132"/>
      <c r="D1075" s="132"/>
      <c r="E1075" s="132"/>
      <c r="F1075" s="132"/>
      <c r="G1075" s="132"/>
      <c r="H1075" s="132"/>
      <c r="I1075" s="132"/>
      <c r="J1075" s="132"/>
      <c r="K1075" s="132"/>
      <c r="L1075" s="132"/>
    </row>
    <row r="1076" spans="1:12" x14ac:dyDescent="0.3">
      <c r="A1076" s="132"/>
      <c r="B1076" s="132"/>
      <c r="C1076" s="132"/>
      <c r="D1076" s="132"/>
      <c r="E1076" s="132"/>
      <c r="F1076" s="132"/>
      <c r="G1076" s="132"/>
      <c r="H1076" s="132"/>
      <c r="I1076" s="132"/>
      <c r="J1076" s="132"/>
      <c r="K1076" s="132"/>
      <c r="L1076" s="132"/>
    </row>
    <row r="1077" spans="1:12" x14ac:dyDescent="0.3">
      <c r="A1077" s="132"/>
      <c r="B1077" s="132"/>
      <c r="C1077" s="132"/>
      <c r="D1077" s="132"/>
      <c r="E1077" s="132"/>
      <c r="F1077" s="132"/>
      <c r="G1077" s="132"/>
      <c r="H1077" s="132"/>
      <c r="I1077" s="132"/>
      <c r="J1077" s="132"/>
      <c r="K1077" s="132"/>
      <c r="L1077" s="132"/>
    </row>
    <row r="1078" spans="1:12" x14ac:dyDescent="0.3">
      <c r="A1078" s="132"/>
      <c r="B1078" s="132"/>
      <c r="C1078" s="132"/>
      <c r="D1078" s="132"/>
      <c r="E1078" s="132"/>
      <c r="F1078" s="132"/>
      <c r="G1078" s="132"/>
      <c r="H1078" s="132"/>
      <c r="I1078" s="132"/>
      <c r="J1078" s="132"/>
      <c r="K1078" s="132"/>
      <c r="L1078" s="132"/>
    </row>
    <row r="1079" spans="1:12" x14ac:dyDescent="0.3">
      <c r="A1079" s="132"/>
      <c r="B1079" s="132"/>
      <c r="C1079" s="132"/>
      <c r="D1079" s="132"/>
      <c r="E1079" s="132"/>
      <c r="F1079" s="132"/>
      <c r="G1079" s="132"/>
      <c r="H1079" s="132"/>
      <c r="I1079" s="132"/>
      <c r="J1079" s="132"/>
      <c r="K1079" s="132"/>
      <c r="L1079" s="132"/>
    </row>
    <row r="1080" spans="1:12" x14ac:dyDescent="0.3">
      <c r="A1080" s="132"/>
      <c r="B1080" s="132"/>
      <c r="C1080" s="132"/>
      <c r="D1080" s="132"/>
      <c r="E1080" s="132"/>
      <c r="F1080" s="132"/>
      <c r="G1080" s="132"/>
      <c r="H1080" s="132"/>
      <c r="I1080" s="132"/>
      <c r="J1080" s="132"/>
      <c r="K1080" s="132"/>
      <c r="L1080" s="132"/>
    </row>
    <row r="1081" spans="1:12" x14ac:dyDescent="0.3">
      <c r="A1081" s="132"/>
      <c r="B1081" s="132"/>
      <c r="C1081" s="132"/>
      <c r="D1081" s="132"/>
      <c r="E1081" s="132"/>
      <c r="F1081" s="132"/>
      <c r="G1081" s="132"/>
      <c r="H1081" s="132"/>
      <c r="I1081" s="132"/>
      <c r="J1081" s="132"/>
      <c r="K1081" s="132"/>
      <c r="L1081" s="132"/>
    </row>
    <row r="1082" spans="1:12" x14ac:dyDescent="0.3">
      <c r="A1082" s="132"/>
      <c r="B1082" s="132"/>
      <c r="C1082" s="132"/>
      <c r="D1082" s="132"/>
      <c r="E1082" s="132"/>
      <c r="F1082" s="132"/>
      <c r="G1082" s="132"/>
      <c r="H1082" s="132"/>
      <c r="I1082" s="132"/>
      <c r="J1082" s="132"/>
      <c r="K1082" s="132"/>
      <c r="L1082" s="132"/>
    </row>
    <row r="1083" spans="1:12" x14ac:dyDescent="0.3">
      <c r="A1083" s="132"/>
      <c r="B1083" s="132"/>
      <c r="C1083" s="132"/>
      <c r="D1083" s="132"/>
      <c r="E1083" s="132"/>
      <c r="F1083" s="132"/>
      <c r="G1083" s="132"/>
      <c r="H1083" s="132"/>
      <c r="I1083" s="132"/>
      <c r="J1083" s="132"/>
      <c r="K1083" s="132"/>
      <c r="L1083" s="132"/>
    </row>
    <row r="1084" spans="1:12" x14ac:dyDescent="0.3">
      <c r="A1084" s="132"/>
      <c r="B1084" s="132"/>
      <c r="C1084" s="132"/>
      <c r="D1084" s="132"/>
      <c r="E1084" s="132"/>
      <c r="F1084" s="132"/>
      <c r="G1084" s="132"/>
      <c r="H1084" s="132"/>
      <c r="I1084" s="132"/>
      <c r="J1084" s="132"/>
      <c r="K1084" s="132"/>
      <c r="L1084" s="132"/>
    </row>
    <row r="1085" spans="1:12" x14ac:dyDescent="0.3">
      <c r="A1085" s="132"/>
      <c r="B1085" s="132"/>
      <c r="C1085" s="132"/>
      <c r="D1085" s="132"/>
      <c r="E1085" s="132"/>
      <c r="F1085" s="132"/>
      <c r="G1085" s="132"/>
      <c r="H1085" s="132"/>
      <c r="I1085" s="132"/>
      <c r="J1085" s="132"/>
      <c r="K1085" s="132"/>
      <c r="L1085" s="132"/>
    </row>
    <row r="1086" spans="1:12" x14ac:dyDescent="0.3">
      <c r="A1086" s="132"/>
      <c r="B1086" s="132"/>
      <c r="C1086" s="132"/>
      <c r="D1086" s="132"/>
      <c r="E1086" s="132"/>
      <c r="F1086" s="132"/>
      <c r="G1086" s="132"/>
      <c r="H1086" s="132"/>
      <c r="I1086" s="132"/>
      <c r="J1086" s="132"/>
      <c r="K1086" s="132"/>
      <c r="L1086" s="132"/>
    </row>
    <row r="1087" spans="1:12" x14ac:dyDescent="0.3">
      <c r="A1087" s="132"/>
      <c r="B1087" s="132"/>
      <c r="C1087" s="132"/>
      <c r="D1087" s="132"/>
      <c r="E1087" s="132"/>
      <c r="F1087" s="132"/>
      <c r="G1087" s="132"/>
      <c r="H1087" s="132"/>
      <c r="I1087" s="132"/>
      <c r="J1087" s="132"/>
      <c r="K1087" s="132"/>
      <c r="L1087" s="132"/>
    </row>
    <row r="1088" spans="1:12" x14ac:dyDescent="0.3">
      <c r="A1088" s="132"/>
      <c r="B1088" s="132"/>
      <c r="C1088" s="132"/>
      <c r="D1088" s="132"/>
      <c r="E1088" s="132"/>
      <c r="F1088" s="132"/>
      <c r="G1088" s="132"/>
      <c r="H1088" s="132"/>
      <c r="I1088" s="132"/>
      <c r="J1088" s="132"/>
      <c r="K1088" s="132"/>
      <c r="L1088" s="132"/>
    </row>
    <row r="1089" spans="1:12" x14ac:dyDescent="0.3">
      <c r="A1089" s="132"/>
      <c r="B1089" s="132"/>
      <c r="C1089" s="132"/>
      <c r="D1089" s="132"/>
      <c r="E1089" s="132"/>
      <c r="F1089" s="132"/>
      <c r="G1089" s="132"/>
      <c r="H1089" s="132"/>
      <c r="I1089" s="132"/>
      <c r="J1089" s="132"/>
      <c r="K1089" s="132"/>
      <c r="L1089" s="132"/>
    </row>
    <row r="1090" spans="1:12" x14ac:dyDescent="0.3">
      <c r="A1090" s="132"/>
      <c r="B1090" s="132"/>
      <c r="C1090" s="132"/>
      <c r="D1090" s="132"/>
      <c r="E1090" s="132"/>
      <c r="F1090" s="132"/>
      <c r="G1090" s="132"/>
      <c r="H1090" s="132"/>
      <c r="I1090" s="132"/>
      <c r="J1090" s="132"/>
      <c r="K1090" s="132"/>
      <c r="L1090" s="132"/>
    </row>
    <row r="1091" spans="1:12" x14ac:dyDescent="0.3">
      <c r="A1091" s="132"/>
      <c r="B1091" s="132"/>
      <c r="C1091" s="132"/>
      <c r="D1091" s="132"/>
      <c r="E1091" s="132"/>
      <c r="F1091" s="132"/>
      <c r="G1091" s="132"/>
      <c r="H1091" s="132"/>
      <c r="I1091" s="132"/>
      <c r="J1091" s="132"/>
      <c r="K1091" s="132"/>
      <c r="L1091" s="132"/>
    </row>
    <row r="1092" spans="1:12" x14ac:dyDescent="0.3">
      <c r="A1092" s="132"/>
      <c r="B1092" s="132"/>
      <c r="C1092" s="132"/>
      <c r="D1092" s="132"/>
      <c r="E1092" s="132"/>
      <c r="F1092" s="132"/>
      <c r="G1092" s="132"/>
      <c r="H1092" s="132"/>
      <c r="I1092" s="132"/>
      <c r="J1092" s="132"/>
      <c r="K1092" s="132"/>
      <c r="L1092" s="132"/>
    </row>
    <row r="1093" spans="1:12" x14ac:dyDescent="0.3">
      <c r="A1093" s="132"/>
      <c r="B1093" s="132"/>
      <c r="C1093" s="132"/>
      <c r="D1093" s="132"/>
      <c r="E1093" s="132"/>
      <c r="F1093" s="132"/>
      <c r="G1093" s="132"/>
      <c r="H1093" s="132"/>
      <c r="I1093" s="132"/>
      <c r="J1093" s="132"/>
      <c r="K1093" s="132"/>
      <c r="L1093" s="132"/>
    </row>
    <row r="1094" spans="1:12" x14ac:dyDescent="0.3">
      <c r="A1094" s="132"/>
      <c r="B1094" s="132"/>
      <c r="C1094" s="132"/>
      <c r="D1094" s="132"/>
      <c r="E1094" s="132"/>
      <c r="F1094" s="132"/>
      <c r="G1094" s="132"/>
      <c r="H1094" s="132"/>
      <c r="I1094" s="132"/>
      <c r="J1094" s="132"/>
      <c r="K1094" s="132"/>
      <c r="L1094" s="132"/>
    </row>
    <row r="1095" spans="1:12" x14ac:dyDescent="0.3">
      <c r="A1095" s="132"/>
      <c r="B1095" s="132"/>
      <c r="C1095" s="132"/>
      <c r="D1095" s="132"/>
      <c r="E1095" s="132"/>
      <c r="F1095" s="132"/>
      <c r="G1095" s="132"/>
      <c r="H1095" s="132"/>
      <c r="I1095" s="132"/>
      <c r="J1095" s="132"/>
      <c r="K1095" s="132"/>
      <c r="L1095" s="132"/>
    </row>
    <row r="1096" spans="1:12" x14ac:dyDescent="0.3">
      <c r="A1096" s="132"/>
      <c r="B1096" s="132"/>
      <c r="C1096" s="132"/>
      <c r="D1096" s="132"/>
      <c r="E1096" s="132"/>
      <c r="F1096" s="132"/>
      <c r="G1096" s="132"/>
      <c r="H1096" s="132"/>
      <c r="I1096" s="132"/>
      <c r="J1096" s="132"/>
      <c r="K1096" s="132"/>
      <c r="L1096" s="132"/>
    </row>
    <row r="1097" spans="1:12" x14ac:dyDescent="0.3">
      <c r="A1097" s="132"/>
      <c r="B1097" s="132"/>
      <c r="C1097" s="132"/>
      <c r="D1097" s="132"/>
      <c r="E1097" s="132"/>
      <c r="F1097" s="132"/>
      <c r="G1097" s="132"/>
      <c r="H1097" s="132"/>
      <c r="I1097" s="132"/>
      <c r="J1097" s="132"/>
      <c r="K1097" s="132"/>
      <c r="L1097" s="132"/>
    </row>
    <row r="1098" spans="1:12" x14ac:dyDescent="0.3">
      <c r="A1098" s="132"/>
      <c r="B1098" s="132"/>
      <c r="C1098" s="132"/>
      <c r="D1098" s="132"/>
      <c r="E1098" s="132"/>
      <c r="F1098" s="132"/>
      <c r="G1098" s="132"/>
      <c r="H1098" s="132"/>
      <c r="I1098" s="132"/>
      <c r="J1098" s="132"/>
      <c r="K1098" s="132"/>
      <c r="L1098" s="132"/>
    </row>
    <row r="1099" spans="1:12" x14ac:dyDescent="0.3">
      <c r="A1099" s="132"/>
      <c r="B1099" s="132"/>
      <c r="C1099" s="132"/>
      <c r="D1099" s="132"/>
      <c r="E1099" s="132"/>
      <c r="F1099" s="132"/>
      <c r="G1099" s="132"/>
      <c r="H1099" s="132"/>
      <c r="I1099" s="132"/>
      <c r="J1099" s="132"/>
      <c r="K1099" s="132"/>
      <c r="L1099" s="132"/>
    </row>
    <row r="1100" spans="1:12" x14ac:dyDescent="0.3">
      <c r="A1100" s="132"/>
      <c r="B1100" s="132"/>
      <c r="C1100" s="132"/>
      <c r="D1100" s="132"/>
      <c r="E1100" s="132"/>
      <c r="F1100" s="132"/>
      <c r="G1100" s="132"/>
      <c r="H1100" s="132"/>
      <c r="I1100" s="132"/>
      <c r="J1100" s="132"/>
      <c r="K1100" s="132"/>
      <c r="L1100" s="132"/>
    </row>
    <row r="1101" spans="1:12" x14ac:dyDescent="0.3">
      <c r="A1101" s="132"/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</row>
    <row r="1102" spans="1:12" x14ac:dyDescent="0.3">
      <c r="A1102" s="132"/>
      <c r="B1102" s="132"/>
      <c r="C1102" s="132"/>
      <c r="D1102" s="132"/>
      <c r="E1102" s="132"/>
      <c r="F1102" s="132"/>
      <c r="G1102" s="132"/>
      <c r="H1102" s="132"/>
      <c r="I1102" s="132"/>
      <c r="J1102" s="132"/>
      <c r="K1102" s="132"/>
      <c r="L1102" s="132"/>
    </row>
    <row r="1103" spans="1:12" x14ac:dyDescent="0.3">
      <c r="A1103" s="132"/>
      <c r="B1103" s="132"/>
      <c r="C1103" s="132"/>
      <c r="D1103" s="132"/>
      <c r="E1103" s="132"/>
      <c r="F1103" s="132"/>
      <c r="G1103" s="132"/>
      <c r="H1103" s="132"/>
      <c r="I1103" s="132"/>
      <c r="J1103" s="132"/>
      <c r="K1103" s="132"/>
      <c r="L1103" s="132"/>
    </row>
    <row r="1104" spans="1:12" x14ac:dyDescent="0.3">
      <c r="A1104" s="132"/>
      <c r="B1104" s="132"/>
      <c r="C1104" s="132"/>
      <c r="D1104" s="132"/>
      <c r="E1104" s="132"/>
      <c r="F1104" s="132"/>
      <c r="G1104" s="132"/>
      <c r="H1104" s="132"/>
      <c r="I1104" s="132"/>
      <c r="J1104" s="132"/>
      <c r="K1104" s="132"/>
      <c r="L1104" s="132"/>
    </row>
    <row r="1105" spans="1:12" x14ac:dyDescent="0.3">
      <c r="A1105" s="132"/>
      <c r="B1105" s="132"/>
      <c r="C1105" s="132"/>
      <c r="D1105" s="132"/>
      <c r="E1105" s="132"/>
      <c r="F1105" s="132"/>
      <c r="G1105" s="132"/>
      <c r="H1105" s="132"/>
      <c r="I1105" s="132"/>
      <c r="J1105" s="132"/>
      <c r="K1105" s="132"/>
      <c r="L1105" s="132"/>
    </row>
    <row r="1106" spans="1:12" x14ac:dyDescent="0.3">
      <c r="A1106" s="132"/>
      <c r="B1106" s="132"/>
      <c r="C1106" s="132"/>
      <c r="D1106" s="132"/>
      <c r="E1106" s="132"/>
      <c r="F1106" s="132"/>
      <c r="G1106" s="132"/>
      <c r="H1106" s="132"/>
      <c r="I1106" s="132"/>
      <c r="J1106" s="132"/>
      <c r="K1106" s="132"/>
      <c r="L1106" s="132"/>
    </row>
    <row r="1107" spans="1:12" x14ac:dyDescent="0.3">
      <c r="A1107" s="132"/>
      <c r="B1107" s="132"/>
      <c r="C1107" s="132"/>
      <c r="D1107" s="132"/>
      <c r="E1107" s="132"/>
      <c r="F1107" s="132"/>
      <c r="G1107" s="132"/>
      <c r="H1107" s="132"/>
      <c r="I1107" s="132"/>
      <c r="J1107" s="132"/>
      <c r="K1107" s="132"/>
      <c r="L1107" s="132"/>
    </row>
    <row r="1108" spans="1:12" x14ac:dyDescent="0.3">
      <c r="A1108" s="132"/>
      <c r="B1108" s="132"/>
      <c r="C1108" s="132"/>
      <c r="D1108" s="132"/>
      <c r="E1108" s="132"/>
      <c r="F1108" s="132"/>
      <c r="G1108" s="132"/>
      <c r="H1108" s="132"/>
      <c r="I1108" s="132"/>
      <c r="J1108" s="132"/>
      <c r="K1108" s="132"/>
      <c r="L1108" s="132"/>
    </row>
    <row r="1109" spans="1:12" x14ac:dyDescent="0.3">
      <c r="A1109" s="132"/>
      <c r="B1109" s="132"/>
      <c r="C1109" s="132"/>
      <c r="D1109" s="132"/>
      <c r="E1109" s="132"/>
      <c r="F1109" s="132"/>
      <c r="G1109" s="132"/>
      <c r="H1109" s="132"/>
      <c r="I1109" s="132"/>
      <c r="J1109" s="132"/>
      <c r="K1109" s="132"/>
      <c r="L1109" s="132"/>
    </row>
    <row r="1110" spans="1:12" x14ac:dyDescent="0.3">
      <c r="A1110" s="132"/>
      <c r="B1110" s="132"/>
      <c r="C1110" s="132"/>
      <c r="D1110" s="132"/>
      <c r="E1110" s="132"/>
      <c r="F1110" s="132"/>
      <c r="G1110" s="132"/>
      <c r="H1110" s="132"/>
      <c r="I1110" s="132"/>
      <c r="J1110" s="132"/>
      <c r="K1110" s="132"/>
      <c r="L1110" s="132"/>
    </row>
    <row r="1111" spans="1:12" x14ac:dyDescent="0.3">
      <c r="A1111" s="132"/>
      <c r="B1111" s="132"/>
      <c r="C1111" s="132"/>
      <c r="D1111" s="132"/>
      <c r="E1111" s="132"/>
      <c r="F1111" s="132"/>
      <c r="G1111" s="132"/>
      <c r="H1111" s="132"/>
      <c r="I1111" s="132"/>
      <c r="J1111" s="132"/>
      <c r="K1111" s="132"/>
      <c r="L1111" s="132"/>
    </row>
    <row r="1112" spans="1:12" x14ac:dyDescent="0.3">
      <c r="A1112" s="132"/>
      <c r="B1112" s="132"/>
      <c r="C1112" s="132"/>
      <c r="D1112" s="132"/>
      <c r="E1112" s="132"/>
      <c r="F1112" s="132"/>
      <c r="G1112" s="132"/>
      <c r="H1112" s="132"/>
      <c r="I1112" s="132"/>
      <c r="J1112" s="132"/>
      <c r="K1112" s="132"/>
      <c r="L1112" s="132"/>
    </row>
    <row r="1113" spans="1:12" x14ac:dyDescent="0.3">
      <c r="A1113" s="132"/>
      <c r="B1113" s="132"/>
      <c r="C1113" s="132"/>
      <c r="D1113" s="132"/>
      <c r="E1113" s="132"/>
      <c r="F1113" s="132"/>
      <c r="G1113" s="132"/>
      <c r="H1113" s="132"/>
      <c r="I1113" s="132"/>
      <c r="J1113" s="132"/>
      <c r="K1113" s="132"/>
      <c r="L1113" s="132"/>
    </row>
    <row r="1114" spans="1:12" x14ac:dyDescent="0.3">
      <c r="A1114" s="132"/>
      <c r="B1114" s="132"/>
      <c r="C1114" s="132"/>
      <c r="D1114" s="132"/>
      <c r="E1114" s="132"/>
      <c r="F1114" s="132"/>
      <c r="G1114" s="132"/>
      <c r="H1114" s="132"/>
      <c r="I1114" s="132"/>
      <c r="J1114" s="132"/>
      <c r="K1114" s="132"/>
      <c r="L1114" s="132"/>
    </row>
    <row r="1115" spans="1:12" x14ac:dyDescent="0.3">
      <c r="A1115" s="132"/>
      <c r="B1115" s="132"/>
      <c r="C1115" s="132"/>
      <c r="D1115" s="132"/>
      <c r="E1115" s="132"/>
      <c r="F1115" s="132"/>
      <c r="G1115" s="132"/>
      <c r="H1115" s="132"/>
      <c r="I1115" s="132"/>
      <c r="J1115" s="132"/>
      <c r="K1115" s="132"/>
      <c r="L1115" s="132"/>
    </row>
    <row r="1116" spans="1:12" x14ac:dyDescent="0.3">
      <c r="A1116" s="132"/>
      <c r="B1116" s="132"/>
      <c r="C1116" s="132"/>
      <c r="D1116" s="132"/>
      <c r="E1116" s="132"/>
      <c r="F1116" s="132"/>
      <c r="G1116" s="132"/>
      <c r="H1116" s="132"/>
      <c r="I1116" s="132"/>
      <c r="J1116" s="132"/>
      <c r="K1116" s="132"/>
      <c r="L1116" s="132"/>
    </row>
    <row r="1117" spans="1:12" x14ac:dyDescent="0.3">
      <c r="A1117" s="132"/>
      <c r="B1117" s="132"/>
      <c r="C1117" s="132"/>
      <c r="D1117" s="132"/>
      <c r="E1117" s="132"/>
      <c r="F1117" s="132"/>
      <c r="G1117" s="132"/>
      <c r="H1117" s="132"/>
      <c r="I1117" s="132"/>
      <c r="J1117" s="132"/>
      <c r="K1117" s="132"/>
      <c r="L1117" s="132"/>
    </row>
    <row r="1118" spans="1:12" x14ac:dyDescent="0.3">
      <c r="A1118" s="132"/>
      <c r="B1118" s="132"/>
      <c r="C1118" s="132"/>
      <c r="D1118" s="132"/>
      <c r="E1118" s="132"/>
      <c r="F1118" s="132"/>
      <c r="G1118" s="132"/>
      <c r="H1118" s="132"/>
      <c r="I1118" s="132"/>
      <c r="J1118" s="132"/>
      <c r="K1118" s="132"/>
      <c r="L1118" s="132"/>
    </row>
    <row r="1119" spans="1:12" x14ac:dyDescent="0.3">
      <c r="A1119" s="132"/>
      <c r="B1119" s="132"/>
      <c r="C1119" s="132"/>
      <c r="D1119" s="132"/>
      <c r="E1119" s="132"/>
      <c r="F1119" s="132"/>
      <c r="G1119" s="132"/>
      <c r="H1119" s="132"/>
      <c r="I1119" s="132"/>
      <c r="J1119" s="132"/>
      <c r="K1119" s="132"/>
      <c r="L1119" s="132"/>
    </row>
    <row r="1120" spans="1:12" x14ac:dyDescent="0.3">
      <c r="A1120" s="132"/>
      <c r="B1120" s="132"/>
      <c r="C1120" s="132"/>
      <c r="D1120" s="132"/>
      <c r="E1120" s="132"/>
      <c r="F1120" s="132"/>
      <c r="G1120" s="132"/>
      <c r="H1120" s="132"/>
      <c r="I1120" s="132"/>
      <c r="J1120" s="132"/>
      <c r="K1120" s="132"/>
      <c r="L1120" s="132"/>
    </row>
    <row r="1121" spans="1:12" x14ac:dyDescent="0.3">
      <c r="A1121" s="132"/>
      <c r="B1121" s="132"/>
      <c r="C1121" s="132"/>
      <c r="D1121" s="132"/>
      <c r="E1121" s="132"/>
      <c r="F1121" s="132"/>
      <c r="G1121" s="132"/>
      <c r="H1121" s="132"/>
      <c r="I1121" s="132"/>
      <c r="J1121" s="132"/>
      <c r="K1121" s="132"/>
      <c r="L1121" s="132"/>
    </row>
    <row r="1122" spans="1:12" x14ac:dyDescent="0.3">
      <c r="A1122" s="132"/>
      <c r="B1122" s="132"/>
      <c r="C1122" s="132"/>
      <c r="D1122" s="132"/>
      <c r="E1122" s="132"/>
      <c r="F1122" s="132"/>
      <c r="G1122" s="132"/>
      <c r="H1122" s="132"/>
      <c r="I1122" s="132"/>
      <c r="J1122" s="132"/>
      <c r="K1122" s="132"/>
      <c r="L1122" s="132"/>
    </row>
    <row r="1123" spans="1:12" x14ac:dyDescent="0.3">
      <c r="A1123" s="132"/>
      <c r="B1123" s="132"/>
      <c r="C1123" s="132"/>
      <c r="D1123" s="132"/>
      <c r="E1123" s="132"/>
      <c r="F1123" s="132"/>
      <c r="G1123" s="132"/>
      <c r="H1123" s="132"/>
      <c r="I1123" s="132"/>
      <c r="J1123" s="132"/>
      <c r="K1123" s="132"/>
      <c r="L1123" s="132"/>
    </row>
    <row r="1124" spans="1:12" x14ac:dyDescent="0.3">
      <c r="A1124" s="132"/>
      <c r="B1124" s="132"/>
      <c r="C1124" s="132"/>
      <c r="D1124" s="132"/>
      <c r="E1124" s="132"/>
      <c r="F1124" s="132"/>
      <c r="G1124" s="132"/>
      <c r="H1124" s="132"/>
      <c r="I1124" s="132"/>
      <c r="J1124" s="132"/>
      <c r="K1124" s="132"/>
      <c r="L1124" s="132"/>
    </row>
    <row r="1125" spans="1:12" x14ac:dyDescent="0.3">
      <c r="A1125" s="132"/>
      <c r="B1125" s="132"/>
      <c r="C1125" s="132"/>
      <c r="D1125" s="132"/>
      <c r="E1125" s="132"/>
      <c r="F1125" s="132"/>
      <c r="G1125" s="132"/>
      <c r="H1125" s="132"/>
      <c r="I1125" s="132"/>
      <c r="J1125" s="132"/>
      <c r="K1125" s="132"/>
      <c r="L1125" s="132"/>
    </row>
    <row r="1126" spans="1:12" x14ac:dyDescent="0.3">
      <c r="A1126" s="132"/>
      <c r="B1126" s="132"/>
      <c r="C1126" s="132"/>
      <c r="D1126" s="132"/>
      <c r="E1126" s="132"/>
      <c r="F1126" s="132"/>
      <c r="G1126" s="132"/>
      <c r="H1126" s="132"/>
      <c r="I1126" s="132"/>
      <c r="J1126" s="132"/>
      <c r="K1126" s="132"/>
      <c r="L1126" s="132"/>
    </row>
    <row r="1127" spans="1:12" x14ac:dyDescent="0.3">
      <c r="A1127" s="132"/>
      <c r="B1127" s="132"/>
      <c r="C1127" s="132"/>
      <c r="D1127" s="132"/>
      <c r="E1127" s="132"/>
      <c r="F1127" s="132"/>
      <c r="G1127" s="132"/>
      <c r="H1127" s="132"/>
      <c r="I1127" s="132"/>
      <c r="J1127" s="132"/>
      <c r="K1127" s="132"/>
      <c r="L1127" s="132"/>
    </row>
    <row r="1128" spans="1:12" x14ac:dyDescent="0.3">
      <c r="A1128" s="132"/>
      <c r="B1128" s="132"/>
      <c r="C1128" s="132"/>
      <c r="D1128" s="132"/>
      <c r="E1128" s="132"/>
      <c r="F1128" s="132"/>
      <c r="G1128" s="132"/>
      <c r="H1128" s="132"/>
      <c r="I1128" s="132"/>
      <c r="J1128" s="132"/>
      <c r="K1128" s="132"/>
      <c r="L1128" s="132"/>
    </row>
    <row r="1129" spans="1:12" x14ac:dyDescent="0.3">
      <c r="A1129" s="132"/>
      <c r="B1129" s="132"/>
      <c r="C1129" s="132"/>
      <c r="D1129" s="132"/>
      <c r="E1129" s="132"/>
      <c r="F1129" s="132"/>
      <c r="G1129" s="132"/>
      <c r="H1129" s="132"/>
      <c r="I1129" s="132"/>
      <c r="J1129" s="132"/>
      <c r="K1129" s="132"/>
      <c r="L1129" s="132"/>
    </row>
    <row r="1130" spans="1:12" x14ac:dyDescent="0.3">
      <c r="A1130" s="132"/>
      <c r="B1130" s="132"/>
      <c r="C1130" s="132"/>
      <c r="D1130" s="132"/>
      <c r="E1130" s="132"/>
      <c r="F1130" s="132"/>
      <c r="G1130" s="132"/>
      <c r="H1130" s="132"/>
      <c r="I1130" s="132"/>
      <c r="J1130" s="132"/>
      <c r="K1130" s="132"/>
      <c r="L1130" s="132"/>
    </row>
    <row r="1131" spans="1:12" x14ac:dyDescent="0.3">
      <c r="A1131" s="132"/>
      <c r="B1131" s="132"/>
      <c r="C1131" s="132"/>
      <c r="D1131" s="132"/>
      <c r="E1131" s="132"/>
      <c r="F1131" s="132"/>
      <c r="G1131" s="132"/>
      <c r="H1131" s="132"/>
      <c r="I1131" s="132"/>
      <c r="J1131" s="132"/>
      <c r="K1131" s="132"/>
      <c r="L1131" s="132"/>
    </row>
    <row r="1132" spans="1:12" x14ac:dyDescent="0.3">
      <c r="A1132" s="132"/>
      <c r="B1132" s="132"/>
      <c r="C1132" s="132"/>
      <c r="D1132" s="132"/>
      <c r="E1132" s="132"/>
      <c r="F1132" s="132"/>
      <c r="G1132" s="132"/>
      <c r="H1132" s="132"/>
      <c r="I1132" s="132"/>
      <c r="J1132" s="132"/>
      <c r="K1132" s="132"/>
      <c r="L1132" s="132"/>
    </row>
    <row r="1133" spans="1:12" x14ac:dyDescent="0.3">
      <c r="A1133" s="132"/>
      <c r="B1133" s="132"/>
      <c r="C1133" s="132"/>
      <c r="D1133" s="132"/>
      <c r="E1133" s="132"/>
      <c r="F1133" s="132"/>
      <c r="G1133" s="132"/>
      <c r="H1133" s="132"/>
      <c r="I1133" s="132"/>
      <c r="J1133" s="132"/>
      <c r="K1133" s="132"/>
      <c r="L1133" s="132"/>
    </row>
    <row r="1134" spans="1:12" x14ac:dyDescent="0.3">
      <c r="A1134" s="132"/>
      <c r="B1134" s="132"/>
      <c r="C1134" s="132"/>
      <c r="D1134" s="132"/>
      <c r="E1134" s="132"/>
      <c r="F1134" s="132"/>
      <c r="G1134" s="132"/>
      <c r="H1134" s="132"/>
      <c r="I1134" s="132"/>
      <c r="J1134" s="132"/>
      <c r="K1134" s="132"/>
      <c r="L1134" s="132"/>
    </row>
    <row r="1135" spans="1:12" x14ac:dyDescent="0.3">
      <c r="A1135" s="132"/>
      <c r="B1135" s="132"/>
      <c r="C1135" s="132"/>
      <c r="D1135" s="132"/>
      <c r="E1135" s="132"/>
      <c r="F1135" s="132"/>
      <c r="G1135" s="132"/>
      <c r="H1135" s="132"/>
      <c r="I1135" s="132"/>
      <c r="J1135" s="132"/>
      <c r="K1135" s="132"/>
      <c r="L1135" s="132"/>
    </row>
    <row r="1136" spans="1:12" x14ac:dyDescent="0.3">
      <c r="A1136" s="132"/>
      <c r="B1136" s="132"/>
      <c r="C1136" s="132"/>
      <c r="D1136" s="132"/>
      <c r="E1136" s="132"/>
      <c r="F1136" s="132"/>
      <c r="G1136" s="132"/>
      <c r="H1136" s="132"/>
      <c r="I1136" s="132"/>
      <c r="J1136" s="132"/>
      <c r="K1136" s="132"/>
      <c r="L1136" s="132"/>
    </row>
    <row r="1137" spans="1:12" x14ac:dyDescent="0.3">
      <c r="A1137" s="132"/>
      <c r="B1137" s="132"/>
      <c r="C1137" s="132"/>
      <c r="D1137" s="132"/>
      <c r="E1137" s="132"/>
      <c r="F1137" s="132"/>
      <c r="G1137" s="132"/>
      <c r="H1137" s="132"/>
      <c r="I1137" s="132"/>
      <c r="J1137" s="132"/>
      <c r="K1137" s="132"/>
      <c r="L1137" s="132"/>
    </row>
    <row r="1138" spans="1:12" x14ac:dyDescent="0.3">
      <c r="A1138" s="132"/>
      <c r="B1138" s="132"/>
      <c r="C1138" s="132"/>
      <c r="D1138" s="132"/>
      <c r="E1138" s="132"/>
      <c r="F1138" s="132"/>
      <c r="G1138" s="132"/>
      <c r="H1138" s="132"/>
      <c r="I1138" s="132"/>
      <c r="J1138" s="132"/>
      <c r="K1138" s="132"/>
      <c r="L1138" s="132"/>
    </row>
    <row r="1139" spans="1:12" x14ac:dyDescent="0.3">
      <c r="A1139" s="132"/>
      <c r="B1139" s="132"/>
      <c r="C1139" s="132"/>
      <c r="D1139" s="132"/>
      <c r="E1139" s="132"/>
      <c r="F1139" s="132"/>
      <c r="G1139" s="132"/>
      <c r="H1139" s="132"/>
      <c r="I1139" s="132"/>
      <c r="J1139" s="132"/>
      <c r="K1139" s="132"/>
      <c r="L1139" s="132"/>
    </row>
    <row r="1140" spans="1:12" x14ac:dyDescent="0.3">
      <c r="A1140" s="132"/>
      <c r="B1140" s="132"/>
      <c r="C1140" s="132"/>
      <c r="D1140" s="132"/>
      <c r="E1140" s="132"/>
      <c r="F1140" s="132"/>
      <c r="G1140" s="132"/>
      <c r="H1140" s="132"/>
      <c r="I1140" s="132"/>
      <c r="J1140" s="132"/>
      <c r="K1140" s="132"/>
      <c r="L1140" s="132"/>
    </row>
    <row r="1141" spans="1:12" x14ac:dyDescent="0.3">
      <c r="A1141" s="132"/>
      <c r="B1141" s="132"/>
      <c r="C1141" s="132"/>
      <c r="D1141" s="132"/>
      <c r="E1141" s="132"/>
      <c r="F1141" s="132"/>
      <c r="G1141" s="132"/>
      <c r="H1141" s="132"/>
      <c r="I1141" s="132"/>
      <c r="J1141" s="132"/>
      <c r="K1141" s="132"/>
      <c r="L1141" s="132"/>
    </row>
    <row r="1142" spans="1:12" x14ac:dyDescent="0.3">
      <c r="A1142" s="132"/>
      <c r="B1142" s="132"/>
      <c r="C1142" s="132"/>
      <c r="D1142" s="132"/>
      <c r="E1142" s="132"/>
      <c r="F1142" s="132"/>
      <c r="G1142" s="132"/>
      <c r="H1142" s="132"/>
      <c r="I1142" s="132"/>
      <c r="J1142" s="132"/>
      <c r="K1142" s="132"/>
      <c r="L1142" s="132"/>
    </row>
    <row r="1143" spans="1:12" x14ac:dyDescent="0.3">
      <c r="A1143" s="132"/>
      <c r="B1143" s="132"/>
      <c r="C1143" s="132"/>
      <c r="D1143" s="132"/>
      <c r="E1143" s="132"/>
      <c r="F1143" s="132"/>
      <c r="G1143" s="132"/>
      <c r="H1143" s="132"/>
      <c r="I1143" s="132"/>
      <c r="J1143" s="132"/>
      <c r="K1143" s="132"/>
      <c r="L1143" s="132"/>
    </row>
    <row r="1144" spans="1:12" x14ac:dyDescent="0.3">
      <c r="A1144" s="132"/>
      <c r="B1144" s="132"/>
      <c r="C1144" s="132"/>
      <c r="D1144" s="132"/>
      <c r="E1144" s="132"/>
      <c r="F1144" s="132"/>
      <c r="G1144" s="132"/>
      <c r="H1144" s="132"/>
      <c r="I1144" s="132"/>
      <c r="J1144" s="132"/>
      <c r="K1144" s="132"/>
      <c r="L1144" s="132"/>
    </row>
    <row r="1145" spans="1:12" x14ac:dyDescent="0.3">
      <c r="A1145" s="132"/>
      <c r="B1145" s="132"/>
      <c r="C1145" s="132"/>
      <c r="D1145" s="132"/>
      <c r="E1145" s="132"/>
      <c r="F1145" s="132"/>
      <c r="G1145" s="132"/>
      <c r="H1145" s="132"/>
      <c r="I1145" s="132"/>
      <c r="J1145" s="132"/>
      <c r="K1145" s="132"/>
      <c r="L1145" s="132"/>
    </row>
    <row r="1146" spans="1:12" x14ac:dyDescent="0.3">
      <c r="A1146" s="132"/>
      <c r="B1146" s="132"/>
      <c r="C1146" s="132"/>
      <c r="D1146" s="132"/>
      <c r="E1146" s="132"/>
      <c r="F1146" s="132"/>
      <c r="G1146" s="132"/>
      <c r="H1146" s="132"/>
      <c r="I1146" s="132"/>
      <c r="J1146" s="132"/>
      <c r="K1146" s="132"/>
      <c r="L1146" s="132"/>
    </row>
    <row r="1147" spans="1:12" x14ac:dyDescent="0.3">
      <c r="A1147" s="132"/>
      <c r="B1147" s="132"/>
      <c r="C1147" s="132"/>
      <c r="D1147" s="132"/>
      <c r="E1147" s="132"/>
      <c r="F1147" s="132"/>
      <c r="G1147" s="132"/>
      <c r="H1147" s="132"/>
      <c r="I1147" s="132"/>
      <c r="J1147" s="132"/>
      <c r="K1147" s="132"/>
      <c r="L1147" s="132"/>
    </row>
    <row r="1148" spans="1:12" x14ac:dyDescent="0.3">
      <c r="A1148" s="132"/>
      <c r="B1148" s="132"/>
      <c r="C1148" s="132"/>
      <c r="D1148" s="132"/>
      <c r="E1148" s="132"/>
      <c r="F1148" s="132"/>
      <c r="G1148" s="132"/>
      <c r="H1148" s="132"/>
      <c r="I1148" s="132"/>
      <c r="J1148" s="132"/>
      <c r="K1148" s="132"/>
      <c r="L1148" s="132"/>
    </row>
    <row r="1149" spans="1:12" x14ac:dyDescent="0.3">
      <c r="A1149" s="132"/>
      <c r="B1149" s="132"/>
      <c r="C1149" s="132"/>
      <c r="D1149" s="132"/>
      <c r="E1149" s="132"/>
      <c r="F1149" s="132"/>
      <c r="G1149" s="132"/>
      <c r="H1149" s="132"/>
      <c r="I1149" s="132"/>
      <c r="J1149" s="132"/>
      <c r="K1149" s="132"/>
      <c r="L1149" s="132"/>
    </row>
    <row r="1150" spans="1:12" x14ac:dyDescent="0.3">
      <c r="A1150" s="132"/>
      <c r="B1150" s="132"/>
      <c r="C1150" s="132"/>
      <c r="D1150" s="132"/>
      <c r="E1150" s="132"/>
      <c r="F1150" s="132"/>
      <c r="G1150" s="132"/>
      <c r="H1150" s="132"/>
      <c r="I1150" s="132"/>
      <c r="J1150" s="132"/>
      <c r="K1150" s="132"/>
      <c r="L1150" s="132"/>
    </row>
    <row r="1151" spans="1:12" x14ac:dyDescent="0.3">
      <c r="A1151" s="132"/>
      <c r="B1151" s="132"/>
      <c r="C1151" s="132"/>
      <c r="D1151" s="132"/>
      <c r="E1151" s="132"/>
      <c r="F1151" s="132"/>
      <c r="G1151" s="132"/>
      <c r="H1151" s="132"/>
      <c r="I1151" s="132"/>
      <c r="J1151" s="132"/>
      <c r="K1151" s="132"/>
      <c r="L1151" s="132"/>
    </row>
    <row r="1152" spans="1:12" x14ac:dyDescent="0.3">
      <c r="A1152" s="132"/>
      <c r="B1152" s="132"/>
      <c r="C1152" s="132"/>
      <c r="D1152" s="132"/>
      <c r="E1152" s="132"/>
      <c r="F1152" s="132"/>
      <c r="G1152" s="132"/>
      <c r="H1152" s="132"/>
      <c r="I1152" s="132"/>
      <c r="J1152" s="132"/>
      <c r="K1152" s="132"/>
      <c r="L1152" s="132"/>
    </row>
    <row r="1153" spans="1:12" x14ac:dyDescent="0.3">
      <c r="A1153" s="132"/>
      <c r="B1153" s="132"/>
      <c r="C1153" s="132"/>
      <c r="D1153" s="132"/>
      <c r="E1153" s="132"/>
      <c r="F1153" s="132"/>
      <c r="G1153" s="132"/>
      <c r="H1153" s="132"/>
      <c r="I1153" s="132"/>
      <c r="J1153" s="132"/>
      <c r="K1153" s="132"/>
      <c r="L1153" s="132"/>
    </row>
    <row r="1154" spans="1:12" x14ac:dyDescent="0.3">
      <c r="A1154" s="132"/>
      <c r="B1154" s="132"/>
      <c r="C1154" s="132"/>
      <c r="D1154" s="132"/>
      <c r="E1154" s="132"/>
      <c r="F1154" s="132"/>
      <c r="G1154" s="132"/>
      <c r="H1154" s="132"/>
      <c r="I1154" s="132"/>
      <c r="J1154" s="132"/>
      <c r="K1154" s="132"/>
      <c r="L1154" s="132"/>
    </row>
    <row r="1155" spans="1:12" x14ac:dyDescent="0.3">
      <c r="A1155" s="132"/>
      <c r="B1155" s="132"/>
      <c r="C1155" s="132"/>
      <c r="D1155" s="132"/>
      <c r="E1155" s="132"/>
      <c r="F1155" s="132"/>
      <c r="G1155" s="132"/>
      <c r="H1155" s="132"/>
      <c r="I1155" s="132"/>
      <c r="J1155" s="132"/>
      <c r="K1155" s="132"/>
      <c r="L1155" s="132"/>
    </row>
    <row r="1156" spans="1:12" x14ac:dyDescent="0.3">
      <c r="A1156" s="132"/>
      <c r="B1156" s="132"/>
      <c r="C1156" s="132"/>
      <c r="D1156" s="132"/>
      <c r="E1156" s="132"/>
      <c r="F1156" s="132"/>
      <c r="G1156" s="132"/>
      <c r="H1156" s="132"/>
      <c r="I1156" s="132"/>
      <c r="J1156" s="132"/>
      <c r="K1156" s="132"/>
      <c r="L1156" s="132"/>
    </row>
    <row r="1157" spans="1:12" x14ac:dyDescent="0.3">
      <c r="A1157" s="132"/>
      <c r="B1157" s="132"/>
      <c r="C1157" s="132"/>
      <c r="D1157" s="132"/>
      <c r="E1157" s="132"/>
      <c r="F1157" s="132"/>
      <c r="G1157" s="132"/>
      <c r="H1157" s="132"/>
      <c r="I1157" s="132"/>
      <c r="J1157" s="132"/>
      <c r="K1157" s="132"/>
      <c r="L1157" s="132"/>
    </row>
    <row r="1158" spans="1:12" x14ac:dyDescent="0.3">
      <c r="A1158" s="132"/>
      <c r="B1158" s="132"/>
      <c r="C1158" s="132"/>
      <c r="D1158" s="132"/>
      <c r="E1158" s="132"/>
      <c r="F1158" s="132"/>
      <c r="G1158" s="132"/>
      <c r="H1158" s="132"/>
      <c r="I1158" s="132"/>
      <c r="J1158" s="132"/>
      <c r="K1158" s="132"/>
      <c r="L1158" s="132"/>
    </row>
    <row r="1159" spans="1:12" x14ac:dyDescent="0.3">
      <c r="A1159" s="132"/>
      <c r="B1159" s="132"/>
      <c r="C1159" s="132"/>
      <c r="D1159" s="132"/>
      <c r="E1159" s="132"/>
      <c r="F1159" s="132"/>
      <c r="G1159" s="132"/>
      <c r="H1159" s="132"/>
      <c r="I1159" s="132"/>
      <c r="J1159" s="132"/>
      <c r="K1159" s="132"/>
      <c r="L1159" s="132"/>
    </row>
    <row r="1160" spans="1:12" x14ac:dyDescent="0.3">
      <c r="A1160" s="132"/>
      <c r="B1160" s="132"/>
      <c r="C1160" s="132"/>
      <c r="D1160" s="132"/>
      <c r="E1160" s="132"/>
      <c r="F1160" s="132"/>
      <c r="G1160" s="132"/>
      <c r="H1160" s="132"/>
      <c r="I1160" s="132"/>
      <c r="J1160" s="132"/>
      <c r="K1160" s="132"/>
      <c r="L1160" s="132"/>
    </row>
    <row r="1161" spans="1:12" x14ac:dyDescent="0.3">
      <c r="A1161" s="132"/>
      <c r="B1161" s="132"/>
      <c r="C1161" s="132"/>
      <c r="D1161" s="132"/>
      <c r="E1161" s="132"/>
      <c r="F1161" s="132"/>
      <c r="G1161" s="132"/>
      <c r="H1161" s="132"/>
      <c r="I1161" s="132"/>
      <c r="J1161" s="132"/>
      <c r="K1161" s="132"/>
      <c r="L1161" s="132"/>
    </row>
    <row r="1162" spans="1:12" x14ac:dyDescent="0.3">
      <c r="A1162" s="132"/>
      <c r="B1162" s="132"/>
      <c r="C1162" s="132"/>
      <c r="D1162" s="132"/>
      <c r="E1162" s="132"/>
      <c r="F1162" s="132"/>
      <c r="G1162" s="132"/>
      <c r="H1162" s="132"/>
      <c r="I1162" s="132"/>
      <c r="J1162" s="132"/>
      <c r="K1162" s="132"/>
      <c r="L1162" s="132"/>
    </row>
    <row r="1163" spans="1:12" x14ac:dyDescent="0.3">
      <c r="A1163" s="132"/>
      <c r="B1163" s="132"/>
      <c r="C1163" s="132"/>
      <c r="D1163" s="132"/>
      <c r="E1163" s="132"/>
      <c r="F1163" s="132"/>
      <c r="G1163" s="132"/>
      <c r="H1163" s="132"/>
      <c r="I1163" s="132"/>
      <c r="J1163" s="132"/>
      <c r="K1163" s="132"/>
      <c r="L1163" s="132"/>
    </row>
    <row r="1164" spans="1:12" x14ac:dyDescent="0.3">
      <c r="A1164" s="132"/>
      <c r="B1164" s="132"/>
      <c r="C1164" s="132"/>
      <c r="D1164" s="132"/>
      <c r="E1164" s="132"/>
      <c r="F1164" s="132"/>
      <c r="G1164" s="132"/>
      <c r="H1164" s="132"/>
      <c r="I1164" s="132"/>
      <c r="J1164" s="132"/>
      <c r="K1164" s="132"/>
      <c r="L1164" s="132"/>
    </row>
    <row r="1165" spans="1:12" x14ac:dyDescent="0.3">
      <c r="A1165" s="132"/>
      <c r="B1165" s="132"/>
      <c r="C1165" s="132"/>
      <c r="D1165" s="132"/>
      <c r="E1165" s="132"/>
      <c r="F1165" s="132"/>
      <c r="G1165" s="132"/>
      <c r="H1165" s="132"/>
      <c r="I1165" s="132"/>
      <c r="J1165" s="132"/>
      <c r="K1165" s="132"/>
      <c r="L1165" s="132"/>
    </row>
    <row r="1166" spans="1:12" x14ac:dyDescent="0.3">
      <c r="A1166" s="132"/>
      <c r="B1166" s="132"/>
      <c r="C1166" s="132"/>
      <c r="D1166" s="132"/>
      <c r="E1166" s="132"/>
      <c r="F1166" s="132"/>
      <c r="G1166" s="132"/>
      <c r="H1166" s="132"/>
      <c r="I1166" s="132"/>
      <c r="J1166" s="132"/>
      <c r="K1166" s="132"/>
      <c r="L1166" s="132"/>
    </row>
    <row r="1167" spans="1:12" x14ac:dyDescent="0.3">
      <c r="A1167" s="132"/>
      <c r="B1167" s="132"/>
      <c r="C1167" s="132"/>
      <c r="D1167" s="132"/>
      <c r="E1167" s="132"/>
      <c r="F1167" s="132"/>
      <c r="G1167" s="132"/>
      <c r="H1167" s="132"/>
      <c r="I1167" s="132"/>
      <c r="J1167" s="132"/>
      <c r="K1167" s="132"/>
      <c r="L1167" s="132"/>
    </row>
    <row r="1168" spans="1:12" x14ac:dyDescent="0.3">
      <c r="A1168" s="132"/>
      <c r="B1168" s="132"/>
      <c r="C1168" s="132"/>
      <c r="D1168" s="132"/>
      <c r="E1168" s="132"/>
      <c r="F1168" s="132"/>
      <c r="G1168" s="132"/>
      <c r="H1168" s="132"/>
      <c r="I1168" s="132"/>
      <c r="J1168" s="132"/>
      <c r="K1168" s="132"/>
      <c r="L1168" s="132"/>
    </row>
    <row r="1169" spans="1:12" x14ac:dyDescent="0.3">
      <c r="A1169" s="132"/>
      <c r="B1169" s="132"/>
      <c r="C1169" s="132"/>
      <c r="D1169" s="132"/>
      <c r="E1169" s="132"/>
      <c r="F1169" s="132"/>
      <c r="G1169" s="132"/>
      <c r="H1169" s="132"/>
      <c r="I1169" s="132"/>
      <c r="J1169" s="132"/>
      <c r="K1169" s="132"/>
      <c r="L1169" s="132"/>
    </row>
    <row r="1170" spans="1:12" x14ac:dyDescent="0.3">
      <c r="A1170" s="132"/>
      <c r="B1170" s="132"/>
      <c r="C1170" s="132"/>
      <c r="D1170" s="132"/>
      <c r="E1170" s="132"/>
      <c r="F1170" s="132"/>
      <c r="G1170" s="132"/>
      <c r="H1170" s="132"/>
      <c r="I1170" s="132"/>
      <c r="J1170" s="132"/>
      <c r="K1170" s="132"/>
      <c r="L1170" s="132"/>
    </row>
    <row r="1171" spans="1:12" x14ac:dyDescent="0.3">
      <c r="A1171" s="132"/>
      <c r="B1171" s="132"/>
      <c r="C1171" s="132"/>
      <c r="D1171" s="132"/>
      <c r="E1171" s="132"/>
      <c r="F1171" s="132"/>
      <c r="G1171" s="132"/>
      <c r="H1171" s="132"/>
      <c r="I1171" s="132"/>
      <c r="J1171" s="132"/>
      <c r="K1171" s="132"/>
      <c r="L1171" s="132"/>
    </row>
    <row r="1172" spans="1:12" x14ac:dyDescent="0.3">
      <c r="A1172" s="132"/>
      <c r="B1172" s="132"/>
      <c r="C1172" s="132"/>
      <c r="D1172" s="132"/>
      <c r="E1172" s="132"/>
      <c r="F1172" s="132"/>
      <c r="G1172" s="132"/>
      <c r="H1172" s="132"/>
      <c r="I1172" s="132"/>
      <c r="J1172" s="132"/>
      <c r="K1172" s="132"/>
      <c r="L1172" s="132"/>
    </row>
    <row r="1173" spans="1:12" x14ac:dyDescent="0.3">
      <c r="A1173" s="132"/>
      <c r="B1173" s="132"/>
      <c r="C1173" s="132"/>
      <c r="D1173" s="132"/>
      <c r="E1173" s="132"/>
      <c r="F1173" s="132"/>
      <c r="G1173" s="132"/>
      <c r="H1173" s="132"/>
      <c r="I1173" s="132"/>
      <c r="J1173" s="132"/>
      <c r="K1173" s="132"/>
      <c r="L1173" s="132"/>
    </row>
    <row r="1174" spans="1:12" x14ac:dyDescent="0.3">
      <c r="A1174" s="132"/>
      <c r="B1174" s="132"/>
      <c r="C1174" s="132"/>
      <c r="D1174" s="132"/>
      <c r="E1174" s="132"/>
      <c r="F1174" s="132"/>
      <c r="G1174" s="132"/>
      <c r="H1174" s="132"/>
      <c r="I1174" s="132"/>
      <c r="J1174" s="132"/>
      <c r="K1174" s="132"/>
      <c r="L1174" s="132"/>
    </row>
    <row r="1175" spans="1:12" x14ac:dyDescent="0.3">
      <c r="A1175" s="132"/>
      <c r="B1175" s="132"/>
      <c r="C1175" s="132"/>
      <c r="D1175" s="132"/>
      <c r="E1175" s="132"/>
      <c r="F1175" s="132"/>
      <c r="G1175" s="132"/>
      <c r="H1175" s="132"/>
      <c r="I1175" s="132"/>
      <c r="J1175" s="132"/>
      <c r="K1175" s="132"/>
      <c r="L1175" s="132"/>
    </row>
    <row r="1176" spans="1:12" x14ac:dyDescent="0.3">
      <c r="A1176" s="132"/>
      <c r="B1176" s="132"/>
      <c r="C1176" s="132"/>
      <c r="D1176" s="132"/>
      <c r="E1176" s="132"/>
      <c r="F1176" s="132"/>
      <c r="G1176" s="132"/>
      <c r="H1176" s="132"/>
      <c r="I1176" s="132"/>
      <c r="J1176" s="132"/>
      <c r="K1176" s="132"/>
      <c r="L1176" s="132"/>
    </row>
    <row r="1177" spans="1:12" x14ac:dyDescent="0.3">
      <c r="A1177" s="132"/>
      <c r="B1177" s="132"/>
      <c r="C1177" s="132"/>
      <c r="D1177" s="132"/>
      <c r="E1177" s="132"/>
      <c r="F1177" s="132"/>
      <c r="G1177" s="132"/>
      <c r="H1177" s="132"/>
      <c r="I1177" s="132"/>
      <c r="J1177" s="132"/>
      <c r="K1177" s="132"/>
      <c r="L1177" s="132"/>
    </row>
    <row r="1178" spans="1:12" x14ac:dyDescent="0.3">
      <c r="A1178" s="132"/>
      <c r="B1178" s="132"/>
      <c r="C1178" s="132"/>
      <c r="D1178" s="132"/>
      <c r="E1178" s="132"/>
      <c r="F1178" s="132"/>
      <c r="G1178" s="132"/>
      <c r="H1178" s="132"/>
      <c r="I1178" s="132"/>
      <c r="J1178" s="132"/>
      <c r="K1178" s="132"/>
      <c r="L1178" s="132"/>
    </row>
    <row r="1179" spans="1:12" x14ac:dyDescent="0.3">
      <c r="A1179" s="132"/>
      <c r="B1179" s="132"/>
      <c r="C1179" s="132"/>
      <c r="D1179" s="132"/>
      <c r="E1179" s="132"/>
      <c r="F1179" s="132"/>
      <c r="G1179" s="132"/>
      <c r="H1179" s="132"/>
      <c r="I1179" s="132"/>
      <c r="J1179" s="132"/>
      <c r="K1179" s="132"/>
      <c r="L1179" s="132"/>
    </row>
    <row r="1180" spans="1:12" x14ac:dyDescent="0.3">
      <c r="A1180" s="132"/>
      <c r="B1180" s="132"/>
      <c r="C1180" s="132"/>
      <c r="D1180" s="132"/>
      <c r="E1180" s="132"/>
      <c r="F1180" s="132"/>
      <c r="G1180" s="132"/>
      <c r="H1180" s="132"/>
      <c r="I1180" s="132"/>
      <c r="J1180" s="132"/>
      <c r="K1180" s="132"/>
      <c r="L1180" s="132"/>
    </row>
    <row r="1181" spans="1:12" x14ac:dyDescent="0.3">
      <c r="A1181" s="132"/>
      <c r="B1181" s="132"/>
      <c r="C1181" s="132"/>
      <c r="D1181" s="132"/>
      <c r="E1181" s="132"/>
      <c r="F1181" s="132"/>
      <c r="G1181" s="132"/>
      <c r="H1181" s="132"/>
      <c r="I1181" s="132"/>
      <c r="J1181" s="132"/>
      <c r="K1181" s="132"/>
      <c r="L1181" s="132"/>
    </row>
    <row r="1182" spans="1:12" x14ac:dyDescent="0.3">
      <c r="A1182" s="132"/>
      <c r="B1182" s="132"/>
      <c r="C1182" s="132"/>
      <c r="D1182" s="132"/>
      <c r="E1182" s="132"/>
      <c r="F1182" s="132"/>
      <c r="G1182" s="132"/>
      <c r="H1182" s="132"/>
      <c r="I1182" s="132"/>
      <c r="J1182" s="132"/>
      <c r="K1182" s="132"/>
      <c r="L1182" s="132"/>
    </row>
    <row r="1183" spans="1:12" x14ac:dyDescent="0.3">
      <c r="A1183" s="132"/>
      <c r="B1183" s="132"/>
      <c r="C1183" s="132"/>
      <c r="D1183" s="132"/>
      <c r="E1183" s="132"/>
      <c r="F1183" s="132"/>
      <c r="G1183" s="132"/>
      <c r="H1183" s="132"/>
      <c r="I1183" s="132"/>
      <c r="J1183" s="132"/>
      <c r="K1183" s="132"/>
      <c r="L1183" s="132"/>
    </row>
    <row r="1184" spans="1:12" x14ac:dyDescent="0.3">
      <c r="A1184" s="132"/>
      <c r="B1184" s="132"/>
      <c r="C1184" s="132"/>
      <c r="D1184" s="132"/>
      <c r="E1184" s="132"/>
      <c r="F1184" s="132"/>
      <c r="G1184" s="132"/>
      <c r="H1184" s="132"/>
      <c r="I1184" s="132"/>
      <c r="J1184" s="132"/>
      <c r="K1184" s="132"/>
      <c r="L1184" s="132"/>
    </row>
    <row r="1185" spans="1:12" x14ac:dyDescent="0.3">
      <c r="A1185" s="132"/>
      <c r="B1185" s="132"/>
      <c r="C1185" s="132"/>
      <c r="D1185" s="132"/>
      <c r="E1185" s="132"/>
      <c r="F1185" s="132"/>
      <c r="G1185" s="132"/>
      <c r="H1185" s="132"/>
      <c r="I1185" s="132"/>
      <c r="J1185" s="132"/>
      <c r="K1185" s="132"/>
      <c r="L1185" s="132"/>
    </row>
    <row r="1186" spans="1:12" x14ac:dyDescent="0.3">
      <c r="A1186" s="132"/>
      <c r="B1186" s="132"/>
      <c r="C1186" s="132"/>
      <c r="D1186" s="132"/>
      <c r="E1186" s="132"/>
      <c r="F1186" s="132"/>
      <c r="G1186" s="132"/>
      <c r="H1186" s="132"/>
      <c r="I1186" s="132"/>
      <c r="J1186" s="132"/>
      <c r="K1186" s="132"/>
      <c r="L1186" s="132"/>
    </row>
    <row r="1187" spans="1:12" x14ac:dyDescent="0.3">
      <c r="A1187" s="132"/>
      <c r="B1187" s="132"/>
      <c r="C1187" s="132"/>
      <c r="D1187" s="132"/>
      <c r="E1187" s="132"/>
      <c r="F1187" s="132"/>
      <c r="G1187" s="132"/>
      <c r="H1187" s="132"/>
      <c r="I1187" s="132"/>
      <c r="J1187" s="132"/>
      <c r="K1187" s="132"/>
      <c r="L1187" s="132"/>
    </row>
    <row r="1188" spans="1:12" x14ac:dyDescent="0.3">
      <c r="A1188" s="132"/>
      <c r="B1188" s="132"/>
      <c r="C1188" s="132"/>
      <c r="D1188" s="132"/>
      <c r="E1188" s="132"/>
      <c r="F1188" s="132"/>
      <c r="G1188" s="132"/>
      <c r="H1188" s="132"/>
      <c r="I1188" s="132"/>
      <c r="J1188" s="132"/>
      <c r="K1188" s="132"/>
      <c r="L1188" s="132"/>
    </row>
    <row r="1189" spans="1:12" x14ac:dyDescent="0.3">
      <c r="A1189" s="132"/>
      <c r="B1189" s="132"/>
      <c r="C1189" s="132"/>
      <c r="D1189" s="132"/>
      <c r="E1189" s="132"/>
      <c r="F1189" s="132"/>
      <c r="G1189" s="132"/>
      <c r="H1189" s="132"/>
      <c r="I1189" s="132"/>
      <c r="J1189" s="132"/>
      <c r="K1189" s="132"/>
      <c r="L1189" s="132"/>
    </row>
    <row r="1190" spans="1:12" x14ac:dyDescent="0.3">
      <c r="A1190" s="132"/>
      <c r="B1190" s="132"/>
      <c r="C1190" s="132"/>
      <c r="D1190" s="132"/>
      <c r="E1190" s="132"/>
      <c r="F1190" s="132"/>
      <c r="G1190" s="132"/>
      <c r="H1190" s="132"/>
      <c r="I1190" s="132"/>
      <c r="J1190" s="132"/>
      <c r="K1190" s="132"/>
      <c r="L1190" s="132"/>
    </row>
    <row r="1191" spans="1:12" x14ac:dyDescent="0.3">
      <c r="A1191" s="132"/>
      <c r="B1191" s="132"/>
      <c r="C1191" s="132"/>
      <c r="D1191" s="132"/>
      <c r="E1191" s="132"/>
      <c r="F1191" s="132"/>
      <c r="G1191" s="132"/>
      <c r="H1191" s="132"/>
      <c r="I1191" s="132"/>
      <c r="J1191" s="132"/>
      <c r="K1191" s="132"/>
      <c r="L1191" s="132"/>
    </row>
    <row r="1192" spans="1:12" x14ac:dyDescent="0.3">
      <c r="A1192" s="132"/>
      <c r="B1192" s="132"/>
      <c r="C1192" s="132"/>
      <c r="D1192" s="132"/>
      <c r="E1192" s="132"/>
      <c r="F1192" s="132"/>
      <c r="G1192" s="132"/>
      <c r="H1192" s="132"/>
      <c r="I1192" s="132"/>
      <c r="J1192" s="132"/>
      <c r="K1192" s="132"/>
      <c r="L1192" s="132"/>
    </row>
    <row r="1193" spans="1:12" x14ac:dyDescent="0.3">
      <c r="A1193" s="132"/>
      <c r="B1193" s="132"/>
      <c r="C1193" s="132"/>
      <c r="D1193" s="132"/>
      <c r="E1193" s="132"/>
      <c r="F1193" s="132"/>
      <c r="G1193" s="132"/>
      <c r="H1193" s="132"/>
      <c r="I1193" s="132"/>
      <c r="J1193" s="132"/>
      <c r="K1193" s="132"/>
      <c r="L1193" s="132"/>
    </row>
    <row r="1194" spans="1:12" x14ac:dyDescent="0.3">
      <c r="A1194" s="132"/>
      <c r="B1194" s="132"/>
      <c r="C1194" s="132"/>
      <c r="D1194" s="132"/>
      <c r="E1194" s="132"/>
      <c r="F1194" s="132"/>
      <c r="G1194" s="132"/>
      <c r="H1194" s="132"/>
      <c r="I1194" s="132"/>
      <c r="J1194" s="132"/>
      <c r="K1194" s="132"/>
      <c r="L1194" s="132"/>
    </row>
    <row r="1195" spans="1:12" x14ac:dyDescent="0.3">
      <c r="A1195" s="132"/>
      <c r="B1195" s="132"/>
      <c r="C1195" s="132"/>
      <c r="D1195" s="132"/>
      <c r="E1195" s="132"/>
      <c r="F1195" s="132"/>
      <c r="G1195" s="132"/>
      <c r="H1195" s="132"/>
      <c r="I1195" s="132"/>
      <c r="J1195" s="132"/>
      <c r="K1195" s="132"/>
      <c r="L1195" s="132"/>
    </row>
    <row r="1196" spans="1:12" x14ac:dyDescent="0.3">
      <c r="A1196" s="132"/>
      <c r="B1196" s="132"/>
      <c r="C1196" s="132"/>
      <c r="D1196" s="132"/>
      <c r="E1196" s="132"/>
      <c r="F1196" s="132"/>
      <c r="G1196" s="132"/>
      <c r="H1196" s="132"/>
      <c r="I1196" s="132"/>
      <c r="J1196" s="132"/>
      <c r="K1196" s="132"/>
      <c r="L1196" s="132"/>
    </row>
    <row r="1197" spans="1:12" x14ac:dyDescent="0.3">
      <c r="A1197" s="132"/>
      <c r="B1197" s="132"/>
      <c r="C1197" s="132"/>
      <c r="D1197" s="132"/>
      <c r="E1197" s="132"/>
      <c r="F1197" s="132"/>
      <c r="G1197" s="132"/>
      <c r="H1197" s="132"/>
      <c r="I1197" s="132"/>
      <c r="J1197" s="132"/>
      <c r="K1197" s="132"/>
      <c r="L1197" s="132"/>
    </row>
    <row r="1198" spans="1:12" x14ac:dyDescent="0.3">
      <c r="A1198" s="132"/>
      <c r="B1198" s="132"/>
      <c r="C1198" s="132"/>
      <c r="D1198" s="132"/>
      <c r="E1198" s="132"/>
      <c r="F1198" s="132"/>
      <c r="G1198" s="132"/>
      <c r="H1198" s="132"/>
      <c r="I1198" s="132"/>
      <c r="J1198" s="132"/>
      <c r="K1198" s="132"/>
      <c r="L1198" s="132"/>
    </row>
    <row r="1199" spans="1:12" x14ac:dyDescent="0.3">
      <c r="A1199" s="132"/>
      <c r="B1199" s="132"/>
      <c r="C1199" s="132"/>
      <c r="D1199" s="132"/>
      <c r="E1199" s="132"/>
      <c r="F1199" s="132"/>
      <c r="G1199" s="132"/>
      <c r="H1199" s="132"/>
      <c r="I1199" s="132"/>
      <c r="J1199" s="132"/>
      <c r="K1199" s="132"/>
      <c r="L1199" s="132"/>
    </row>
    <row r="1200" spans="1:12" x14ac:dyDescent="0.3">
      <c r="A1200" s="132"/>
      <c r="B1200" s="132"/>
      <c r="C1200" s="132"/>
      <c r="D1200" s="132"/>
      <c r="E1200" s="132"/>
      <c r="F1200" s="132"/>
      <c r="G1200" s="132"/>
      <c r="H1200" s="132"/>
      <c r="I1200" s="132"/>
      <c r="J1200" s="132"/>
      <c r="K1200" s="132"/>
      <c r="L1200" s="132"/>
    </row>
    <row r="1201" spans="1:12" x14ac:dyDescent="0.3">
      <c r="A1201" s="132"/>
      <c r="B1201" s="132"/>
      <c r="C1201" s="132"/>
      <c r="D1201" s="132"/>
      <c r="E1201" s="132"/>
      <c r="F1201" s="132"/>
      <c r="G1201" s="132"/>
      <c r="H1201" s="132"/>
      <c r="I1201" s="132"/>
      <c r="J1201" s="132"/>
      <c r="K1201" s="132"/>
      <c r="L1201" s="132"/>
    </row>
    <row r="1202" spans="1:12" x14ac:dyDescent="0.3">
      <c r="A1202" s="132"/>
      <c r="B1202" s="132"/>
      <c r="C1202" s="132"/>
      <c r="D1202" s="132"/>
      <c r="E1202" s="132"/>
      <c r="F1202" s="132"/>
      <c r="G1202" s="132"/>
      <c r="H1202" s="132"/>
      <c r="I1202" s="132"/>
      <c r="J1202" s="132"/>
      <c r="K1202" s="132"/>
      <c r="L1202" s="132"/>
    </row>
    <row r="1203" spans="1:12" x14ac:dyDescent="0.3">
      <c r="A1203" s="132"/>
      <c r="B1203" s="132"/>
      <c r="C1203" s="132"/>
      <c r="D1203" s="132"/>
      <c r="E1203" s="132"/>
      <c r="F1203" s="132"/>
      <c r="G1203" s="132"/>
      <c r="H1203" s="132"/>
      <c r="I1203" s="132"/>
      <c r="J1203" s="132"/>
      <c r="K1203" s="132"/>
      <c r="L1203" s="132"/>
    </row>
    <row r="1204" spans="1:12" x14ac:dyDescent="0.3">
      <c r="A1204" s="132"/>
      <c r="B1204" s="132"/>
      <c r="C1204" s="132"/>
      <c r="D1204" s="132"/>
      <c r="E1204" s="132"/>
      <c r="F1204" s="132"/>
      <c r="G1204" s="132"/>
      <c r="H1204" s="132"/>
      <c r="I1204" s="132"/>
      <c r="J1204" s="132"/>
      <c r="K1204" s="132"/>
      <c r="L1204" s="132"/>
    </row>
    <row r="1205" spans="1:12" x14ac:dyDescent="0.3">
      <c r="A1205" s="132"/>
      <c r="B1205" s="132"/>
      <c r="C1205" s="132"/>
      <c r="D1205" s="132"/>
      <c r="E1205" s="132"/>
      <c r="F1205" s="132"/>
      <c r="G1205" s="132"/>
      <c r="H1205" s="132"/>
      <c r="I1205" s="132"/>
      <c r="J1205" s="132"/>
      <c r="K1205" s="132"/>
      <c r="L1205" s="132"/>
    </row>
    <row r="1206" spans="1:12" x14ac:dyDescent="0.3">
      <c r="A1206" s="132"/>
      <c r="B1206" s="132"/>
      <c r="C1206" s="132"/>
      <c r="D1206" s="132"/>
      <c r="E1206" s="132"/>
      <c r="F1206" s="132"/>
      <c r="G1206" s="132"/>
      <c r="H1206" s="132"/>
      <c r="I1206" s="132"/>
      <c r="J1206" s="132"/>
      <c r="K1206" s="132"/>
      <c r="L1206" s="132"/>
    </row>
    <row r="1207" spans="1:12" x14ac:dyDescent="0.3">
      <c r="A1207" s="132"/>
      <c r="B1207" s="132"/>
      <c r="C1207" s="132"/>
      <c r="D1207" s="132"/>
      <c r="E1207" s="132"/>
      <c r="F1207" s="132"/>
      <c r="G1207" s="132"/>
      <c r="H1207" s="132"/>
      <c r="I1207" s="132"/>
      <c r="J1207" s="132"/>
      <c r="K1207" s="132"/>
      <c r="L1207" s="132"/>
    </row>
    <row r="1208" spans="1:12" x14ac:dyDescent="0.3">
      <c r="A1208" s="132"/>
      <c r="B1208" s="132"/>
      <c r="C1208" s="132"/>
      <c r="D1208" s="132"/>
      <c r="E1208" s="132"/>
      <c r="F1208" s="132"/>
      <c r="G1208" s="132"/>
      <c r="H1208" s="132"/>
      <c r="I1208" s="132"/>
      <c r="J1208" s="132"/>
      <c r="K1208" s="132"/>
      <c r="L1208" s="132"/>
    </row>
    <row r="1209" spans="1:12" x14ac:dyDescent="0.3">
      <c r="A1209" s="132"/>
      <c r="B1209" s="132"/>
      <c r="C1209" s="132"/>
      <c r="D1209" s="132"/>
      <c r="E1209" s="132"/>
      <c r="F1209" s="132"/>
      <c r="G1209" s="132"/>
      <c r="H1209" s="132"/>
      <c r="I1209" s="132"/>
      <c r="J1209" s="132"/>
      <c r="K1209" s="132"/>
      <c r="L1209" s="132"/>
    </row>
    <row r="1210" spans="1:12" x14ac:dyDescent="0.3">
      <c r="A1210" s="132"/>
      <c r="B1210" s="132"/>
      <c r="C1210" s="132"/>
      <c r="D1210" s="132"/>
      <c r="E1210" s="132"/>
      <c r="F1210" s="132"/>
      <c r="G1210" s="132"/>
      <c r="H1210" s="132"/>
      <c r="I1210" s="132"/>
      <c r="J1210" s="132"/>
      <c r="K1210" s="132"/>
      <c r="L1210" s="132"/>
    </row>
    <row r="1211" spans="1:12" x14ac:dyDescent="0.3">
      <c r="A1211" s="132"/>
      <c r="B1211" s="132"/>
      <c r="C1211" s="132"/>
      <c r="D1211" s="132"/>
      <c r="E1211" s="132"/>
      <c r="F1211" s="132"/>
      <c r="G1211" s="132"/>
      <c r="H1211" s="132"/>
      <c r="I1211" s="132"/>
      <c r="J1211" s="132"/>
      <c r="K1211" s="132"/>
      <c r="L1211" s="132"/>
    </row>
    <row r="1212" spans="1:12" x14ac:dyDescent="0.3">
      <c r="A1212" s="132"/>
      <c r="B1212" s="132"/>
      <c r="C1212" s="132"/>
      <c r="D1212" s="132"/>
      <c r="E1212" s="132"/>
      <c r="F1212" s="132"/>
      <c r="G1212" s="132"/>
      <c r="H1212" s="132"/>
      <c r="I1212" s="132"/>
      <c r="J1212" s="132"/>
      <c r="K1212" s="132"/>
      <c r="L1212" s="132"/>
    </row>
    <row r="1213" spans="1:12" x14ac:dyDescent="0.3">
      <c r="A1213" s="132"/>
      <c r="B1213" s="132"/>
      <c r="C1213" s="132"/>
      <c r="D1213" s="132"/>
      <c r="E1213" s="132"/>
      <c r="F1213" s="132"/>
      <c r="G1213" s="132"/>
      <c r="H1213" s="132"/>
      <c r="I1213" s="132"/>
      <c r="J1213" s="132"/>
      <c r="K1213" s="132"/>
      <c r="L1213" s="132"/>
    </row>
    <row r="1214" spans="1:12" x14ac:dyDescent="0.3">
      <c r="A1214" s="132"/>
      <c r="B1214" s="132"/>
      <c r="C1214" s="132"/>
      <c r="D1214" s="132"/>
      <c r="E1214" s="132"/>
      <c r="F1214" s="132"/>
      <c r="G1214" s="132"/>
      <c r="H1214" s="132"/>
      <c r="I1214" s="132"/>
      <c r="J1214" s="132"/>
      <c r="K1214" s="132"/>
      <c r="L1214" s="132"/>
    </row>
    <row r="1215" spans="1:12" x14ac:dyDescent="0.3">
      <c r="A1215" s="132"/>
      <c r="B1215" s="132"/>
      <c r="C1215" s="132"/>
      <c r="D1215" s="132"/>
      <c r="E1215" s="132"/>
      <c r="F1215" s="132"/>
      <c r="G1215" s="132"/>
      <c r="H1215" s="132"/>
      <c r="I1215" s="132"/>
      <c r="J1215" s="132"/>
      <c r="K1215" s="132"/>
      <c r="L1215" s="132"/>
    </row>
    <row r="1216" spans="1:12" x14ac:dyDescent="0.3">
      <c r="A1216" s="132"/>
      <c r="B1216" s="132"/>
      <c r="C1216" s="132"/>
      <c r="D1216" s="132"/>
      <c r="E1216" s="132"/>
      <c r="F1216" s="132"/>
      <c r="G1216" s="132"/>
      <c r="H1216" s="132"/>
      <c r="I1216" s="132"/>
      <c r="J1216" s="132"/>
      <c r="K1216" s="132"/>
      <c r="L1216" s="132"/>
    </row>
    <row r="1217" spans="1:12" x14ac:dyDescent="0.3">
      <c r="A1217" s="132"/>
      <c r="B1217" s="132"/>
      <c r="C1217" s="132"/>
      <c r="D1217" s="132"/>
      <c r="E1217" s="132"/>
      <c r="F1217" s="132"/>
      <c r="G1217" s="132"/>
      <c r="H1217" s="132"/>
      <c r="I1217" s="132"/>
      <c r="J1217" s="132"/>
      <c r="K1217" s="132"/>
      <c r="L1217" s="132"/>
    </row>
    <row r="1218" spans="1:12" x14ac:dyDescent="0.3">
      <c r="A1218" s="132"/>
      <c r="B1218" s="132"/>
      <c r="C1218" s="132"/>
      <c r="D1218" s="132"/>
      <c r="E1218" s="132"/>
      <c r="F1218" s="132"/>
      <c r="G1218" s="132"/>
      <c r="H1218" s="132"/>
      <c r="I1218" s="132"/>
      <c r="J1218" s="132"/>
      <c r="K1218" s="132"/>
      <c r="L1218" s="132"/>
    </row>
    <row r="1219" spans="1:12" x14ac:dyDescent="0.3">
      <c r="A1219" s="132"/>
      <c r="B1219" s="132"/>
      <c r="C1219" s="132"/>
      <c r="D1219" s="132"/>
      <c r="E1219" s="132"/>
      <c r="F1219" s="132"/>
      <c r="G1219" s="132"/>
      <c r="H1219" s="132"/>
      <c r="I1219" s="132"/>
      <c r="J1219" s="132"/>
      <c r="K1219" s="132"/>
      <c r="L1219" s="132"/>
    </row>
    <row r="1220" spans="1:12" x14ac:dyDescent="0.3">
      <c r="A1220" s="132"/>
      <c r="B1220" s="132"/>
      <c r="C1220" s="132"/>
      <c r="D1220" s="132"/>
      <c r="E1220" s="132"/>
      <c r="F1220" s="132"/>
      <c r="G1220" s="132"/>
      <c r="H1220" s="132"/>
      <c r="I1220" s="132"/>
      <c r="J1220" s="132"/>
      <c r="K1220" s="132"/>
      <c r="L1220" s="132"/>
    </row>
    <row r="1221" spans="1:12" x14ac:dyDescent="0.3">
      <c r="A1221" s="132"/>
      <c r="B1221" s="132"/>
      <c r="C1221" s="132"/>
      <c r="D1221" s="132"/>
      <c r="E1221" s="132"/>
      <c r="F1221" s="132"/>
      <c r="G1221" s="132"/>
      <c r="H1221" s="132"/>
      <c r="I1221" s="132"/>
      <c r="J1221" s="132"/>
      <c r="K1221" s="132"/>
      <c r="L1221" s="132"/>
    </row>
    <row r="1222" spans="1:12" x14ac:dyDescent="0.3">
      <c r="A1222" s="132"/>
      <c r="B1222" s="132"/>
      <c r="C1222" s="132"/>
      <c r="D1222" s="132"/>
      <c r="E1222" s="132"/>
      <c r="F1222" s="132"/>
      <c r="G1222" s="132"/>
      <c r="H1222" s="132"/>
      <c r="I1222" s="132"/>
      <c r="J1222" s="132"/>
      <c r="K1222" s="132"/>
      <c r="L1222" s="132"/>
    </row>
    <row r="1223" spans="1:12" x14ac:dyDescent="0.3">
      <c r="A1223" s="132"/>
      <c r="B1223" s="132"/>
      <c r="C1223" s="132"/>
      <c r="D1223" s="132"/>
      <c r="E1223" s="132"/>
      <c r="F1223" s="132"/>
      <c r="G1223" s="132"/>
      <c r="H1223" s="132"/>
      <c r="I1223" s="132"/>
      <c r="J1223" s="132"/>
      <c r="K1223" s="132"/>
      <c r="L1223" s="132"/>
    </row>
    <row r="1224" spans="1:12" x14ac:dyDescent="0.3">
      <c r="A1224" s="132"/>
      <c r="B1224" s="132"/>
      <c r="C1224" s="132"/>
      <c r="D1224" s="132"/>
      <c r="E1224" s="132"/>
      <c r="F1224" s="132"/>
      <c r="G1224" s="132"/>
      <c r="H1224" s="132"/>
      <c r="I1224" s="132"/>
      <c r="J1224" s="132"/>
      <c r="K1224" s="132"/>
      <c r="L1224" s="132"/>
    </row>
    <row r="1225" spans="1:12" x14ac:dyDescent="0.3">
      <c r="A1225" s="132"/>
      <c r="B1225" s="132"/>
      <c r="C1225" s="132"/>
      <c r="D1225" s="132"/>
      <c r="E1225" s="132"/>
      <c r="F1225" s="132"/>
      <c r="G1225" s="132"/>
      <c r="H1225" s="132"/>
      <c r="I1225" s="132"/>
      <c r="J1225" s="132"/>
      <c r="K1225" s="132"/>
      <c r="L1225" s="132"/>
    </row>
    <row r="1226" spans="1:12" x14ac:dyDescent="0.3">
      <c r="A1226" s="132"/>
      <c r="B1226" s="132"/>
      <c r="C1226" s="132"/>
      <c r="D1226" s="132"/>
      <c r="E1226" s="132"/>
      <c r="F1226" s="132"/>
      <c r="G1226" s="132"/>
      <c r="H1226" s="132"/>
      <c r="I1226" s="132"/>
      <c r="J1226" s="132"/>
      <c r="K1226" s="132"/>
      <c r="L1226" s="132"/>
    </row>
    <row r="1227" spans="1:12" x14ac:dyDescent="0.3">
      <c r="A1227" s="132"/>
      <c r="B1227" s="132"/>
      <c r="C1227" s="132"/>
      <c r="D1227" s="132"/>
      <c r="E1227" s="132"/>
      <c r="F1227" s="132"/>
      <c r="G1227" s="132"/>
      <c r="H1227" s="132"/>
      <c r="I1227" s="132"/>
      <c r="J1227" s="132"/>
      <c r="K1227" s="132"/>
      <c r="L1227" s="132"/>
    </row>
    <row r="1228" spans="1:12" x14ac:dyDescent="0.3">
      <c r="A1228" s="132"/>
      <c r="B1228" s="132"/>
      <c r="C1228" s="132"/>
      <c r="D1228" s="132"/>
      <c r="E1228" s="132"/>
      <c r="F1228" s="132"/>
      <c r="G1228" s="132"/>
      <c r="H1228" s="132"/>
      <c r="I1228" s="132"/>
      <c r="J1228" s="132"/>
      <c r="K1228" s="132"/>
      <c r="L1228" s="132"/>
    </row>
    <row r="1229" spans="1:12" x14ac:dyDescent="0.3">
      <c r="A1229" s="132"/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</row>
    <row r="1230" spans="1:12" x14ac:dyDescent="0.3">
      <c r="A1230" s="132"/>
      <c r="B1230" s="132"/>
      <c r="C1230" s="132"/>
      <c r="D1230" s="132"/>
      <c r="E1230" s="132"/>
      <c r="F1230" s="132"/>
      <c r="G1230" s="132"/>
      <c r="H1230" s="132"/>
      <c r="I1230" s="132"/>
      <c r="J1230" s="132"/>
      <c r="K1230" s="132"/>
      <c r="L1230" s="132"/>
    </row>
    <row r="1231" spans="1:12" x14ac:dyDescent="0.3">
      <c r="A1231" s="132"/>
      <c r="B1231" s="132"/>
      <c r="C1231" s="132"/>
      <c r="D1231" s="132"/>
      <c r="E1231" s="132"/>
      <c r="F1231" s="132"/>
      <c r="G1231" s="132"/>
      <c r="H1231" s="132"/>
      <c r="I1231" s="132"/>
      <c r="J1231" s="132"/>
      <c r="K1231" s="132"/>
      <c r="L1231" s="132"/>
    </row>
    <row r="1232" spans="1:12" x14ac:dyDescent="0.3">
      <c r="A1232" s="132"/>
      <c r="B1232" s="132"/>
      <c r="C1232" s="132"/>
      <c r="D1232" s="132"/>
      <c r="E1232" s="132"/>
      <c r="F1232" s="132"/>
      <c r="G1232" s="132"/>
      <c r="H1232" s="132"/>
      <c r="I1232" s="132"/>
      <c r="J1232" s="132"/>
      <c r="K1232" s="132"/>
      <c r="L1232" s="132"/>
    </row>
    <row r="1233" spans="1:12" x14ac:dyDescent="0.3">
      <c r="A1233" s="132"/>
      <c r="B1233" s="132"/>
      <c r="C1233" s="132"/>
      <c r="D1233" s="132"/>
      <c r="E1233" s="132"/>
      <c r="F1233" s="132"/>
      <c r="G1233" s="132"/>
      <c r="H1233" s="132"/>
      <c r="I1233" s="132"/>
      <c r="J1233" s="132"/>
      <c r="K1233" s="132"/>
      <c r="L1233" s="132"/>
    </row>
    <row r="1234" spans="1:12" x14ac:dyDescent="0.3">
      <c r="A1234" s="132"/>
      <c r="B1234" s="132"/>
      <c r="C1234" s="132"/>
      <c r="D1234" s="132"/>
      <c r="E1234" s="132"/>
      <c r="F1234" s="132"/>
      <c r="G1234" s="132"/>
      <c r="H1234" s="132"/>
      <c r="I1234" s="132"/>
      <c r="J1234" s="132"/>
      <c r="K1234" s="132"/>
      <c r="L1234" s="132"/>
    </row>
    <row r="1235" spans="1:12" x14ac:dyDescent="0.3">
      <c r="A1235" s="132"/>
      <c r="B1235" s="132"/>
      <c r="C1235" s="132"/>
      <c r="D1235" s="132"/>
      <c r="E1235" s="132"/>
      <c r="F1235" s="132"/>
      <c r="G1235" s="132"/>
      <c r="H1235" s="132"/>
      <c r="I1235" s="132"/>
      <c r="J1235" s="132"/>
      <c r="K1235" s="132"/>
      <c r="L1235" s="132"/>
    </row>
    <row r="1236" spans="1:12" x14ac:dyDescent="0.3">
      <c r="A1236" s="132"/>
      <c r="B1236" s="132"/>
      <c r="C1236" s="132"/>
      <c r="D1236" s="132"/>
      <c r="E1236" s="132"/>
      <c r="F1236" s="132"/>
      <c r="G1236" s="132"/>
      <c r="H1236" s="132"/>
      <c r="I1236" s="132"/>
      <c r="J1236" s="132"/>
      <c r="K1236" s="132"/>
      <c r="L1236" s="132"/>
    </row>
    <row r="1237" spans="1:12" x14ac:dyDescent="0.3">
      <c r="A1237" s="132"/>
      <c r="B1237" s="132"/>
      <c r="C1237" s="132"/>
      <c r="D1237" s="132"/>
      <c r="E1237" s="132"/>
      <c r="F1237" s="132"/>
      <c r="G1237" s="132"/>
      <c r="H1237" s="132"/>
      <c r="I1237" s="132"/>
      <c r="J1237" s="132"/>
      <c r="K1237" s="132"/>
      <c r="L1237" s="132"/>
    </row>
    <row r="1238" spans="1:12" x14ac:dyDescent="0.3">
      <c r="A1238" s="132"/>
      <c r="B1238" s="132"/>
      <c r="C1238" s="132"/>
      <c r="D1238" s="132"/>
      <c r="E1238" s="132"/>
      <c r="F1238" s="132"/>
      <c r="G1238" s="132"/>
      <c r="H1238" s="132"/>
      <c r="I1238" s="132"/>
      <c r="J1238" s="132"/>
      <c r="K1238" s="132"/>
      <c r="L1238" s="132"/>
    </row>
    <row r="1239" spans="1:12" x14ac:dyDescent="0.3">
      <c r="A1239" s="132"/>
      <c r="B1239" s="132"/>
      <c r="C1239" s="132"/>
      <c r="D1239" s="132"/>
      <c r="E1239" s="132"/>
      <c r="F1239" s="132"/>
      <c r="G1239" s="132"/>
      <c r="H1239" s="132"/>
      <c r="I1239" s="132"/>
      <c r="J1239" s="132"/>
      <c r="K1239" s="132"/>
      <c r="L1239" s="132"/>
    </row>
    <row r="1240" spans="1:12" x14ac:dyDescent="0.3">
      <c r="A1240" s="132"/>
      <c r="B1240" s="132"/>
      <c r="C1240" s="132"/>
      <c r="D1240" s="132"/>
      <c r="E1240" s="132"/>
      <c r="F1240" s="132"/>
      <c r="G1240" s="132"/>
      <c r="H1240" s="132"/>
      <c r="I1240" s="132"/>
      <c r="J1240" s="132"/>
      <c r="K1240" s="132"/>
      <c r="L1240" s="132"/>
    </row>
    <row r="1241" spans="1:12" x14ac:dyDescent="0.3">
      <c r="A1241" s="132"/>
      <c r="B1241" s="132"/>
      <c r="C1241" s="132"/>
      <c r="D1241" s="132"/>
      <c r="E1241" s="132"/>
      <c r="F1241" s="132"/>
      <c r="G1241" s="132"/>
      <c r="H1241" s="132"/>
      <c r="I1241" s="132"/>
      <c r="J1241" s="132"/>
      <c r="K1241" s="132"/>
      <c r="L1241" s="132"/>
    </row>
    <row r="1242" spans="1:12" x14ac:dyDescent="0.3">
      <c r="A1242" s="132"/>
      <c r="B1242" s="132"/>
      <c r="C1242" s="132"/>
      <c r="D1242" s="132"/>
      <c r="E1242" s="132"/>
      <c r="F1242" s="132"/>
      <c r="G1242" s="132"/>
      <c r="H1242" s="132"/>
      <c r="I1242" s="132"/>
      <c r="J1242" s="132"/>
      <c r="K1242" s="132"/>
      <c r="L1242" s="132"/>
    </row>
    <row r="1243" spans="1:12" x14ac:dyDescent="0.3">
      <c r="A1243" s="132"/>
      <c r="B1243" s="132"/>
      <c r="C1243" s="132"/>
      <c r="D1243" s="132"/>
      <c r="E1243" s="132"/>
      <c r="F1243" s="132"/>
      <c r="G1243" s="132"/>
      <c r="H1243" s="132"/>
      <c r="I1243" s="132"/>
      <c r="J1243" s="132"/>
      <c r="K1243" s="132"/>
      <c r="L1243" s="132"/>
    </row>
    <row r="1244" spans="1:12" x14ac:dyDescent="0.3">
      <c r="A1244" s="132"/>
      <c r="B1244" s="132"/>
      <c r="C1244" s="132"/>
      <c r="D1244" s="132"/>
      <c r="E1244" s="132"/>
      <c r="F1244" s="132"/>
      <c r="G1244" s="132"/>
      <c r="H1244" s="132"/>
      <c r="I1244" s="132"/>
      <c r="J1244" s="132"/>
      <c r="K1244" s="132"/>
      <c r="L1244" s="132"/>
    </row>
    <row r="1245" spans="1:12" x14ac:dyDescent="0.3">
      <c r="A1245" s="132"/>
      <c r="B1245" s="132"/>
      <c r="C1245" s="132"/>
      <c r="D1245" s="132"/>
      <c r="E1245" s="132"/>
      <c r="F1245" s="132"/>
      <c r="G1245" s="132"/>
      <c r="H1245" s="132"/>
      <c r="I1245" s="132"/>
      <c r="J1245" s="132"/>
      <c r="K1245" s="132"/>
      <c r="L1245" s="132"/>
    </row>
    <row r="1246" spans="1:12" x14ac:dyDescent="0.3">
      <c r="A1246" s="132"/>
      <c r="B1246" s="132"/>
      <c r="C1246" s="132"/>
      <c r="D1246" s="132"/>
      <c r="E1246" s="132"/>
      <c r="F1246" s="132"/>
      <c r="G1246" s="132"/>
      <c r="H1246" s="132"/>
      <c r="I1246" s="132"/>
      <c r="J1246" s="132"/>
      <c r="K1246" s="132"/>
      <c r="L1246" s="132"/>
    </row>
    <row r="1247" spans="1:12" x14ac:dyDescent="0.3">
      <c r="A1247" s="132"/>
      <c r="B1247" s="132"/>
      <c r="C1247" s="132"/>
      <c r="D1247" s="132"/>
      <c r="E1247" s="132"/>
      <c r="F1247" s="132"/>
      <c r="G1247" s="132"/>
      <c r="H1247" s="132"/>
      <c r="I1247" s="132"/>
      <c r="J1247" s="132"/>
      <c r="K1247" s="132"/>
      <c r="L1247" s="132"/>
    </row>
    <row r="1248" spans="1:12" x14ac:dyDescent="0.3">
      <c r="A1248" s="132"/>
      <c r="B1248" s="132"/>
      <c r="C1248" s="132"/>
      <c r="D1248" s="132"/>
      <c r="E1248" s="132"/>
      <c r="F1248" s="132"/>
      <c r="G1248" s="132"/>
      <c r="H1248" s="132"/>
      <c r="I1248" s="132"/>
      <c r="J1248" s="132"/>
      <c r="K1248" s="132"/>
      <c r="L1248" s="132"/>
    </row>
    <row r="1249" spans="1:12" x14ac:dyDescent="0.3">
      <c r="A1249" s="132"/>
      <c r="B1249" s="132"/>
      <c r="C1249" s="132"/>
      <c r="D1249" s="132"/>
      <c r="E1249" s="132"/>
      <c r="F1249" s="132"/>
      <c r="G1249" s="132"/>
      <c r="H1249" s="132"/>
      <c r="I1249" s="132"/>
      <c r="J1249" s="132"/>
      <c r="K1249" s="132"/>
      <c r="L1249" s="132"/>
    </row>
    <row r="1250" spans="1:12" x14ac:dyDescent="0.3">
      <c r="A1250" s="132"/>
      <c r="B1250" s="132"/>
      <c r="C1250" s="132"/>
      <c r="D1250" s="132"/>
      <c r="E1250" s="132"/>
      <c r="F1250" s="132"/>
      <c r="G1250" s="132"/>
      <c r="H1250" s="132"/>
      <c r="I1250" s="132"/>
      <c r="J1250" s="132"/>
      <c r="K1250" s="132"/>
      <c r="L1250" s="132"/>
    </row>
    <row r="1251" spans="1:12" x14ac:dyDescent="0.3">
      <c r="A1251" s="132"/>
      <c r="B1251" s="132"/>
      <c r="C1251" s="132"/>
      <c r="D1251" s="132"/>
      <c r="E1251" s="132"/>
      <c r="F1251" s="132"/>
      <c r="G1251" s="132"/>
      <c r="H1251" s="132"/>
      <c r="I1251" s="132"/>
      <c r="J1251" s="132"/>
      <c r="K1251" s="132"/>
      <c r="L1251" s="132"/>
    </row>
    <row r="1252" spans="1:12" x14ac:dyDescent="0.3">
      <c r="A1252" s="132"/>
      <c r="B1252" s="132"/>
      <c r="C1252" s="132"/>
      <c r="D1252" s="132"/>
      <c r="E1252" s="132"/>
      <c r="F1252" s="132"/>
      <c r="G1252" s="132"/>
      <c r="H1252" s="132"/>
      <c r="I1252" s="132"/>
      <c r="J1252" s="132"/>
      <c r="K1252" s="132"/>
      <c r="L1252" s="132"/>
    </row>
    <row r="1253" spans="1:12" x14ac:dyDescent="0.3">
      <c r="A1253" s="132"/>
      <c r="B1253" s="132"/>
      <c r="C1253" s="132"/>
      <c r="D1253" s="132"/>
      <c r="E1253" s="132"/>
      <c r="F1253" s="132"/>
      <c r="G1253" s="132"/>
      <c r="H1253" s="132"/>
      <c r="I1253" s="132"/>
      <c r="J1253" s="132"/>
      <c r="K1253" s="132"/>
      <c r="L1253" s="132"/>
    </row>
    <row r="1254" spans="1:12" x14ac:dyDescent="0.3">
      <c r="A1254" s="132"/>
      <c r="B1254" s="132"/>
      <c r="C1254" s="132"/>
      <c r="D1254" s="132"/>
      <c r="E1254" s="132"/>
      <c r="F1254" s="132"/>
      <c r="G1254" s="132"/>
      <c r="H1254" s="132"/>
      <c r="I1254" s="132"/>
      <c r="J1254" s="132"/>
      <c r="K1254" s="132"/>
      <c r="L1254" s="132"/>
    </row>
    <row r="1255" spans="1:12" x14ac:dyDescent="0.3">
      <c r="A1255" s="132"/>
      <c r="B1255" s="132"/>
      <c r="C1255" s="132"/>
      <c r="D1255" s="132"/>
      <c r="E1255" s="132"/>
      <c r="F1255" s="132"/>
      <c r="G1255" s="132"/>
      <c r="H1255" s="132"/>
      <c r="I1255" s="132"/>
      <c r="J1255" s="132"/>
      <c r="K1255" s="132"/>
      <c r="L1255" s="132"/>
    </row>
    <row r="1256" spans="1:12" x14ac:dyDescent="0.3">
      <c r="A1256" s="132"/>
      <c r="B1256" s="132"/>
      <c r="C1256" s="132"/>
      <c r="D1256" s="132"/>
      <c r="E1256" s="132"/>
      <c r="F1256" s="132"/>
      <c r="G1256" s="132"/>
      <c r="H1256" s="132"/>
      <c r="I1256" s="132"/>
      <c r="J1256" s="132"/>
      <c r="K1256" s="132"/>
      <c r="L1256" s="132"/>
    </row>
    <row r="1257" spans="1:12" x14ac:dyDescent="0.3">
      <c r="A1257" s="132"/>
      <c r="B1257" s="132"/>
      <c r="C1257" s="132"/>
      <c r="D1257" s="132"/>
      <c r="E1257" s="132"/>
      <c r="F1257" s="132"/>
      <c r="G1257" s="132"/>
      <c r="H1257" s="132"/>
      <c r="I1257" s="132"/>
      <c r="J1257" s="132"/>
      <c r="K1257" s="132"/>
      <c r="L1257" s="132"/>
    </row>
    <row r="1258" spans="1:12" x14ac:dyDescent="0.3">
      <c r="A1258" s="132"/>
      <c r="B1258" s="132"/>
      <c r="C1258" s="132"/>
      <c r="D1258" s="132"/>
      <c r="E1258" s="132"/>
      <c r="F1258" s="132"/>
      <c r="G1258" s="132"/>
      <c r="H1258" s="132"/>
      <c r="I1258" s="132"/>
      <c r="J1258" s="132"/>
      <c r="K1258" s="132"/>
      <c r="L1258" s="132"/>
    </row>
    <row r="1259" spans="1:12" x14ac:dyDescent="0.3">
      <c r="A1259" s="132"/>
      <c r="B1259" s="132"/>
      <c r="C1259" s="132"/>
      <c r="D1259" s="132"/>
      <c r="E1259" s="132"/>
      <c r="F1259" s="132"/>
      <c r="G1259" s="132"/>
      <c r="H1259" s="132"/>
      <c r="I1259" s="132"/>
      <c r="J1259" s="132"/>
      <c r="K1259" s="132"/>
      <c r="L1259" s="132"/>
    </row>
    <row r="1260" spans="1:12" x14ac:dyDescent="0.3">
      <c r="A1260" s="132"/>
      <c r="B1260" s="132"/>
      <c r="C1260" s="132"/>
      <c r="D1260" s="132"/>
      <c r="E1260" s="132"/>
      <c r="F1260" s="132"/>
      <c r="G1260" s="132"/>
      <c r="H1260" s="132"/>
      <c r="I1260" s="132"/>
      <c r="J1260" s="132"/>
      <c r="K1260" s="132"/>
      <c r="L1260" s="132"/>
    </row>
    <row r="1261" spans="1:12" x14ac:dyDescent="0.3">
      <c r="A1261" s="132"/>
      <c r="B1261" s="132"/>
      <c r="C1261" s="132"/>
      <c r="D1261" s="132"/>
      <c r="E1261" s="132"/>
      <c r="F1261" s="132"/>
      <c r="G1261" s="132"/>
      <c r="H1261" s="132"/>
      <c r="I1261" s="132"/>
      <c r="J1261" s="132"/>
      <c r="K1261" s="132"/>
      <c r="L1261" s="132"/>
    </row>
    <row r="1262" spans="1:12" x14ac:dyDescent="0.3">
      <c r="A1262" s="132"/>
      <c r="B1262" s="132"/>
      <c r="C1262" s="132"/>
      <c r="D1262" s="132"/>
      <c r="E1262" s="132"/>
      <c r="F1262" s="132"/>
      <c r="G1262" s="132"/>
      <c r="H1262" s="132"/>
      <c r="I1262" s="132"/>
      <c r="J1262" s="132"/>
      <c r="K1262" s="132"/>
      <c r="L1262" s="132"/>
    </row>
    <row r="1263" spans="1:12" x14ac:dyDescent="0.3">
      <c r="A1263" s="132"/>
      <c r="B1263" s="132"/>
      <c r="C1263" s="132"/>
      <c r="D1263" s="132"/>
      <c r="E1263" s="132"/>
      <c r="F1263" s="132"/>
      <c r="G1263" s="132"/>
      <c r="H1263" s="132"/>
      <c r="I1263" s="132"/>
      <c r="J1263" s="132"/>
      <c r="K1263" s="132"/>
      <c r="L1263" s="132"/>
    </row>
    <row r="1264" spans="1:12" x14ac:dyDescent="0.3">
      <c r="A1264" s="132"/>
      <c r="B1264" s="132"/>
      <c r="C1264" s="132"/>
      <c r="D1264" s="132"/>
      <c r="E1264" s="132"/>
      <c r="F1264" s="132"/>
      <c r="G1264" s="132"/>
      <c r="H1264" s="132"/>
      <c r="I1264" s="132"/>
      <c r="J1264" s="132"/>
      <c r="K1264" s="132"/>
      <c r="L1264" s="132"/>
    </row>
    <row r="1265" spans="1:12" x14ac:dyDescent="0.3">
      <c r="A1265" s="132"/>
      <c r="B1265" s="132"/>
      <c r="C1265" s="132"/>
      <c r="D1265" s="132"/>
      <c r="E1265" s="132"/>
      <c r="F1265" s="132"/>
      <c r="G1265" s="132"/>
      <c r="H1265" s="132"/>
      <c r="I1265" s="132"/>
      <c r="J1265" s="132"/>
      <c r="K1265" s="132"/>
      <c r="L1265" s="132"/>
    </row>
    <row r="1266" spans="1:12" x14ac:dyDescent="0.3">
      <c r="A1266" s="132"/>
      <c r="B1266" s="132"/>
      <c r="C1266" s="132"/>
      <c r="D1266" s="132"/>
      <c r="E1266" s="132"/>
      <c r="F1266" s="132"/>
      <c r="G1266" s="132"/>
      <c r="H1266" s="132"/>
      <c r="I1266" s="132"/>
      <c r="J1266" s="132"/>
      <c r="K1266" s="132"/>
      <c r="L1266" s="132"/>
    </row>
    <row r="1267" spans="1:12" x14ac:dyDescent="0.3">
      <c r="A1267" s="132"/>
      <c r="B1267" s="132"/>
      <c r="C1267" s="132"/>
      <c r="D1267" s="132"/>
      <c r="E1267" s="132"/>
      <c r="F1267" s="132"/>
      <c r="G1267" s="132"/>
      <c r="H1267" s="132"/>
      <c r="I1267" s="132"/>
      <c r="J1267" s="132"/>
      <c r="K1267" s="132"/>
      <c r="L1267" s="132"/>
    </row>
    <row r="1268" spans="1:12" x14ac:dyDescent="0.3">
      <c r="A1268" s="132"/>
      <c r="B1268" s="132"/>
      <c r="C1268" s="132"/>
      <c r="D1268" s="132"/>
      <c r="E1268" s="132"/>
      <c r="F1268" s="132"/>
      <c r="G1268" s="132"/>
      <c r="H1268" s="132"/>
      <c r="I1268" s="132"/>
      <c r="J1268" s="132"/>
      <c r="K1268" s="132"/>
      <c r="L1268" s="132"/>
    </row>
    <row r="1269" spans="1:12" x14ac:dyDescent="0.3">
      <c r="A1269" s="132"/>
      <c r="B1269" s="132"/>
      <c r="C1269" s="132"/>
      <c r="D1269" s="132"/>
      <c r="E1269" s="132"/>
      <c r="F1269" s="132"/>
      <c r="G1269" s="132"/>
      <c r="H1269" s="132"/>
      <c r="I1269" s="132"/>
      <c r="J1269" s="132"/>
      <c r="K1269" s="132"/>
      <c r="L1269" s="132"/>
    </row>
    <row r="1270" spans="1:12" x14ac:dyDescent="0.3">
      <c r="A1270" s="132"/>
      <c r="B1270" s="132"/>
      <c r="C1270" s="132"/>
      <c r="D1270" s="132"/>
      <c r="E1270" s="132"/>
      <c r="F1270" s="132"/>
      <c r="G1270" s="132"/>
      <c r="H1270" s="132"/>
      <c r="I1270" s="132"/>
      <c r="J1270" s="132"/>
      <c r="K1270" s="132"/>
      <c r="L1270" s="132"/>
    </row>
    <row r="1271" spans="1:12" x14ac:dyDescent="0.3">
      <c r="A1271" s="132"/>
      <c r="B1271" s="132"/>
      <c r="C1271" s="132"/>
      <c r="D1271" s="132"/>
      <c r="E1271" s="132"/>
      <c r="F1271" s="132"/>
      <c r="G1271" s="132"/>
      <c r="H1271" s="132"/>
      <c r="I1271" s="132"/>
      <c r="J1271" s="132"/>
      <c r="K1271" s="132"/>
      <c r="L1271" s="132"/>
    </row>
    <row r="1272" spans="1:12" x14ac:dyDescent="0.3">
      <c r="A1272" s="132"/>
      <c r="B1272" s="132"/>
      <c r="C1272" s="132"/>
      <c r="D1272" s="132"/>
      <c r="E1272" s="132"/>
      <c r="F1272" s="132"/>
      <c r="G1272" s="132"/>
      <c r="H1272" s="132"/>
      <c r="I1272" s="132"/>
      <c r="J1272" s="132"/>
      <c r="K1272" s="132"/>
      <c r="L1272" s="132"/>
    </row>
    <row r="1273" spans="1:12" x14ac:dyDescent="0.3">
      <c r="A1273" s="132"/>
      <c r="B1273" s="132"/>
      <c r="C1273" s="132"/>
      <c r="D1273" s="132"/>
      <c r="E1273" s="132"/>
      <c r="F1273" s="132"/>
      <c r="G1273" s="132"/>
      <c r="H1273" s="132"/>
      <c r="I1273" s="132"/>
      <c r="J1273" s="132"/>
      <c r="K1273" s="132"/>
      <c r="L1273" s="132"/>
    </row>
    <row r="1274" spans="1:12" x14ac:dyDescent="0.3">
      <c r="A1274" s="132"/>
      <c r="B1274" s="132"/>
      <c r="C1274" s="132"/>
      <c r="D1274" s="132"/>
      <c r="E1274" s="132"/>
      <c r="F1274" s="132"/>
      <c r="G1274" s="132"/>
      <c r="H1274" s="132"/>
      <c r="I1274" s="132"/>
      <c r="J1274" s="132"/>
      <c r="K1274" s="132"/>
      <c r="L1274" s="132"/>
    </row>
    <row r="1275" spans="1:12" x14ac:dyDescent="0.3">
      <c r="A1275" s="132"/>
      <c r="B1275" s="132"/>
      <c r="C1275" s="132"/>
      <c r="D1275" s="132"/>
      <c r="E1275" s="132"/>
      <c r="F1275" s="132"/>
      <c r="G1275" s="132"/>
      <c r="H1275" s="132"/>
      <c r="I1275" s="132"/>
      <c r="J1275" s="132"/>
      <c r="K1275" s="132"/>
      <c r="L1275" s="132"/>
    </row>
    <row r="1276" spans="1:12" x14ac:dyDescent="0.3">
      <c r="A1276" s="132"/>
      <c r="B1276" s="132"/>
      <c r="C1276" s="132"/>
      <c r="D1276" s="132"/>
      <c r="E1276" s="132"/>
      <c r="F1276" s="132"/>
      <c r="G1276" s="132"/>
      <c r="H1276" s="132"/>
      <c r="I1276" s="132"/>
      <c r="J1276" s="132"/>
      <c r="K1276" s="132"/>
      <c r="L1276" s="132"/>
    </row>
    <row r="1277" spans="1:12" x14ac:dyDescent="0.3">
      <c r="A1277" s="132"/>
      <c r="B1277" s="132"/>
      <c r="C1277" s="132"/>
      <c r="D1277" s="132"/>
      <c r="E1277" s="132"/>
      <c r="F1277" s="132"/>
      <c r="G1277" s="132"/>
      <c r="H1277" s="132"/>
      <c r="I1277" s="132"/>
      <c r="J1277" s="132"/>
      <c r="K1277" s="132"/>
      <c r="L1277" s="132"/>
    </row>
    <row r="1278" spans="1:12" x14ac:dyDescent="0.3">
      <c r="A1278" s="132"/>
      <c r="B1278" s="132"/>
      <c r="C1278" s="132"/>
      <c r="D1278" s="132"/>
      <c r="E1278" s="132"/>
      <c r="F1278" s="132"/>
      <c r="G1278" s="132"/>
      <c r="H1278" s="132"/>
      <c r="I1278" s="132"/>
      <c r="J1278" s="132"/>
      <c r="K1278" s="132"/>
      <c r="L1278" s="132"/>
    </row>
    <row r="1279" spans="1:12" x14ac:dyDescent="0.3">
      <c r="A1279" s="132"/>
      <c r="B1279" s="132"/>
      <c r="C1279" s="132"/>
      <c r="D1279" s="132"/>
      <c r="E1279" s="132"/>
      <c r="F1279" s="132"/>
      <c r="G1279" s="132"/>
      <c r="H1279" s="132"/>
      <c r="I1279" s="132"/>
      <c r="J1279" s="132"/>
      <c r="K1279" s="132"/>
      <c r="L1279" s="132"/>
    </row>
    <row r="1280" spans="1:12" x14ac:dyDescent="0.3">
      <c r="A1280" s="132"/>
      <c r="B1280" s="132"/>
      <c r="C1280" s="132"/>
      <c r="D1280" s="132"/>
      <c r="E1280" s="132"/>
      <c r="F1280" s="132"/>
      <c r="G1280" s="132"/>
      <c r="H1280" s="132"/>
      <c r="I1280" s="132"/>
      <c r="J1280" s="132"/>
      <c r="K1280" s="132"/>
      <c r="L1280" s="132"/>
    </row>
    <row r="1281" spans="1:12" x14ac:dyDescent="0.3">
      <c r="A1281" s="132"/>
      <c r="B1281" s="132"/>
      <c r="C1281" s="132"/>
      <c r="D1281" s="132"/>
      <c r="E1281" s="132"/>
      <c r="F1281" s="132"/>
      <c r="G1281" s="132"/>
      <c r="H1281" s="132"/>
      <c r="I1281" s="132"/>
      <c r="J1281" s="132"/>
      <c r="K1281" s="132"/>
      <c r="L1281" s="132"/>
    </row>
    <row r="1282" spans="1:12" x14ac:dyDescent="0.3">
      <c r="A1282" s="132"/>
      <c r="B1282" s="132"/>
      <c r="C1282" s="132"/>
      <c r="D1282" s="132"/>
      <c r="E1282" s="132"/>
      <c r="F1282" s="132"/>
      <c r="G1282" s="132"/>
      <c r="H1282" s="132"/>
      <c r="I1282" s="132"/>
      <c r="J1282" s="132"/>
      <c r="K1282" s="132"/>
      <c r="L1282" s="132"/>
    </row>
    <row r="1283" spans="1:12" x14ac:dyDescent="0.3">
      <c r="A1283" s="132"/>
      <c r="B1283" s="132"/>
      <c r="C1283" s="132"/>
      <c r="D1283" s="132"/>
      <c r="E1283" s="132"/>
      <c r="F1283" s="132"/>
      <c r="G1283" s="132"/>
      <c r="H1283" s="132"/>
      <c r="I1283" s="132"/>
      <c r="J1283" s="132"/>
      <c r="K1283" s="132"/>
      <c r="L1283" s="132"/>
    </row>
    <row r="1284" spans="1:12" x14ac:dyDescent="0.3">
      <c r="A1284" s="132"/>
      <c r="B1284" s="132"/>
      <c r="C1284" s="132"/>
      <c r="D1284" s="132"/>
      <c r="E1284" s="132"/>
      <c r="F1284" s="132"/>
      <c r="G1284" s="132"/>
      <c r="H1284" s="132"/>
      <c r="I1284" s="132"/>
      <c r="J1284" s="132"/>
      <c r="K1284" s="132"/>
      <c r="L1284" s="132"/>
    </row>
    <row r="1285" spans="1:12" x14ac:dyDescent="0.3">
      <c r="A1285" s="132"/>
      <c r="B1285" s="132"/>
      <c r="C1285" s="132"/>
      <c r="D1285" s="132"/>
      <c r="E1285" s="132"/>
      <c r="F1285" s="132"/>
      <c r="G1285" s="132"/>
      <c r="H1285" s="132"/>
      <c r="I1285" s="132"/>
      <c r="J1285" s="132"/>
      <c r="K1285" s="132"/>
      <c r="L1285" s="132"/>
    </row>
    <row r="1286" spans="1:12" x14ac:dyDescent="0.3">
      <c r="A1286" s="132"/>
      <c r="B1286" s="132"/>
      <c r="C1286" s="132"/>
      <c r="D1286" s="132"/>
      <c r="E1286" s="132"/>
      <c r="F1286" s="132"/>
      <c r="G1286" s="132"/>
      <c r="H1286" s="132"/>
      <c r="I1286" s="132"/>
      <c r="J1286" s="132"/>
      <c r="K1286" s="132"/>
      <c r="L1286" s="132"/>
    </row>
    <row r="1287" spans="1:12" x14ac:dyDescent="0.3">
      <c r="A1287" s="132"/>
      <c r="B1287" s="132"/>
      <c r="C1287" s="132"/>
      <c r="D1287" s="132"/>
      <c r="E1287" s="132"/>
      <c r="F1287" s="132"/>
      <c r="G1287" s="132"/>
      <c r="H1287" s="132"/>
      <c r="I1287" s="132"/>
      <c r="J1287" s="132"/>
      <c r="K1287" s="132"/>
      <c r="L1287" s="132"/>
    </row>
    <row r="1288" spans="1:12" x14ac:dyDescent="0.3">
      <c r="A1288" s="132"/>
      <c r="B1288" s="132"/>
      <c r="C1288" s="132"/>
      <c r="D1288" s="132"/>
      <c r="E1288" s="132"/>
      <c r="F1288" s="132"/>
      <c r="G1288" s="132"/>
      <c r="H1288" s="132"/>
      <c r="I1288" s="132"/>
      <c r="J1288" s="132"/>
      <c r="K1288" s="132"/>
      <c r="L1288" s="132"/>
    </row>
    <row r="1289" spans="1:12" x14ac:dyDescent="0.3">
      <c r="A1289" s="132"/>
      <c r="B1289" s="132"/>
      <c r="C1289" s="132"/>
      <c r="D1289" s="132"/>
      <c r="E1289" s="132"/>
      <c r="F1289" s="132"/>
      <c r="G1289" s="132"/>
      <c r="H1289" s="132"/>
      <c r="I1289" s="132"/>
      <c r="J1289" s="132"/>
      <c r="K1289" s="132"/>
      <c r="L1289" s="132"/>
    </row>
    <row r="1290" spans="1:12" x14ac:dyDescent="0.3">
      <c r="A1290" s="132"/>
      <c r="B1290" s="132"/>
      <c r="C1290" s="132"/>
      <c r="D1290" s="132"/>
      <c r="E1290" s="132"/>
      <c r="F1290" s="132"/>
      <c r="G1290" s="132"/>
      <c r="H1290" s="132"/>
      <c r="I1290" s="132"/>
      <c r="J1290" s="132"/>
      <c r="K1290" s="132"/>
      <c r="L1290" s="132"/>
    </row>
    <row r="1291" spans="1:12" x14ac:dyDescent="0.3">
      <c r="A1291" s="132"/>
      <c r="B1291" s="132"/>
      <c r="C1291" s="132"/>
      <c r="D1291" s="132"/>
      <c r="E1291" s="132"/>
      <c r="F1291" s="132"/>
      <c r="G1291" s="132"/>
      <c r="H1291" s="132"/>
      <c r="I1291" s="132"/>
      <c r="J1291" s="132"/>
      <c r="K1291" s="132"/>
      <c r="L1291" s="132"/>
    </row>
    <row r="1292" spans="1:12" x14ac:dyDescent="0.3">
      <c r="A1292" s="132"/>
      <c r="B1292" s="132"/>
      <c r="C1292" s="132"/>
      <c r="D1292" s="132"/>
      <c r="E1292" s="132"/>
      <c r="F1292" s="132"/>
      <c r="G1292" s="132"/>
      <c r="H1292" s="132"/>
      <c r="I1292" s="132"/>
      <c r="J1292" s="132"/>
      <c r="K1292" s="132"/>
      <c r="L1292" s="132"/>
    </row>
    <row r="1293" spans="1:12" x14ac:dyDescent="0.3">
      <c r="A1293" s="132"/>
      <c r="B1293" s="132"/>
      <c r="C1293" s="132"/>
      <c r="D1293" s="132"/>
      <c r="E1293" s="132"/>
      <c r="F1293" s="132"/>
      <c r="G1293" s="132"/>
      <c r="H1293" s="132"/>
      <c r="I1293" s="132"/>
      <c r="J1293" s="132"/>
      <c r="K1293" s="132"/>
      <c r="L1293" s="132"/>
    </row>
    <row r="1294" spans="1:12" x14ac:dyDescent="0.3">
      <c r="A1294" s="132"/>
      <c r="B1294" s="132"/>
      <c r="C1294" s="132"/>
      <c r="D1294" s="132"/>
      <c r="E1294" s="132"/>
      <c r="F1294" s="132"/>
      <c r="G1294" s="132"/>
      <c r="H1294" s="132"/>
      <c r="I1294" s="132"/>
      <c r="J1294" s="132"/>
      <c r="K1294" s="132"/>
      <c r="L1294" s="132"/>
    </row>
    <row r="1295" spans="1:12" x14ac:dyDescent="0.3">
      <c r="A1295" s="132"/>
      <c r="B1295" s="132"/>
      <c r="C1295" s="132"/>
      <c r="D1295" s="132"/>
      <c r="E1295" s="132"/>
      <c r="F1295" s="132"/>
      <c r="G1295" s="132"/>
      <c r="H1295" s="132"/>
      <c r="I1295" s="132"/>
      <c r="J1295" s="132"/>
      <c r="K1295" s="132"/>
      <c r="L1295" s="132"/>
    </row>
    <row r="1296" spans="1:12" x14ac:dyDescent="0.3">
      <c r="A1296" s="132"/>
      <c r="B1296" s="132"/>
      <c r="C1296" s="132"/>
      <c r="D1296" s="132"/>
      <c r="E1296" s="132"/>
      <c r="F1296" s="132"/>
      <c r="G1296" s="132"/>
      <c r="H1296" s="132"/>
      <c r="I1296" s="132"/>
      <c r="J1296" s="132"/>
      <c r="K1296" s="132"/>
      <c r="L1296" s="132"/>
    </row>
    <row r="1297" spans="1:12" x14ac:dyDescent="0.3">
      <c r="A1297" s="132"/>
      <c r="B1297" s="132"/>
      <c r="C1297" s="132"/>
      <c r="D1297" s="132"/>
      <c r="E1297" s="132"/>
      <c r="F1297" s="132"/>
      <c r="G1297" s="132"/>
      <c r="H1297" s="132"/>
      <c r="I1297" s="132"/>
      <c r="J1297" s="132"/>
      <c r="K1297" s="132"/>
      <c r="L1297" s="132"/>
    </row>
    <row r="1298" spans="1:12" x14ac:dyDescent="0.3">
      <c r="A1298" s="132"/>
      <c r="B1298" s="132"/>
      <c r="C1298" s="132"/>
      <c r="D1298" s="132"/>
      <c r="E1298" s="132"/>
      <c r="F1298" s="132"/>
      <c r="G1298" s="132"/>
      <c r="H1298" s="132"/>
      <c r="I1298" s="132"/>
      <c r="J1298" s="132"/>
      <c r="K1298" s="132"/>
      <c r="L1298" s="132"/>
    </row>
    <row r="1299" spans="1:12" x14ac:dyDescent="0.3">
      <c r="A1299" s="132"/>
      <c r="B1299" s="132"/>
      <c r="C1299" s="132"/>
      <c r="D1299" s="132"/>
      <c r="E1299" s="132"/>
      <c r="F1299" s="132"/>
      <c r="G1299" s="132"/>
      <c r="H1299" s="132"/>
      <c r="I1299" s="132"/>
      <c r="J1299" s="132"/>
      <c r="K1299" s="132"/>
      <c r="L1299" s="132"/>
    </row>
    <row r="1300" spans="1:12" x14ac:dyDescent="0.3">
      <c r="A1300" s="132"/>
      <c r="B1300" s="132"/>
      <c r="C1300" s="132"/>
      <c r="D1300" s="132"/>
      <c r="E1300" s="132"/>
      <c r="F1300" s="132"/>
      <c r="G1300" s="132"/>
      <c r="H1300" s="132"/>
      <c r="I1300" s="132"/>
      <c r="J1300" s="132"/>
      <c r="K1300" s="132"/>
      <c r="L1300" s="132"/>
    </row>
    <row r="1301" spans="1:12" x14ac:dyDescent="0.3">
      <c r="A1301" s="132"/>
      <c r="B1301" s="132"/>
      <c r="C1301" s="132"/>
      <c r="D1301" s="132"/>
      <c r="E1301" s="132"/>
      <c r="F1301" s="132"/>
      <c r="G1301" s="132"/>
      <c r="H1301" s="132"/>
      <c r="I1301" s="132"/>
      <c r="J1301" s="132"/>
      <c r="K1301" s="132"/>
      <c r="L1301" s="132"/>
    </row>
    <row r="1302" spans="1:12" x14ac:dyDescent="0.3">
      <c r="A1302" s="132"/>
      <c r="B1302" s="132"/>
      <c r="C1302" s="132"/>
      <c r="D1302" s="132"/>
      <c r="E1302" s="132"/>
      <c r="F1302" s="132"/>
      <c r="G1302" s="132"/>
      <c r="H1302" s="132"/>
      <c r="I1302" s="132"/>
      <c r="J1302" s="132"/>
      <c r="K1302" s="132"/>
      <c r="L1302" s="132"/>
    </row>
    <row r="1303" spans="1:12" x14ac:dyDescent="0.3">
      <c r="A1303" s="132"/>
      <c r="B1303" s="132"/>
      <c r="C1303" s="132"/>
      <c r="D1303" s="132"/>
      <c r="E1303" s="132"/>
      <c r="F1303" s="132"/>
      <c r="G1303" s="132"/>
      <c r="H1303" s="132"/>
      <c r="I1303" s="132"/>
      <c r="J1303" s="132"/>
      <c r="K1303" s="132"/>
      <c r="L1303" s="132"/>
    </row>
    <row r="1304" spans="1:12" x14ac:dyDescent="0.3">
      <c r="A1304" s="132"/>
      <c r="B1304" s="132"/>
      <c r="C1304" s="132"/>
      <c r="D1304" s="132"/>
      <c r="E1304" s="132"/>
      <c r="F1304" s="132"/>
      <c r="G1304" s="132"/>
      <c r="H1304" s="132"/>
      <c r="I1304" s="132"/>
      <c r="J1304" s="132"/>
      <c r="K1304" s="132"/>
      <c r="L1304" s="132"/>
    </row>
    <row r="1305" spans="1:12" x14ac:dyDescent="0.3">
      <c r="A1305" s="132"/>
      <c r="B1305" s="132"/>
      <c r="C1305" s="132"/>
      <c r="D1305" s="132"/>
      <c r="E1305" s="132"/>
      <c r="F1305" s="132"/>
      <c r="G1305" s="132"/>
      <c r="H1305" s="132"/>
      <c r="I1305" s="132"/>
      <c r="J1305" s="132"/>
      <c r="K1305" s="132"/>
      <c r="L1305" s="132"/>
    </row>
    <row r="1306" spans="1:12" x14ac:dyDescent="0.3">
      <c r="A1306" s="132"/>
      <c r="B1306" s="132"/>
      <c r="C1306" s="132"/>
      <c r="D1306" s="132"/>
      <c r="E1306" s="132"/>
      <c r="F1306" s="132"/>
      <c r="G1306" s="132"/>
      <c r="H1306" s="132"/>
      <c r="I1306" s="132"/>
      <c r="J1306" s="132"/>
      <c r="K1306" s="132"/>
      <c r="L1306" s="132"/>
    </row>
    <row r="1307" spans="1:12" x14ac:dyDescent="0.3">
      <c r="A1307" s="132"/>
      <c r="B1307" s="132"/>
      <c r="C1307" s="132"/>
      <c r="D1307" s="132"/>
      <c r="E1307" s="132"/>
      <c r="F1307" s="132"/>
      <c r="G1307" s="132"/>
      <c r="H1307" s="132"/>
      <c r="I1307" s="132"/>
      <c r="J1307" s="132"/>
      <c r="K1307" s="132"/>
      <c r="L1307" s="132"/>
    </row>
    <row r="1308" spans="1:12" x14ac:dyDescent="0.3">
      <c r="A1308" s="132"/>
      <c r="B1308" s="132"/>
      <c r="C1308" s="132"/>
      <c r="D1308" s="132"/>
      <c r="E1308" s="132"/>
      <c r="F1308" s="132"/>
      <c r="G1308" s="132"/>
      <c r="H1308" s="132"/>
      <c r="I1308" s="132"/>
      <c r="J1308" s="132"/>
      <c r="K1308" s="132"/>
      <c r="L1308" s="132"/>
    </row>
    <row r="1309" spans="1:12" x14ac:dyDescent="0.3">
      <c r="A1309" s="132"/>
      <c r="B1309" s="132"/>
      <c r="C1309" s="132"/>
      <c r="D1309" s="132"/>
      <c r="E1309" s="132"/>
      <c r="F1309" s="132"/>
      <c r="G1309" s="132"/>
      <c r="H1309" s="132"/>
      <c r="I1309" s="132"/>
      <c r="J1309" s="132"/>
      <c r="K1309" s="132"/>
      <c r="L1309" s="132"/>
    </row>
    <row r="1310" spans="1:12" x14ac:dyDescent="0.3">
      <c r="A1310" s="132"/>
      <c r="B1310" s="132"/>
      <c r="C1310" s="132"/>
      <c r="D1310" s="132"/>
      <c r="E1310" s="132"/>
      <c r="F1310" s="132"/>
      <c r="G1310" s="132"/>
      <c r="H1310" s="132"/>
      <c r="I1310" s="132"/>
      <c r="J1310" s="132"/>
      <c r="K1310" s="132"/>
      <c r="L1310" s="132"/>
    </row>
    <row r="1311" spans="1:12" x14ac:dyDescent="0.3">
      <c r="A1311" s="132"/>
      <c r="B1311" s="132"/>
      <c r="C1311" s="132"/>
      <c r="D1311" s="132"/>
      <c r="E1311" s="132"/>
      <c r="F1311" s="132"/>
      <c r="G1311" s="132"/>
      <c r="H1311" s="132"/>
      <c r="I1311" s="132"/>
      <c r="J1311" s="132"/>
      <c r="K1311" s="132"/>
      <c r="L1311" s="132"/>
    </row>
    <row r="1312" spans="1:12" x14ac:dyDescent="0.3">
      <c r="A1312" s="132"/>
      <c r="B1312" s="132"/>
      <c r="C1312" s="132"/>
      <c r="D1312" s="132"/>
      <c r="E1312" s="132"/>
      <c r="F1312" s="132"/>
      <c r="G1312" s="132"/>
      <c r="H1312" s="132"/>
      <c r="I1312" s="132"/>
      <c r="J1312" s="132"/>
      <c r="K1312" s="132"/>
      <c r="L1312" s="132"/>
    </row>
    <row r="1313" spans="1:12" x14ac:dyDescent="0.3">
      <c r="A1313" s="132"/>
      <c r="B1313" s="132"/>
      <c r="C1313" s="132"/>
      <c r="D1313" s="132"/>
      <c r="E1313" s="132"/>
      <c r="F1313" s="132"/>
      <c r="G1313" s="132"/>
      <c r="H1313" s="132"/>
      <c r="I1313" s="132"/>
      <c r="J1313" s="132"/>
      <c r="K1313" s="132"/>
      <c r="L1313" s="132"/>
    </row>
    <row r="1314" spans="1:12" x14ac:dyDescent="0.3">
      <c r="A1314" s="132"/>
      <c r="B1314" s="132"/>
      <c r="C1314" s="132"/>
      <c r="D1314" s="132"/>
      <c r="E1314" s="132"/>
      <c r="F1314" s="132"/>
      <c r="G1314" s="132"/>
      <c r="H1314" s="132"/>
      <c r="I1314" s="132"/>
      <c r="J1314" s="132"/>
      <c r="K1314" s="132"/>
      <c r="L1314" s="132"/>
    </row>
    <row r="1315" spans="1:12" x14ac:dyDescent="0.3">
      <c r="A1315" s="132"/>
      <c r="B1315" s="132"/>
      <c r="C1315" s="132"/>
      <c r="D1315" s="132"/>
      <c r="E1315" s="132"/>
      <c r="F1315" s="132"/>
      <c r="G1315" s="132"/>
      <c r="H1315" s="132"/>
      <c r="I1315" s="132"/>
      <c r="J1315" s="132"/>
      <c r="K1315" s="132"/>
      <c r="L1315" s="132"/>
    </row>
    <row r="1316" spans="1:12" x14ac:dyDescent="0.3">
      <c r="A1316" s="132"/>
      <c r="B1316" s="132"/>
      <c r="C1316" s="132"/>
      <c r="D1316" s="132"/>
      <c r="E1316" s="132"/>
      <c r="F1316" s="132"/>
      <c r="G1316" s="132"/>
      <c r="H1316" s="132"/>
      <c r="I1316" s="132"/>
      <c r="J1316" s="132"/>
      <c r="K1316" s="132"/>
      <c r="L1316" s="132"/>
    </row>
    <row r="1317" spans="1:12" x14ac:dyDescent="0.3">
      <c r="A1317" s="132"/>
      <c r="B1317" s="132"/>
      <c r="C1317" s="132"/>
      <c r="D1317" s="132"/>
      <c r="E1317" s="132"/>
      <c r="F1317" s="132"/>
      <c r="G1317" s="132"/>
      <c r="H1317" s="132"/>
      <c r="I1317" s="132"/>
      <c r="J1317" s="132"/>
      <c r="K1317" s="132"/>
      <c r="L1317" s="132"/>
    </row>
    <row r="1318" spans="1:12" x14ac:dyDescent="0.3">
      <c r="A1318" s="132"/>
      <c r="B1318" s="132"/>
      <c r="C1318" s="132"/>
      <c r="D1318" s="132"/>
      <c r="E1318" s="132"/>
      <c r="F1318" s="132"/>
      <c r="G1318" s="132"/>
      <c r="H1318" s="132"/>
      <c r="I1318" s="132"/>
      <c r="J1318" s="132"/>
      <c r="K1318" s="132"/>
      <c r="L1318" s="132"/>
    </row>
    <row r="1319" spans="1:12" x14ac:dyDescent="0.3">
      <c r="A1319" s="132"/>
      <c r="B1319" s="132"/>
      <c r="C1319" s="132"/>
      <c r="D1319" s="132"/>
      <c r="E1319" s="132"/>
      <c r="F1319" s="132"/>
      <c r="G1319" s="132"/>
      <c r="H1319" s="132"/>
      <c r="I1319" s="132"/>
      <c r="J1319" s="132"/>
      <c r="K1319" s="132"/>
      <c r="L1319" s="132"/>
    </row>
    <row r="1320" spans="1:12" x14ac:dyDescent="0.3">
      <c r="A1320" s="132"/>
      <c r="B1320" s="132"/>
      <c r="C1320" s="132"/>
      <c r="D1320" s="132"/>
      <c r="E1320" s="132"/>
      <c r="F1320" s="132"/>
      <c r="G1320" s="132"/>
      <c r="H1320" s="132"/>
      <c r="I1320" s="132"/>
      <c r="J1320" s="132"/>
      <c r="K1320" s="132"/>
      <c r="L1320" s="132"/>
    </row>
    <row r="1321" spans="1:12" x14ac:dyDescent="0.3">
      <c r="A1321" s="132"/>
      <c r="B1321" s="132"/>
      <c r="C1321" s="132"/>
      <c r="D1321" s="132"/>
      <c r="E1321" s="132"/>
      <c r="F1321" s="132"/>
      <c r="G1321" s="132"/>
      <c r="H1321" s="132"/>
      <c r="I1321" s="132"/>
      <c r="J1321" s="132"/>
      <c r="K1321" s="132"/>
      <c r="L1321" s="132"/>
    </row>
    <row r="1322" spans="1:12" x14ac:dyDescent="0.3">
      <c r="A1322" s="132"/>
      <c r="B1322" s="132"/>
      <c r="C1322" s="132"/>
      <c r="D1322" s="132"/>
      <c r="E1322" s="132"/>
      <c r="F1322" s="132"/>
      <c r="G1322" s="132"/>
      <c r="H1322" s="132"/>
      <c r="I1322" s="132"/>
      <c r="J1322" s="132"/>
      <c r="K1322" s="132"/>
      <c r="L1322" s="132"/>
    </row>
    <row r="1323" spans="1:12" x14ac:dyDescent="0.3">
      <c r="A1323" s="132"/>
      <c r="B1323" s="132"/>
      <c r="C1323" s="132"/>
      <c r="D1323" s="132"/>
      <c r="E1323" s="132"/>
      <c r="F1323" s="132"/>
      <c r="G1323" s="132"/>
      <c r="H1323" s="132"/>
      <c r="I1323" s="132"/>
      <c r="J1323" s="132"/>
      <c r="K1323" s="132"/>
      <c r="L1323" s="132"/>
    </row>
    <row r="1324" spans="1:12" x14ac:dyDescent="0.3">
      <c r="A1324" s="132"/>
      <c r="B1324" s="132"/>
      <c r="C1324" s="132"/>
      <c r="D1324" s="132"/>
      <c r="E1324" s="132"/>
      <c r="F1324" s="132"/>
      <c r="G1324" s="132"/>
      <c r="H1324" s="132"/>
      <c r="I1324" s="132"/>
      <c r="J1324" s="132"/>
      <c r="K1324" s="132"/>
      <c r="L1324" s="132"/>
    </row>
    <row r="1325" spans="1:12" x14ac:dyDescent="0.3">
      <c r="A1325" s="132"/>
      <c r="B1325" s="132"/>
      <c r="C1325" s="132"/>
      <c r="D1325" s="132"/>
      <c r="E1325" s="132"/>
      <c r="F1325" s="132"/>
      <c r="G1325" s="132"/>
      <c r="H1325" s="132"/>
      <c r="I1325" s="132"/>
      <c r="J1325" s="132"/>
      <c r="K1325" s="132"/>
      <c r="L1325" s="132"/>
    </row>
    <row r="1326" spans="1:12" x14ac:dyDescent="0.3">
      <c r="A1326" s="132"/>
      <c r="B1326" s="132"/>
      <c r="C1326" s="132"/>
      <c r="D1326" s="132"/>
      <c r="E1326" s="132"/>
      <c r="F1326" s="132"/>
      <c r="G1326" s="132"/>
      <c r="H1326" s="132"/>
      <c r="I1326" s="132"/>
      <c r="J1326" s="132"/>
      <c r="K1326" s="132"/>
      <c r="L1326" s="132"/>
    </row>
    <row r="1327" spans="1:12" x14ac:dyDescent="0.3">
      <c r="A1327" s="132"/>
      <c r="B1327" s="132"/>
      <c r="C1327" s="132"/>
      <c r="D1327" s="132"/>
      <c r="E1327" s="132"/>
      <c r="F1327" s="132"/>
      <c r="G1327" s="132"/>
      <c r="H1327" s="132"/>
      <c r="I1327" s="132"/>
      <c r="J1327" s="132"/>
      <c r="K1327" s="132"/>
      <c r="L1327" s="132"/>
    </row>
    <row r="1328" spans="1:12" x14ac:dyDescent="0.3">
      <c r="A1328" s="132"/>
      <c r="B1328" s="132"/>
      <c r="C1328" s="132"/>
      <c r="D1328" s="132"/>
      <c r="E1328" s="132"/>
      <c r="F1328" s="132"/>
      <c r="G1328" s="132"/>
      <c r="H1328" s="132"/>
      <c r="I1328" s="132"/>
      <c r="J1328" s="132"/>
      <c r="K1328" s="132"/>
      <c r="L1328" s="132"/>
    </row>
    <row r="1329" spans="1:12" x14ac:dyDescent="0.3">
      <c r="A1329" s="132"/>
      <c r="B1329" s="132"/>
      <c r="C1329" s="132"/>
      <c r="D1329" s="132"/>
      <c r="E1329" s="132"/>
      <c r="F1329" s="132"/>
      <c r="G1329" s="132"/>
      <c r="H1329" s="132"/>
      <c r="I1329" s="132"/>
      <c r="J1329" s="132"/>
      <c r="K1329" s="132"/>
      <c r="L1329" s="132"/>
    </row>
    <row r="1330" spans="1:12" x14ac:dyDescent="0.3">
      <c r="A1330" s="132"/>
      <c r="B1330" s="132"/>
      <c r="C1330" s="132"/>
      <c r="D1330" s="132"/>
      <c r="E1330" s="132"/>
      <c r="F1330" s="132"/>
      <c r="G1330" s="132"/>
      <c r="H1330" s="132"/>
      <c r="I1330" s="132"/>
      <c r="J1330" s="132"/>
      <c r="K1330" s="132"/>
      <c r="L1330" s="132"/>
    </row>
    <row r="1331" spans="1:12" x14ac:dyDescent="0.3">
      <c r="A1331" s="132"/>
      <c r="B1331" s="132"/>
      <c r="C1331" s="132"/>
      <c r="D1331" s="132"/>
      <c r="E1331" s="132"/>
      <c r="F1331" s="132"/>
      <c r="G1331" s="132"/>
      <c r="H1331" s="132"/>
      <c r="I1331" s="132"/>
      <c r="J1331" s="132"/>
      <c r="K1331" s="132"/>
      <c r="L1331" s="132"/>
    </row>
    <row r="1332" spans="1:12" x14ac:dyDescent="0.3">
      <c r="A1332" s="132"/>
      <c r="B1332" s="132"/>
      <c r="C1332" s="132"/>
      <c r="D1332" s="132"/>
      <c r="E1332" s="132"/>
      <c r="F1332" s="132"/>
      <c r="G1332" s="132"/>
      <c r="H1332" s="132"/>
      <c r="I1332" s="132"/>
      <c r="J1332" s="132"/>
      <c r="K1332" s="132"/>
      <c r="L1332" s="132"/>
    </row>
    <row r="1333" spans="1:12" x14ac:dyDescent="0.3">
      <c r="A1333" s="132"/>
      <c r="B1333" s="132"/>
      <c r="C1333" s="132"/>
      <c r="D1333" s="132"/>
      <c r="E1333" s="132"/>
      <c r="F1333" s="132"/>
      <c r="G1333" s="132"/>
      <c r="H1333" s="132"/>
      <c r="I1333" s="132"/>
      <c r="J1333" s="132"/>
      <c r="K1333" s="132"/>
      <c r="L1333" s="132"/>
    </row>
    <row r="1334" spans="1:12" x14ac:dyDescent="0.3">
      <c r="A1334" s="132"/>
      <c r="B1334" s="132"/>
      <c r="C1334" s="132"/>
      <c r="D1334" s="132"/>
      <c r="E1334" s="132"/>
      <c r="F1334" s="132"/>
      <c r="G1334" s="132"/>
      <c r="H1334" s="132"/>
      <c r="I1334" s="132"/>
      <c r="J1334" s="132"/>
      <c r="K1334" s="132"/>
      <c r="L1334" s="132"/>
    </row>
    <row r="1335" spans="1:12" x14ac:dyDescent="0.3">
      <c r="A1335" s="132"/>
      <c r="B1335" s="132"/>
      <c r="C1335" s="132"/>
      <c r="D1335" s="132"/>
      <c r="E1335" s="132"/>
      <c r="F1335" s="132"/>
      <c r="G1335" s="132"/>
      <c r="H1335" s="132"/>
      <c r="I1335" s="132"/>
      <c r="J1335" s="132"/>
      <c r="K1335" s="132"/>
      <c r="L1335" s="132"/>
    </row>
    <row r="1336" spans="1:12" x14ac:dyDescent="0.3">
      <c r="A1336" s="132"/>
      <c r="B1336" s="132"/>
      <c r="C1336" s="132"/>
      <c r="D1336" s="132"/>
      <c r="E1336" s="132"/>
      <c r="F1336" s="132"/>
      <c r="G1336" s="132"/>
      <c r="H1336" s="132"/>
      <c r="I1336" s="132"/>
      <c r="J1336" s="132"/>
      <c r="K1336" s="132"/>
      <c r="L1336" s="132"/>
    </row>
    <row r="1337" spans="1:12" x14ac:dyDescent="0.3">
      <c r="A1337" s="132"/>
      <c r="B1337" s="132"/>
      <c r="C1337" s="132"/>
      <c r="D1337" s="132"/>
      <c r="E1337" s="132"/>
      <c r="F1337" s="132"/>
      <c r="G1337" s="132"/>
      <c r="H1337" s="132"/>
      <c r="I1337" s="132"/>
      <c r="J1337" s="132"/>
      <c r="K1337" s="132"/>
      <c r="L1337" s="132"/>
    </row>
    <row r="1338" spans="1:12" x14ac:dyDescent="0.3">
      <c r="A1338" s="132"/>
      <c r="B1338" s="132"/>
      <c r="C1338" s="132"/>
      <c r="D1338" s="132"/>
      <c r="E1338" s="132"/>
      <c r="F1338" s="132"/>
      <c r="G1338" s="132"/>
      <c r="H1338" s="132"/>
      <c r="I1338" s="132"/>
      <c r="J1338" s="132"/>
      <c r="K1338" s="132"/>
      <c r="L1338" s="132"/>
    </row>
    <row r="1339" spans="1:12" x14ac:dyDescent="0.3">
      <c r="A1339" s="132"/>
      <c r="B1339" s="132"/>
      <c r="C1339" s="132"/>
      <c r="D1339" s="132"/>
      <c r="E1339" s="132"/>
      <c r="F1339" s="132"/>
      <c r="G1339" s="132"/>
      <c r="H1339" s="132"/>
      <c r="I1339" s="132"/>
      <c r="J1339" s="132"/>
      <c r="K1339" s="132"/>
      <c r="L1339" s="132"/>
    </row>
    <row r="1340" spans="1:12" x14ac:dyDescent="0.3">
      <c r="A1340" s="132"/>
      <c r="B1340" s="132"/>
      <c r="C1340" s="132"/>
      <c r="D1340" s="132"/>
      <c r="E1340" s="132"/>
      <c r="F1340" s="132"/>
      <c r="G1340" s="132"/>
      <c r="H1340" s="132"/>
      <c r="I1340" s="132"/>
      <c r="J1340" s="132"/>
      <c r="K1340" s="132"/>
      <c r="L1340" s="132"/>
    </row>
    <row r="1341" spans="1:12" x14ac:dyDescent="0.3">
      <c r="A1341" s="132"/>
      <c r="B1341" s="132"/>
      <c r="C1341" s="132"/>
      <c r="D1341" s="132"/>
      <c r="E1341" s="132"/>
      <c r="F1341" s="132"/>
      <c r="G1341" s="132"/>
      <c r="H1341" s="132"/>
      <c r="I1341" s="132"/>
      <c r="J1341" s="132"/>
      <c r="K1341" s="132"/>
      <c r="L1341" s="132"/>
    </row>
    <row r="1342" spans="1:12" x14ac:dyDescent="0.3">
      <c r="A1342" s="132"/>
      <c r="B1342" s="132"/>
      <c r="C1342" s="132"/>
      <c r="D1342" s="132"/>
      <c r="E1342" s="132"/>
      <c r="F1342" s="132"/>
      <c r="G1342" s="132"/>
      <c r="H1342" s="132"/>
      <c r="I1342" s="132"/>
      <c r="J1342" s="132"/>
      <c r="K1342" s="132"/>
      <c r="L1342" s="132"/>
    </row>
    <row r="1343" spans="1:12" x14ac:dyDescent="0.3">
      <c r="A1343" s="132"/>
      <c r="B1343" s="132"/>
      <c r="C1343" s="132"/>
      <c r="D1343" s="132"/>
      <c r="E1343" s="132"/>
      <c r="F1343" s="132"/>
      <c r="G1343" s="132"/>
      <c r="H1343" s="132"/>
      <c r="I1343" s="132"/>
      <c r="J1343" s="132"/>
      <c r="K1343" s="132"/>
      <c r="L1343" s="132"/>
    </row>
    <row r="1344" spans="1:12" x14ac:dyDescent="0.3">
      <c r="A1344" s="132"/>
      <c r="B1344" s="132"/>
      <c r="C1344" s="132"/>
      <c r="D1344" s="132"/>
      <c r="E1344" s="132"/>
      <c r="F1344" s="132"/>
      <c r="G1344" s="132"/>
      <c r="H1344" s="132"/>
      <c r="I1344" s="132"/>
      <c r="J1344" s="132"/>
      <c r="K1344" s="132"/>
      <c r="L1344" s="132"/>
    </row>
    <row r="1345" spans="1:12" x14ac:dyDescent="0.3">
      <c r="A1345" s="132"/>
      <c r="B1345" s="132"/>
      <c r="C1345" s="132"/>
      <c r="D1345" s="132"/>
      <c r="E1345" s="132"/>
      <c r="F1345" s="132"/>
      <c r="G1345" s="132"/>
      <c r="H1345" s="132"/>
      <c r="I1345" s="132"/>
      <c r="J1345" s="132"/>
      <c r="K1345" s="132"/>
      <c r="L1345" s="132"/>
    </row>
    <row r="1346" spans="1:12" x14ac:dyDescent="0.3">
      <c r="A1346" s="132"/>
      <c r="B1346" s="132"/>
      <c r="C1346" s="132"/>
      <c r="D1346" s="132"/>
      <c r="E1346" s="132"/>
      <c r="F1346" s="132"/>
      <c r="G1346" s="132"/>
      <c r="H1346" s="132"/>
      <c r="I1346" s="132"/>
      <c r="J1346" s="132"/>
      <c r="K1346" s="132"/>
      <c r="L1346" s="132"/>
    </row>
    <row r="1347" spans="1:12" x14ac:dyDescent="0.3">
      <c r="A1347" s="132"/>
      <c r="B1347" s="132"/>
      <c r="C1347" s="132"/>
      <c r="D1347" s="132"/>
      <c r="E1347" s="132"/>
      <c r="F1347" s="132"/>
      <c r="G1347" s="132"/>
      <c r="H1347" s="132"/>
      <c r="I1347" s="132"/>
      <c r="J1347" s="132"/>
      <c r="K1347" s="132"/>
      <c r="L1347" s="132"/>
    </row>
    <row r="1348" spans="1:12" x14ac:dyDescent="0.3">
      <c r="A1348" s="132"/>
      <c r="B1348" s="132"/>
      <c r="C1348" s="132"/>
      <c r="D1348" s="132"/>
      <c r="E1348" s="132"/>
      <c r="F1348" s="132"/>
      <c r="G1348" s="132"/>
      <c r="H1348" s="132"/>
      <c r="I1348" s="132"/>
      <c r="J1348" s="132"/>
      <c r="K1348" s="132"/>
      <c r="L1348" s="132"/>
    </row>
    <row r="1349" spans="1:12" x14ac:dyDescent="0.3">
      <c r="A1349" s="132"/>
      <c r="B1349" s="132"/>
      <c r="C1349" s="132"/>
      <c r="D1349" s="132"/>
      <c r="E1349" s="132"/>
      <c r="F1349" s="132"/>
      <c r="G1349" s="132"/>
      <c r="H1349" s="132"/>
      <c r="I1349" s="132"/>
      <c r="J1349" s="132"/>
      <c r="K1349" s="132"/>
      <c r="L1349" s="132"/>
    </row>
    <row r="1350" spans="1:12" x14ac:dyDescent="0.3">
      <c r="A1350" s="132"/>
      <c r="B1350" s="132"/>
      <c r="C1350" s="132"/>
      <c r="D1350" s="132"/>
      <c r="E1350" s="132"/>
      <c r="F1350" s="132"/>
      <c r="G1350" s="132"/>
      <c r="H1350" s="132"/>
      <c r="I1350" s="132"/>
      <c r="J1350" s="132"/>
      <c r="K1350" s="132"/>
      <c r="L1350" s="132"/>
    </row>
    <row r="1351" spans="1:12" x14ac:dyDescent="0.3">
      <c r="A1351" s="132"/>
      <c r="B1351" s="132"/>
      <c r="C1351" s="132"/>
      <c r="D1351" s="132"/>
      <c r="E1351" s="132"/>
      <c r="F1351" s="132"/>
      <c r="G1351" s="132"/>
      <c r="H1351" s="132"/>
      <c r="I1351" s="132"/>
      <c r="J1351" s="132"/>
      <c r="K1351" s="132"/>
      <c r="L1351" s="132"/>
    </row>
    <row r="1352" spans="1:12" x14ac:dyDescent="0.3">
      <c r="A1352" s="132"/>
      <c r="B1352" s="132"/>
      <c r="C1352" s="132"/>
      <c r="D1352" s="132"/>
      <c r="E1352" s="132"/>
      <c r="F1352" s="132"/>
      <c r="G1352" s="132"/>
      <c r="H1352" s="132"/>
      <c r="I1352" s="132"/>
      <c r="J1352" s="132"/>
      <c r="K1352" s="132"/>
      <c r="L1352" s="132"/>
    </row>
    <row r="1353" spans="1:12" x14ac:dyDescent="0.3">
      <c r="A1353" s="132"/>
      <c r="B1353" s="132"/>
      <c r="C1353" s="132"/>
      <c r="D1353" s="132"/>
      <c r="E1353" s="132"/>
      <c r="F1353" s="132"/>
      <c r="G1353" s="132"/>
      <c r="H1353" s="132"/>
      <c r="I1353" s="132"/>
      <c r="J1353" s="132"/>
      <c r="K1353" s="132"/>
      <c r="L1353" s="132"/>
    </row>
    <row r="1354" spans="1:12" x14ac:dyDescent="0.3">
      <c r="A1354" s="132"/>
      <c r="B1354" s="132"/>
      <c r="C1354" s="132"/>
      <c r="D1354" s="132"/>
      <c r="E1354" s="132"/>
      <c r="F1354" s="132"/>
      <c r="G1354" s="132"/>
      <c r="H1354" s="132"/>
      <c r="I1354" s="132"/>
      <c r="J1354" s="132"/>
      <c r="K1354" s="132"/>
      <c r="L1354" s="132"/>
    </row>
    <row r="1355" spans="1:12" x14ac:dyDescent="0.3">
      <c r="A1355" s="132"/>
      <c r="B1355" s="132"/>
      <c r="C1355" s="132"/>
      <c r="D1355" s="132"/>
      <c r="E1355" s="132"/>
      <c r="F1355" s="132"/>
      <c r="G1355" s="132"/>
      <c r="H1355" s="132"/>
      <c r="I1355" s="132"/>
      <c r="J1355" s="132"/>
      <c r="K1355" s="132"/>
      <c r="L1355" s="132"/>
    </row>
    <row r="1356" spans="1:12" x14ac:dyDescent="0.3">
      <c r="A1356" s="132"/>
      <c r="B1356" s="132"/>
      <c r="C1356" s="132"/>
      <c r="D1356" s="132"/>
      <c r="E1356" s="132"/>
      <c r="F1356" s="132"/>
      <c r="G1356" s="132"/>
      <c r="H1356" s="132"/>
      <c r="I1356" s="132"/>
      <c r="J1356" s="132"/>
      <c r="K1356" s="132"/>
      <c r="L1356" s="132"/>
    </row>
    <row r="1357" spans="1:12" x14ac:dyDescent="0.3">
      <c r="A1357" s="132"/>
      <c r="B1357" s="132"/>
      <c r="C1357" s="132"/>
      <c r="D1357" s="132"/>
      <c r="E1357" s="132"/>
      <c r="F1357" s="132"/>
      <c r="G1357" s="132"/>
      <c r="H1357" s="132"/>
      <c r="I1357" s="132"/>
      <c r="J1357" s="132"/>
      <c r="K1357" s="132"/>
      <c r="L1357" s="132"/>
    </row>
    <row r="1358" spans="1:12" x14ac:dyDescent="0.3">
      <c r="A1358" s="132"/>
      <c r="B1358" s="132"/>
      <c r="C1358" s="132"/>
      <c r="D1358" s="132"/>
      <c r="E1358" s="132"/>
      <c r="F1358" s="132"/>
      <c r="G1358" s="132"/>
      <c r="H1358" s="132"/>
      <c r="I1358" s="132"/>
      <c r="J1358" s="132"/>
      <c r="K1358" s="132"/>
      <c r="L1358" s="132"/>
    </row>
    <row r="1359" spans="1:12" x14ac:dyDescent="0.3">
      <c r="A1359" s="132"/>
      <c r="B1359" s="132"/>
      <c r="C1359" s="132"/>
      <c r="D1359" s="132"/>
      <c r="E1359" s="132"/>
      <c r="F1359" s="132"/>
      <c r="G1359" s="132"/>
      <c r="H1359" s="132"/>
      <c r="I1359" s="132"/>
      <c r="J1359" s="132"/>
      <c r="K1359" s="132"/>
      <c r="L1359" s="132"/>
    </row>
    <row r="1360" spans="1:12" x14ac:dyDescent="0.3">
      <c r="A1360" s="132"/>
      <c r="B1360" s="132"/>
      <c r="C1360" s="132"/>
      <c r="D1360" s="132"/>
      <c r="E1360" s="132"/>
      <c r="F1360" s="132"/>
      <c r="G1360" s="132"/>
      <c r="H1360" s="132"/>
      <c r="I1360" s="132"/>
      <c r="J1360" s="132"/>
      <c r="K1360" s="132"/>
      <c r="L1360" s="132"/>
    </row>
    <row r="1361" spans="1:12" x14ac:dyDescent="0.3">
      <c r="A1361" s="132"/>
      <c r="B1361" s="132"/>
      <c r="C1361" s="132"/>
      <c r="D1361" s="132"/>
      <c r="E1361" s="132"/>
      <c r="F1361" s="132"/>
      <c r="G1361" s="132"/>
      <c r="H1361" s="132"/>
      <c r="I1361" s="132"/>
      <c r="J1361" s="132"/>
      <c r="K1361" s="132"/>
      <c r="L1361" s="132"/>
    </row>
    <row r="1362" spans="1:12" x14ac:dyDescent="0.3">
      <c r="A1362" s="132"/>
      <c r="B1362" s="132"/>
      <c r="C1362" s="132"/>
      <c r="D1362" s="132"/>
      <c r="E1362" s="132"/>
      <c r="F1362" s="132"/>
      <c r="G1362" s="132"/>
      <c r="H1362" s="132"/>
      <c r="I1362" s="132"/>
      <c r="J1362" s="132"/>
      <c r="K1362" s="132"/>
      <c r="L1362" s="132"/>
    </row>
    <row r="1363" spans="1:12" x14ac:dyDescent="0.3">
      <c r="A1363" s="132"/>
      <c r="B1363" s="132"/>
      <c r="C1363" s="132"/>
      <c r="D1363" s="132"/>
      <c r="E1363" s="132"/>
      <c r="F1363" s="132"/>
      <c r="G1363" s="132"/>
      <c r="H1363" s="132"/>
      <c r="I1363" s="132"/>
      <c r="J1363" s="132"/>
      <c r="K1363" s="132"/>
      <c r="L1363" s="132"/>
    </row>
    <row r="1364" spans="1:12" x14ac:dyDescent="0.3">
      <c r="A1364" s="132"/>
      <c r="B1364" s="132"/>
      <c r="C1364" s="132"/>
      <c r="D1364" s="132"/>
      <c r="E1364" s="132"/>
      <c r="F1364" s="132"/>
      <c r="G1364" s="132"/>
      <c r="H1364" s="132"/>
      <c r="I1364" s="132"/>
      <c r="J1364" s="132"/>
      <c r="K1364" s="132"/>
      <c r="L1364" s="132"/>
    </row>
    <row r="1365" spans="1:12" x14ac:dyDescent="0.3">
      <c r="A1365" s="132"/>
      <c r="B1365" s="132"/>
      <c r="C1365" s="132"/>
      <c r="D1365" s="132"/>
      <c r="E1365" s="132"/>
      <c r="F1365" s="132"/>
      <c r="G1365" s="132"/>
      <c r="H1365" s="132"/>
      <c r="I1365" s="132"/>
      <c r="J1365" s="132"/>
      <c r="K1365" s="132"/>
      <c r="L1365" s="132"/>
    </row>
    <row r="1366" spans="1:12" x14ac:dyDescent="0.3">
      <c r="A1366" s="132"/>
      <c r="B1366" s="132"/>
      <c r="C1366" s="132"/>
      <c r="D1366" s="132"/>
      <c r="E1366" s="132"/>
      <c r="F1366" s="132"/>
      <c r="G1366" s="132"/>
      <c r="H1366" s="132"/>
      <c r="I1366" s="132"/>
      <c r="J1366" s="132"/>
      <c r="K1366" s="132"/>
      <c r="L1366" s="132"/>
    </row>
    <row r="1367" spans="1:12" x14ac:dyDescent="0.3">
      <c r="A1367" s="132"/>
      <c r="B1367" s="132"/>
      <c r="C1367" s="132"/>
      <c r="D1367" s="132"/>
      <c r="E1367" s="132"/>
      <c r="F1367" s="132"/>
      <c r="G1367" s="132"/>
      <c r="H1367" s="132"/>
      <c r="I1367" s="132"/>
      <c r="J1367" s="132"/>
      <c r="K1367" s="132"/>
      <c r="L1367" s="132"/>
    </row>
    <row r="1368" spans="1:12" x14ac:dyDescent="0.3">
      <c r="A1368" s="132"/>
      <c r="B1368" s="132"/>
      <c r="C1368" s="132"/>
      <c r="D1368" s="132"/>
      <c r="E1368" s="132"/>
      <c r="F1368" s="132"/>
      <c r="G1368" s="132"/>
      <c r="H1368" s="132"/>
      <c r="I1368" s="132"/>
      <c r="J1368" s="132"/>
      <c r="K1368" s="132"/>
      <c r="L1368" s="132"/>
    </row>
    <row r="1369" spans="1:12" x14ac:dyDescent="0.3">
      <c r="A1369" s="132"/>
      <c r="B1369" s="132"/>
      <c r="C1369" s="132"/>
      <c r="D1369" s="132"/>
      <c r="E1369" s="132"/>
      <c r="F1369" s="132"/>
      <c r="G1369" s="132"/>
      <c r="H1369" s="132"/>
      <c r="I1369" s="132"/>
      <c r="J1369" s="132"/>
      <c r="K1369" s="132"/>
      <c r="L1369" s="132"/>
    </row>
    <row r="1370" spans="1:12" x14ac:dyDescent="0.3">
      <c r="A1370" s="132"/>
      <c r="B1370" s="132"/>
      <c r="C1370" s="132"/>
      <c r="D1370" s="132"/>
      <c r="E1370" s="132"/>
      <c r="F1370" s="132"/>
      <c r="G1370" s="132"/>
      <c r="H1370" s="132"/>
      <c r="I1370" s="132"/>
      <c r="J1370" s="132"/>
      <c r="K1370" s="132"/>
      <c r="L1370" s="132"/>
    </row>
    <row r="1371" spans="1:12" x14ac:dyDescent="0.3">
      <c r="A1371" s="132"/>
      <c r="B1371" s="132"/>
      <c r="C1371" s="132"/>
      <c r="D1371" s="132"/>
      <c r="E1371" s="132"/>
      <c r="F1371" s="132"/>
      <c r="G1371" s="132"/>
      <c r="H1371" s="132"/>
      <c r="I1371" s="132"/>
      <c r="J1371" s="132"/>
      <c r="K1371" s="132"/>
      <c r="L1371" s="132"/>
    </row>
    <row r="1372" spans="1:12" x14ac:dyDescent="0.3">
      <c r="A1372" s="132"/>
      <c r="B1372" s="132"/>
      <c r="C1372" s="132"/>
      <c r="D1372" s="132"/>
      <c r="E1372" s="132"/>
      <c r="F1372" s="132"/>
      <c r="G1372" s="132"/>
      <c r="H1372" s="132"/>
      <c r="I1372" s="132"/>
      <c r="J1372" s="132"/>
      <c r="K1372" s="132"/>
      <c r="L1372" s="132"/>
    </row>
    <row r="1373" spans="1:12" x14ac:dyDescent="0.3">
      <c r="A1373" s="132"/>
      <c r="B1373" s="132"/>
      <c r="C1373" s="132"/>
      <c r="D1373" s="132"/>
      <c r="E1373" s="132"/>
      <c r="F1373" s="132"/>
      <c r="G1373" s="132"/>
      <c r="H1373" s="132"/>
      <c r="I1373" s="132"/>
      <c r="J1373" s="132"/>
      <c r="K1373" s="132"/>
      <c r="L1373" s="132"/>
    </row>
    <row r="1374" spans="1:12" x14ac:dyDescent="0.3">
      <c r="A1374" s="132"/>
      <c r="B1374" s="132"/>
      <c r="C1374" s="132"/>
      <c r="D1374" s="132"/>
      <c r="E1374" s="132"/>
      <c r="F1374" s="132"/>
      <c r="G1374" s="132"/>
      <c r="H1374" s="132"/>
      <c r="I1374" s="132"/>
      <c r="J1374" s="132"/>
      <c r="K1374" s="132"/>
      <c r="L1374" s="132"/>
    </row>
    <row r="1375" spans="1:12" x14ac:dyDescent="0.3">
      <c r="A1375" s="132"/>
      <c r="B1375" s="132"/>
      <c r="C1375" s="132"/>
      <c r="D1375" s="132"/>
      <c r="E1375" s="132"/>
      <c r="F1375" s="132"/>
      <c r="G1375" s="132"/>
      <c r="H1375" s="132"/>
      <c r="I1375" s="132"/>
      <c r="J1375" s="132"/>
      <c r="K1375" s="132"/>
      <c r="L1375" s="132"/>
    </row>
    <row r="1376" spans="1:12" x14ac:dyDescent="0.3">
      <c r="A1376" s="132"/>
      <c r="B1376" s="132"/>
      <c r="C1376" s="132"/>
      <c r="D1376" s="132"/>
      <c r="E1376" s="132"/>
      <c r="F1376" s="132"/>
      <c r="G1376" s="132"/>
      <c r="H1376" s="132"/>
      <c r="I1376" s="132"/>
      <c r="J1376" s="132"/>
      <c r="K1376" s="132"/>
      <c r="L1376" s="132"/>
    </row>
    <row r="1377" spans="1:12" x14ac:dyDescent="0.3">
      <c r="A1377" s="132"/>
      <c r="B1377" s="132"/>
      <c r="C1377" s="132"/>
      <c r="D1377" s="132"/>
      <c r="E1377" s="132"/>
      <c r="F1377" s="132"/>
      <c r="G1377" s="132"/>
      <c r="H1377" s="132"/>
      <c r="I1377" s="132"/>
      <c r="J1377" s="132"/>
      <c r="K1377" s="132"/>
      <c r="L1377" s="132"/>
    </row>
    <row r="1378" spans="1:12" x14ac:dyDescent="0.3">
      <c r="A1378" s="132"/>
      <c r="B1378" s="132"/>
      <c r="C1378" s="132"/>
      <c r="D1378" s="132"/>
      <c r="E1378" s="132"/>
      <c r="F1378" s="132"/>
      <c r="G1378" s="132"/>
      <c r="H1378" s="132"/>
      <c r="I1378" s="132"/>
      <c r="J1378" s="132"/>
      <c r="K1378" s="132"/>
      <c r="L1378" s="132"/>
    </row>
    <row r="1379" spans="1:12" x14ac:dyDescent="0.3">
      <c r="A1379" s="132"/>
      <c r="B1379" s="132"/>
      <c r="C1379" s="132"/>
      <c r="D1379" s="132"/>
      <c r="E1379" s="132"/>
      <c r="F1379" s="132"/>
      <c r="G1379" s="132"/>
      <c r="H1379" s="132"/>
      <c r="I1379" s="132"/>
      <c r="J1379" s="132"/>
      <c r="K1379" s="132"/>
      <c r="L1379" s="132"/>
    </row>
    <row r="1380" spans="1:12" x14ac:dyDescent="0.3">
      <c r="A1380" s="132"/>
      <c r="B1380" s="132"/>
      <c r="C1380" s="132"/>
      <c r="D1380" s="132"/>
      <c r="E1380" s="132"/>
      <c r="F1380" s="132"/>
      <c r="G1380" s="132"/>
      <c r="H1380" s="132"/>
      <c r="I1380" s="132"/>
      <c r="J1380" s="132"/>
      <c r="K1380" s="132"/>
      <c r="L1380" s="132"/>
    </row>
    <row r="1381" spans="1:12" x14ac:dyDescent="0.3">
      <c r="A1381" s="132"/>
      <c r="B1381" s="132"/>
      <c r="C1381" s="132"/>
      <c r="D1381" s="132"/>
      <c r="E1381" s="132"/>
      <c r="F1381" s="132"/>
      <c r="G1381" s="132"/>
      <c r="H1381" s="132"/>
      <c r="I1381" s="132"/>
      <c r="J1381" s="132"/>
      <c r="K1381" s="132"/>
      <c r="L1381" s="132"/>
    </row>
    <row r="1382" spans="1:12" x14ac:dyDescent="0.3">
      <c r="A1382" s="132"/>
      <c r="B1382" s="132"/>
      <c r="C1382" s="132"/>
      <c r="D1382" s="132"/>
      <c r="E1382" s="132"/>
      <c r="F1382" s="132"/>
      <c r="G1382" s="132"/>
      <c r="H1382" s="132"/>
      <c r="I1382" s="132"/>
      <c r="J1382" s="132"/>
      <c r="K1382" s="132"/>
      <c r="L1382" s="132"/>
    </row>
    <row r="1383" spans="1:12" x14ac:dyDescent="0.3">
      <c r="A1383" s="132"/>
      <c r="B1383" s="132"/>
      <c r="C1383" s="132"/>
      <c r="D1383" s="132"/>
      <c r="E1383" s="132"/>
      <c r="F1383" s="132"/>
      <c r="G1383" s="132"/>
      <c r="H1383" s="132"/>
      <c r="I1383" s="132"/>
      <c r="J1383" s="132"/>
      <c r="K1383" s="132"/>
      <c r="L1383" s="132"/>
    </row>
    <row r="1384" spans="1:12" x14ac:dyDescent="0.3">
      <c r="A1384" s="132"/>
      <c r="B1384" s="132"/>
      <c r="C1384" s="132"/>
      <c r="D1384" s="132"/>
      <c r="E1384" s="132"/>
      <c r="F1384" s="132"/>
      <c r="G1384" s="132"/>
      <c r="H1384" s="132"/>
      <c r="I1384" s="132"/>
      <c r="J1384" s="132"/>
      <c r="K1384" s="132"/>
      <c r="L1384" s="132"/>
    </row>
    <row r="1385" spans="1:12" x14ac:dyDescent="0.3">
      <c r="A1385" s="132"/>
      <c r="B1385" s="132"/>
      <c r="C1385" s="132"/>
      <c r="D1385" s="132"/>
      <c r="E1385" s="132"/>
      <c r="F1385" s="132"/>
      <c r="G1385" s="132"/>
      <c r="H1385" s="132"/>
      <c r="I1385" s="132"/>
      <c r="J1385" s="132"/>
      <c r="K1385" s="132"/>
      <c r="L1385" s="132"/>
    </row>
    <row r="1386" spans="1:12" x14ac:dyDescent="0.3">
      <c r="A1386" s="132"/>
      <c r="B1386" s="132"/>
      <c r="C1386" s="132"/>
      <c r="D1386" s="132"/>
      <c r="E1386" s="132"/>
      <c r="F1386" s="132"/>
      <c r="G1386" s="132"/>
      <c r="H1386" s="132"/>
      <c r="I1386" s="132"/>
      <c r="J1386" s="132"/>
      <c r="K1386" s="132"/>
      <c r="L1386" s="132"/>
    </row>
    <row r="1387" spans="1:12" x14ac:dyDescent="0.3">
      <c r="A1387" s="132"/>
      <c r="B1387" s="132"/>
      <c r="C1387" s="132"/>
      <c r="D1387" s="132"/>
      <c r="E1387" s="132"/>
      <c r="F1387" s="132"/>
      <c r="G1387" s="132"/>
      <c r="H1387" s="132"/>
      <c r="I1387" s="132"/>
      <c r="J1387" s="132"/>
      <c r="K1387" s="132"/>
      <c r="L1387" s="132"/>
    </row>
    <row r="1388" spans="1:12" x14ac:dyDescent="0.3">
      <c r="A1388" s="132"/>
      <c r="B1388" s="132"/>
      <c r="C1388" s="132"/>
      <c r="D1388" s="132"/>
      <c r="E1388" s="132"/>
      <c r="F1388" s="132"/>
      <c r="G1388" s="132"/>
      <c r="H1388" s="132"/>
      <c r="I1388" s="132"/>
      <c r="J1388" s="132"/>
      <c r="K1388" s="132"/>
      <c r="L1388" s="132"/>
    </row>
    <row r="1389" spans="1:12" x14ac:dyDescent="0.3">
      <c r="A1389" s="132"/>
      <c r="B1389" s="132"/>
      <c r="C1389" s="132"/>
      <c r="D1389" s="132"/>
      <c r="E1389" s="132"/>
      <c r="F1389" s="132"/>
      <c r="G1389" s="132"/>
      <c r="H1389" s="132"/>
      <c r="I1389" s="132"/>
      <c r="J1389" s="132"/>
      <c r="K1389" s="132"/>
      <c r="L1389" s="132"/>
    </row>
    <row r="1390" spans="1:12" x14ac:dyDescent="0.3">
      <c r="A1390" s="132"/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</row>
    <row r="1391" spans="1:12" x14ac:dyDescent="0.3">
      <c r="A1391" s="132"/>
      <c r="B1391" s="132"/>
      <c r="C1391" s="132"/>
      <c r="D1391" s="132"/>
      <c r="E1391" s="132"/>
      <c r="F1391" s="132"/>
      <c r="G1391" s="132"/>
      <c r="H1391" s="132"/>
      <c r="I1391" s="132"/>
      <c r="J1391" s="132"/>
      <c r="K1391" s="132"/>
      <c r="L1391" s="132"/>
    </row>
    <row r="1392" spans="1:12" x14ac:dyDescent="0.3">
      <c r="A1392" s="132"/>
      <c r="B1392" s="132"/>
      <c r="C1392" s="132"/>
      <c r="D1392" s="132"/>
      <c r="E1392" s="132"/>
      <c r="F1392" s="132"/>
      <c r="G1392" s="132"/>
      <c r="H1392" s="132"/>
      <c r="I1392" s="132"/>
      <c r="J1392" s="132"/>
      <c r="K1392" s="132"/>
      <c r="L1392" s="132"/>
    </row>
    <row r="1393" spans="1:12" x14ac:dyDescent="0.3">
      <c r="A1393" s="132"/>
      <c r="B1393" s="132"/>
      <c r="C1393" s="132"/>
      <c r="D1393" s="132"/>
      <c r="E1393" s="132"/>
      <c r="F1393" s="132"/>
      <c r="G1393" s="132"/>
      <c r="H1393" s="132"/>
      <c r="I1393" s="132"/>
      <c r="J1393" s="132"/>
      <c r="K1393" s="132"/>
      <c r="L1393" s="132"/>
    </row>
    <row r="1394" spans="1:12" x14ac:dyDescent="0.3">
      <c r="A1394" s="132"/>
      <c r="B1394" s="132"/>
      <c r="C1394" s="132"/>
      <c r="D1394" s="132"/>
      <c r="E1394" s="132"/>
      <c r="F1394" s="132"/>
      <c r="G1394" s="132"/>
      <c r="H1394" s="132"/>
      <c r="I1394" s="132"/>
      <c r="J1394" s="132"/>
      <c r="K1394" s="132"/>
      <c r="L1394" s="132"/>
    </row>
    <row r="1395" spans="1:12" x14ac:dyDescent="0.3">
      <c r="A1395" s="132"/>
      <c r="B1395" s="132"/>
      <c r="C1395" s="132"/>
      <c r="D1395" s="132"/>
      <c r="E1395" s="132"/>
      <c r="F1395" s="132"/>
      <c r="G1395" s="132"/>
      <c r="H1395" s="132"/>
      <c r="I1395" s="132"/>
      <c r="J1395" s="132"/>
      <c r="K1395" s="132"/>
      <c r="L1395" s="132"/>
    </row>
    <row r="1396" spans="1:12" x14ac:dyDescent="0.3">
      <c r="A1396" s="132"/>
      <c r="B1396" s="132"/>
      <c r="C1396" s="132"/>
      <c r="D1396" s="132"/>
      <c r="E1396" s="132"/>
      <c r="F1396" s="132"/>
      <c r="G1396" s="132"/>
      <c r="H1396" s="132"/>
      <c r="I1396" s="132"/>
      <c r="J1396" s="132"/>
      <c r="K1396" s="132"/>
      <c r="L1396" s="132"/>
    </row>
    <row r="1397" spans="1:12" x14ac:dyDescent="0.3">
      <c r="A1397" s="132"/>
      <c r="B1397" s="132"/>
      <c r="C1397" s="132"/>
      <c r="D1397" s="132"/>
      <c r="E1397" s="132"/>
      <c r="F1397" s="132"/>
      <c r="G1397" s="132"/>
      <c r="H1397" s="132"/>
      <c r="I1397" s="132"/>
      <c r="J1397" s="132"/>
      <c r="K1397" s="132"/>
      <c r="L1397" s="132"/>
    </row>
    <row r="1398" spans="1:12" x14ac:dyDescent="0.3">
      <c r="A1398" s="132"/>
      <c r="B1398" s="132"/>
      <c r="C1398" s="132"/>
      <c r="D1398" s="132"/>
      <c r="E1398" s="132"/>
      <c r="F1398" s="132"/>
      <c r="G1398" s="132"/>
      <c r="H1398" s="132"/>
      <c r="I1398" s="132"/>
      <c r="J1398" s="132"/>
      <c r="K1398" s="132"/>
      <c r="L1398" s="132"/>
    </row>
    <row r="1399" spans="1:12" x14ac:dyDescent="0.3">
      <c r="A1399" s="132"/>
      <c r="B1399" s="132"/>
      <c r="C1399" s="132"/>
      <c r="D1399" s="132"/>
      <c r="E1399" s="132"/>
      <c r="F1399" s="132"/>
      <c r="G1399" s="132"/>
      <c r="H1399" s="132"/>
      <c r="I1399" s="132"/>
      <c r="J1399" s="132"/>
      <c r="K1399" s="132"/>
      <c r="L1399" s="132"/>
    </row>
    <row r="1400" spans="1:12" x14ac:dyDescent="0.3">
      <c r="A1400" s="132"/>
      <c r="B1400" s="132"/>
      <c r="C1400" s="132"/>
      <c r="D1400" s="132"/>
      <c r="E1400" s="132"/>
      <c r="F1400" s="132"/>
      <c r="G1400" s="132"/>
      <c r="H1400" s="132"/>
      <c r="I1400" s="132"/>
      <c r="J1400" s="132"/>
      <c r="K1400" s="132"/>
      <c r="L1400" s="132"/>
    </row>
    <row r="1401" spans="1:12" x14ac:dyDescent="0.3">
      <c r="A1401" s="132"/>
      <c r="B1401" s="132"/>
      <c r="C1401" s="132"/>
      <c r="D1401" s="132"/>
      <c r="E1401" s="132"/>
      <c r="F1401" s="132"/>
      <c r="G1401" s="132"/>
      <c r="H1401" s="132"/>
      <c r="I1401" s="132"/>
      <c r="J1401" s="132"/>
      <c r="K1401" s="132"/>
      <c r="L1401" s="132"/>
    </row>
    <row r="1402" spans="1:12" x14ac:dyDescent="0.3">
      <c r="A1402" s="132"/>
      <c r="B1402" s="132"/>
      <c r="C1402" s="132"/>
      <c r="D1402" s="132"/>
      <c r="E1402" s="132"/>
      <c r="F1402" s="132"/>
      <c r="G1402" s="132"/>
      <c r="H1402" s="132"/>
      <c r="I1402" s="132"/>
      <c r="J1402" s="132"/>
      <c r="K1402" s="132"/>
      <c r="L1402" s="132"/>
    </row>
    <row r="1403" spans="1:12" x14ac:dyDescent="0.3">
      <c r="A1403" s="132"/>
      <c r="B1403" s="132"/>
      <c r="C1403" s="132"/>
      <c r="D1403" s="132"/>
      <c r="E1403" s="132"/>
      <c r="F1403" s="132"/>
      <c r="G1403" s="132"/>
      <c r="H1403" s="132"/>
      <c r="I1403" s="132"/>
      <c r="J1403" s="132"/>
      <c r="K1403" s="132"/>
      <c r="L1403" s="132"/>
    </row>
    <row r="1404" spans="1:12" x14ac:dyDescent="0.3">
      <c r="A1404" s="132"/>
      <c r="B1404" s="132"/>
      <c r="C1404" s="132"/>
      <c r="D1404" s="132"/>
      <c r="E1404" s="132"/>
      <c r="F1404" s="132"/>
      <c r="G1404" s="132"/>
      <c r="H1404" s="132"/>
      <c r="I1404" s="132"/>
      <c r="J1404" s="132"/>
      <c r="K1404" s="132"/>
      <c r="L1404" s="132"/>
    </row>
    <row r="1405" spans="1:12" x14ac:dyDescent="0.3">
      <c r="A1405" s="132"/>
      <c r="B1405" s="132"/>
      <c r="C1405" s="132"/>
      <c r="D1405" s="132"/>
      <c r="E1405" s="132"/>
      <c r="F1405" s="132"/>
      <c r="G1405" s="132"/>
      <c r="H1405" s="132"/>
      <c r="I1405" s="132"/>
      <c r="J1405" s="132"/>
      <c r="K1405" s="132"/>
      <c r="L1405" s="132"/>
    </row>
    <row r="1406" spans="1:12" x14ac:dyDescent="0.3">
      <c r="A1406" s="132"/>
      <c r="B1406" s="132"/>
      <c r="C1406" s="132"/>
      <c r="D1406" s="132"/>
      <c r="E1406" s="132"/>
      <c r="F1406" s="132"/>
      <c r="G1406" s="132"/>
      <c r="H1406" s="132"/>
      <c r="I1406" s="132"/>
      <c r="J1406" s="132"/>
      <c r="K1406" s="132"/>
      <c r="L1406" s="132"/>
    </row>
    <row r="1407" spans="1:12" x14ac:dyDescent="0.3">
      <c r="A1407" s="132"/>
      <c r="B1407" s="132"/>
      <c r="C1407" s="132"/>
      <c r="D1407" s="132"/>
      <c r="E1407" s="132"/>
      <c r="F1407" s="132"/>
      <c r="G1407" s="132"/>
      <c r="H1407" s="132"/>
      <c r="I1407" s="132"/>
      <c r="J1407" s="132"/>
      <c r="K1407" s="132"/>
      <c r="L1407" s="132"/>
    </row>
    <row r="1408" spans="1:12" x14ac:dyDescent="0.3">
      <c r="A1408" s="132"/>
      <c r="B1408" s="132"/>
      <c r="C1408" s="132"/>
      <c r="D1408" s="132"/>
      <c r="E1408" s="132"/>
      <c r="F1408" s="132"/>
      <c r="G1408" s="132"/>
      <c r="H1408" s="132"/>
      <c r="I1408" s="132"/>
      <c r="J1408" s="132"/>
      <c r="K1408" s="132"/>
      <c r="L1408" s="132"/>
    </row>
    <row r="1409" spans="1:12" x14ac:dyDescent="0.3">
      <c r="A1409" s="132"/>
      <c r="B1409" s="132"/>
      <c r="C1409" s="132"/>
      <c r="D1409" s="132"/>
      <c r="E1409" s="132"/>
      <c r="F1409" s="132"/>
      <c r="G1409" s="132"/>
      <c r="H1409" s="132"/>
      <c r="I1409" s="132"/>
      <c r="J1409" s="132"/>
      <c r="K1409" s="132"/>
      <c r="L1409" s="132"/>
    </row>
    <row r="1410" spans="1:12" x14ac:dyDescent="0.3">
      <c r="A1410" s="132"/>
      <c r="B1410" s="132"/>
      <c r="C1410" s="132"/>
      <c r="D1410" s="132"/>
      <c r="E1410" s="132"/>
      <c r="F1410" s="132"/>
      <c r="G1410" s="132"/>
      <c r="H1410" s="132"/>
      <c r="I1410" s="132"/>
      <c r="J1410" s="132"/>
      <c r="K1410" s="132"/>
      <c r="L1410" s="132"/>
    </row>
    <row r="1411" spans="1:12" x14ac:dyDescent="0.3">
      <c r="A1411" s="132"/>
      <c r="B1411" s="132"/>
      <c r="C1411" s="132"/>
      <c r="D1411" s="132"/>
      <c r="E1411" s="132"/>
      <c r="F1411" s="132"/>
      <c r="G1411" s="132"/>
      <c r="H1411" s="132"/>
      <c r="I1411" s="132"/>
      <c r="J1411" s="132"/>
      <c r="K1411" s="132"/>
      <c r="L1411" s="132"/>
    </row>
    <row r="1412" spans="1:12" x14ac:dyDescent="0.3">
      <c r="A1412" s="132"/>
      <c r="B1412" s="132"/>
      <c r="C1412" s="132"/>
      <c r="D1412" s="132"/>
      <c r="E1412" s="132"/>
      <c r="F1412" s="132"/>
      <c r="G1412" s="132"/>
      <c r="H1412" s="132"/>
      <c r="I1412" s="132"/>
      <c r="J1412" s="132"/>
      <c r="K1412" s="132"/>
      <c r="L1412" s="132"/>
    </row>
    <row r="1413" spans="1:12" x14ac:dyDescent="0.3">
      <c r="A1413" s="132"/>
      <c r="B1413" s="132"/>
      <c r="C1413" s="132"/>
      <c r="D1413" s="132"/>
      <c r="E1413" s="132"/>
      <c r="F1413" s="132"/>
      <c r="G1413" s="132"/>
      <c r="H1413" s="132"/>
      <c r="I1413" s="132"/>
      <c r="J1413" s="132"/>
      <c r="K1413" s="132"/>
      <c r="L1413" s="132"/>
    </row>
    <row r="1414" spans="1:12" x14ac:dyDescent="0.3">
      <c r="A1414" s="132"/>
      <c r="B1414" s="132"/>
      <c r="C1414" s="132"/>
      <c r="D1414" s="132"/>
      <c r="E1414" s="132"/>
      <c r="F1414" s="132"/>
      <c r="G1414" s="132"/>
      <c r="H1414" s="132"/>
      <c r="I1414" s="132"/>
      <c r="J1414" s="132"/>
      <c r="K1414" s="132"/>
      <c r="L1414" s="132"/>
    </row>
    <row r="1415" spans="1:12" x14ac:dyDescent="0.3">
      <c r="A1415" s="132"/>
      <c r="B1415" s="132"/>
      <c r="C1415" s="132"/>
      <c r="D1415" s="132"/>
      <c r="E1415" s="132"/>
      <c r="F1415" s="132"/>
      <c r="G1415" s="132"/>
      <c r="H1415" s="132"/>
      <c r="I1415" s="132"/>
      <c r="J1415" s="132"/>
      <c r="K1415" s="132"/>
      <c r="L1415" s="132"/>
    </row>
    <row r="1416" spans="1:12" x14ac:dyDescent="0.3">
      <c r="A1416" s="132"/>
      <c r="B1416" s="132"/>
      <c r="C1416" s="132"/>
      <c r="D1416" s="132"/>
      <c r="E1416" s="132"/>
      <c r="F1416" s="132"/>
      <c r="G1416" s="132"/>
      <c r="H1416" s="132"/>
      <c r="I1416" s="132"/>
      <c r="J1416" s="132"/>
      <c r="K1416" s="132"/>
      <c r="L1416" s="132"/>
    </row>
    <row r="1417" spans="1:12" x14ac:dyDescent="0.3">
      <c r="A1417" s="132"/>
      <c r="B1417" s="132"/>
      <c r="C1417" s="132"/>
      <c r="D1417" s="132"/>
      <c r="E1417" s="132"/>
      <c r="F1417" s="132"/>
      <c r="G1417" s="132"/>
      <c r="H1417" s="132"/>
      <c r="I1417" s="132"/>
      <c r="J1417" s="132"/>
      <c r="K1417" s="132"/>
      <c r="L1417" s="132"/>
    </row>
    <row r="1418" spans="1:12" x14ac:dyDescent="0.3">
      <c r="A1418" s="132"/>
      <c r="B1418" s="132"/>
      <c r="C1418" s="132"/>
      <c r="D1418" s="132"/>
      <c r="E1418" s="132"/>
      <c r="F1418" s="132"/>
      <c r="G1418" s="132"/>
      <c r="H1418" s="132"/>
      <c r="I1418" s="132"/>
      <c r="J1418" s="132"/>
      <c r="K1418" s="132"/>
      <c r="L1418" s="132"/>
    </row>
    <row r="1419" spans="1:12" x14ac:dyDescent="0.3">
      <c r="A1419" s="132"/>
      <c r="B1419" s="132"/>
      <c r="C1419" s="132"/>
      <c r="D1419" s="132"/>
      <c r="E1419" s="132"/>
      <c r="F1419" s="132"/>
      <c r="G1419" s="132"/>
      <c r="H1419" s="132"/>
      <c r="I1419" s="132"/>
      <c r="J1419" s="132"/>
      <c r="K1419" s="132"/>
      <c r="L1419" s="132"/>
    </row>
    <row r="1420" spans="1:12" x14ac:dyDescent="0.3">
      <c r="A1420" s="132"/>
      <c r="B1420" s="132"/>
      <c r="C1420" s="132"/>
      <c r="D1420" s="132"/>
      <c r="E1420" s="132"/>
      <c r="F1420" s="132"/>
      <c r="G1420" s="132"/>
      <c r="H1420" s="132"/>
      <c r="I1420" s="132"/>
      <c r="J1420" s="132"/>
      <c r="K1420" s="132"/>
      <c r="L1420" s="132"/>
    </row>
    <row r="1421" spans="1:12" x14ac:dyDescent="0.3">
      <c r="A1421" s="132"/>
      <c r="B1421" s="132"/>
      <c r="C1421" s="132"/>
      <c r="D1421" s="132"/>
      <c r="E1421" s="132"/>
      <c r="F1421" s="132"/>
      <c r="G1421" s="132"/>
      <c r="H1421" s="132"/>
      <c r="I1421" s="132"/>
      <c r="J1421" s="132"/>
      <c r="K1421" s="132"/>
      <c r="L1421" s="132"/>
    </row>
    <row r="1422" spans="1:12" x14ac:dyDescent="0.3">
      <c r="A1422" s="132"/>
      <c r="B1422" s="132"/>
      <c r="C1422" s="132"/>
      <c r="D1422" s="132"/>
      <c r="E1422" s="132"/>
      <c r="F1422" s="132"/>
      <c r="G1422" s="132"/>
      <c r="H1422" s="132"/>
      <c r="I1422" s="132"/>
      <c r="J1422" s="132"/>
      <c r="K1422" s="132"/>
      <c r="L1422" s="132"/>
    </row>
    <row r="1423" spans="1:12" x14ac:dyDescent="0.3">
      <c r="A1423" s="132"/>
      <c r="B1423" s="132"/>
      <c r="C1423" s="132"/>
      <c r="D1423" s="132"/>
      <c r="E1423" s="132"/>
      <c r="F1423" s="132"/>
      <c r="G1423" s="132"/>
      <c r="H1423" s="132"/>
      <c r="I1423" s="132"/>
      <c r="J1423" s="132"/>
      <c r="K1423" s="132"/>
      <c r="L1423" s="132"/>
    </row>
    <row r="1424" spans="1:12" x14ac:dyDescent="0.3">
      <c r="A1424" s="132"/>
      <c r="B1424" s="132"/>
      <c r="C1424" s="132"/>
      <c r="D1424" s="132"/>
      <c r="E1424" s="132"/>
      <c r="F1424" s="132"/>
      <c r="G1424" s="132"/>
      <c r="H1424" s="132"/>
      <c r="I1424" s="132"/>
      <c r="J1424" s="132"/>
      <c r="K1424" s="132"/>
      <c r="L1424" s="132"/>
    </row>
    <row r="1425" spans="1:12" x14ac:dyDescent="0.3">
      <c r="A1425" s="132"/>
      <c r="B1425" s="132"/>
      <c r="C1425" s="132"/>
      <c r="D1425" s="132"/>
      <c r="E1425" s="132"/>
      <c r="F1425" s="132"/>
      <c r="G1425" s="132"/>
      <c r="H1425" s="132"/>
      <c r="I1425" s="132"/>
      <c r="J1425" s="132"/>
      <c r="K1425" s="132"/>
      <c r="L1425" s="132"/>
    </row>
    <row r="1426" spans="1:12" x14ac:dyDescent="0.3">
      <c r="A1426" s="132"/>
      <c r="B1426" s="132"/>
      <c r="C1426" s="132"/>
      <c r="D1426" s="132"/>
      <c r="E1426" s="132"/>
      <c r="F1426" s="132"/>
      <c r="G1426" s="132"/>
      <c r="H1426" s="132"/>
      <c r="I1426" s="132"/>
      <c r="J1426" s="132"/>
      <c r="K1426" s="132"/>
      <c r="L1426" s="132"/>
    </row>
    <row r="1427" spans="1:12" x14ac:dyDescent="0.3">
      <c r="A1427" s="132"/>
      <c r="B1427" s="132"/>
      <c r="C1427" s="132"/>
      <c r="D1427" s="132"/>
      <c r="E1427" s="132"/>
      <c r="F1427" s="132"/>
      <c r="G1427" s="132"/>
      <c r="H1427" s="132"/>
      <c r="I1427" s="132"/>
      <c r="J1427" s="132"/>
      <c r="K1427" s="132"/>
      <c r="L1427" s="132"/>
    </row>
    <row r="1428" spans="1:12" x14ac:dyDescent="0.3">
      <c r="A1428" s="132"/>
      <c r="B1428" s="132"/>
      <c r="C1428" s="132"/>
      <c r="D1428" s="132"/>
      <c r="E1428" s="132"/>
      <c r="F1428" s="132"/>
      <c r="G1428" s="132"/>
      <c r="H1428" s="132"/>
      <c r="I1428" s="132"/>
      <c r="J1428" s="132"/>
      <c r="K1428" s="132"/>
      <c r="L1428" s="132"/>
    </row>
    <row r="1429" spans="1:12" x14ac:dyDescent="0.3">
      <c r="A1429" s="132"/>
      <c r="B1429" s="132"/>
      <c r="C1429" s="132"/>
      <c r="D1429" s="132"/>
      <c r="E1429" s="132"/>
      <c r="F1429" s="132"/>
      <c r="G1429" s="132"/>
      <c r="H1429" s="132"/>
      <c r="I1429" s="132"/>
      <c r="J1429" s="132"/>
      <c r="K1429" s="132"/>
      <c r="L1429" s="132"/>
    </row>
    <row r="1430" spans="1:12" x14ac:dyDescent="0.3">
      <c r="A1430" s="132"/>
      <c r="B1430" s="132"/>
      <c r="C1430" s="132"/>
      <c r="D1430" s="132"/>
      <c r="E1430" s="132"/>
      <c r="F1430" s="132"/>
      <c r="G1430" s="132"/>
      <c r="H1430" s="132"/>
      <c r="I1430" s="132"/>
      <c r="J1430" s="132"/>
      <c r="K1430" s="132"/>
      <c r="L1430" s="132"/>
    </row>
    <row r="1431" spans="1:12" x14ac:dyDescent="0.3">
      <c r="A1431" s="132"/>
      <c r="B1431" s="132"/>
      <c r="C1431" s="132"/>
      <c r="D1431" s="132"/>
      <c r="E1431" s="132"/>
      <c r="F1431" s="132"/>
      <c r="G1431" s="132"/>
      <c r="H1431" s="132"/>
      <c r="I1431" s="132"/>
      <c r="J1431" s="132"/>
      <c r="K1431" s="132"/>
      <c r="L1431" s="132"/>
    </row>
    <row r="1432" spans="1:12" x14ac:dyDescent="0.3">
      <c r="A1432" s="132"/>
      <c r="B1432" s="132"/>
      <c r="C1432" s="132"/>
      <c r="D1432" s="132"/>
      <c r="E1432" s="132"/>
      <c r="F1432" s="132"/>
      <c r="G1432" s="132"/>
      <c r="H1432" s="132"/>
      <c r="I1432" s="132"/>
      <c r="J1432" s="132"/>
      <c r="K1432" s="132"/>
      <c r="L1432" s="132"/>
    </row>
    <row r="1433" spans="1:12" x14ac:dyDescent="0.3">
      <c r="A1433" s="132"/>
      <c r="B1433" s="132"/>
      <c r="C1433" s="132"/>
      <c r="D1433" s="132"/>
      <c r="E1433" s="132"/>
      <c r="F1433" s="132"/>
      <c r="G1433" s="132"/>
      <c r="H1433" s="132"/>
      <c r="I1433" s="132"/>
      <c r="J1433" s="132"/>
      <c r="K1433" s="132"/>
      <c r="L1433" s="132"/>
    </row>
    <row r="1434" spans="1:12" x14ac:dyDescent="0.3">
      <c r="A1434" s="132"/>
      <c r="B1434" s="132"/>
      <c r="C1434" s="132"/>
      <c r="D1434" s="132"/>
      <c r="E1434" s="132"/>
      <c r="F1434" s="132"/>
      <c r="G1434" s="132"/>
      <c r="H1434" s="132"/>
      <c r="I1434" s="132"/>
      <c r="J1434" s="132"/>
      <c r="K1434" s="132"/>
      <c r="L1434" s="132"/>
    </row>
    <row r="1435" spans="1:12" x14ac:dyDescent="0.3">
      <c r="A1435" s="132"/>
      <c r="B1435" s="132"/>
      <c r="C1435" s="132"/>
      <c r="D1435" s="132"/>
      <c r="E1435" s="132"/>
      <c r="F1435" s="132"/>
      <c r="G1435" s="132"/>
      <c r="H1435" s="132"/>
      <c r="I1435" s="132"/>
      <c r="J1435" s="132"/>
      <c r="K1435" s="132"/>
      <c r="L1435" s="132"/>
    </row>
    <row r="1436" spans="1:12" x14ac:dyDescent="0.3">
      <c r="A1436" s="132"/>
      <c r="B1436" s="132"/>
      <c r="C1436" s="132"/>
      <c r="D1436" s="132"/>
      <c r="E1436" s="132"/>
      <c r="F1436" s="132"/>
      <c r="G1436" s="132"/>
      <c r="H1436" s="132"/>
      <c r="I1436" s="132"/>
      <c r="J1436" s="132"/>
      <c r="K1436" s="132"/>
      <c r="L1436" s="132"/>
    </row>
    <row r="1437" spans="1:12" x14ac:dyDescent="0.3">
      <c r="A1437" s="132"/>
      <c r="B1437" s="132"/>
      <c r="C1437" s="132"/>
      <c r="D1437" s="132"/>
      <c r="E1437" s="132"/>
      <c r="F1437" s="132"/>
      <c r="G1437" s="132"/>
      <c r="H1437" s="132"/>
      <c r="I1437" s="132"/>
      <c r="J1437" s="132"/>
      <c r="K1437" s="132"/>
      <c r="L1437" s="132"/>
    </row>
    <row r="1438" spans="1:12" x14ac:dyDescent="0.3">
      <c r="A1438" s="132"/>
      <c r="B1438" s="132"/>
      <c r="C1438" s="132"/>
      <c r="D1438" s="132"/>
      <c r="E1438" s="132"/>
      <c r="F1438" s="132"/>
      <c r="G1438" s="132"/>
      <c r="H1438" s="132"/>
      <c r="I1438" s="132"/>
      <c r="J1438" s="132"/>
      <c r="K1438" s="132"/>
      <c r="L1438" s="132"/>
    </row>
    <row r="1439" spans="1:12" x14ac:dyDescent="0.3">
      <c r="A1439" s="132"/>
      <c r="B1439" s="132"/>
      <c r="C1439" s="132"/>
      <c r="D1439" s="132"/>
      <c r="E1439" s="132"/>
      <c r="F1439" s="132"/>
      <c r="G1439" s="132"/>
      <c r="H1439" s="132"/>
      <c r="I1439" s="132"/>
      <c r="J1439" s="132"/>
      <c r="K1439" s="132"/>
      <c r="L1439" s="132"/>
    </row>
    <row r="1440" spans="1:12" x14ac:dyDescent="0.3">
      <c r="A1440" s="132"/>
      <c r="B1440" s="132"/>
      <c r="C1440" s="132"/>
      <c r="D1440" s="132"/>
      <c r="E1440" s="132"/>
      <c r="F1440" s="132"/>
      <c r="G1440" s="132"/>
      <c r="H1440" s="132"/>
      <c r="I1440" s="132"/>
      <c r="J1440" s="132"/>
      <c r="K1440" s="132"/>
      <c r="L1440" s="132"/>
    </row>
    <row r="1441" spans="1:12" x14ac:dyDescent="0.3">
      <c r="A1441" s="132"/>
      <c r="B1441" s="132"/>
      <c r="C1441" s="132"/>
      <c r="D1441" s="132"/>
      <c r="E1441" s="132"/>
      <c r="F1441" s="132"/>
      <c r="G1441" s="132"/>
      <c r="H1441" s="132"/>
      <c r="I1441" s="132"/>
      <c r="J1441" s="132"/>
      <c r="K1441" s="132"/>
      <c r="L1441" s="132"/>
    </row>
    <row r="1442" spans="1:12" x14ac:dyDescent="0.3">
      <c r="A1442" s="132"/>
      <c r="B1442" s="132"/>
      <c r="C1442" s="132"/>
      <c r="D1442" s="132"/>
      <c r="E1442" s="132"/>
      <c r="F1442" s="132"/>
      <c r="G1442" s="132"/>
      <c r="H1442" s="132"/>
      <c r="I1442" s="132"/>
      <c r="J1442" s="132"/>
      <c r="K1442" s="132"/>
      <c r="L1442" s="132"/>
    </row>
    <row r="1443" spans="1:12" x14ac:dyDescent="0.3">
      <c r="A1443" s="132"/>
      <c r="B1443" s="132"/>
      <c r="C1443" s="132"/>
      <c r="D1443" s="132"/>
      <c r="E1443" s="132"/>
      <c r="F1443" s="132"/>
      <c r="G1443" s="132"/>
      <c r="H1443" s="132"/>
      <c r="I1443" s="132"/>
      <c r="J1443" s="132"/>
      <c r="K1443" s="132"/>
      <c r="L1443" s="132"/>
    </row>
    <row r="1444" spans="1:12" x14ac:dyDescent="0.3">
      <c r="A1444" s="132"/>
      <c r="B1444" s="132"/>
      <c r="C1444" s="132"/>
      <c r="D1444" s="132"/>
      <c r="E1444" s="132"/>
      <c r="F1444" s="132"/>
      <c r="G1444" s="132"/>
      <c r="H1444" s="132"/>
      <c r="I1444" s="132"/>
      <c r="J1444" s="132"/>
      <c r="K1444" s="132"/>
      <c r="L1444" s="132"/>
    </row>
    <row r="1445" spans="1:12" x14ac:dyDescent="0.3">
      <c r="A1445" s="132"/>
      <c r="B1445" s="132"/>
      <c r="C1445" s="132"/>
      <c r="D1445" s="132"/>
      <c r="E1445" s="132"/>
      <c r="F1445" s="132"/>
      <c r="G1445" s="132"/>
      <c r="H1445" s="132"/>
      <c r="I1445" s="132"/>
      <c r="J1445" s="132"/>
      <c r="K1445" s="132"/>
      <c r="L1445" s="132"/>
    </row>
    <row r="1446" spans="1:12" x14ac:dyDescent="0.3">
      <c r="A1446" s="132"/>
      <c r="B1446" s="132"/>
      <c r="C1446" s="132"/>
      <c r="D1446" s="132"/>
      <c r="E1446" s="132"/>
      <c r="F1446" s="132"/>
      <c r="G1446" s="132"/>
      <c r="H1446" s="132"/>
      <c r="I1446" s="132"/>
      <c r="J1446" s="132"/>
      <c r="K1446" s="132"/>
      <c r="L1446" s="132"/>
    </row>
    <row r="1447" spans="1:12" x14ac:dyDescent="0.3">
      <c r="A1447" s="132"/>
      <c r="B1447" s="132"/>
      <c r="C1447" s="132"/>
      <c r="D1447" s="132"/>
      <c r="E1447" s="132"/>
      <c r="F1447" s="132"/>
      <c r="G1447" s="132"/>
      <c r="H1447" s="132"/>
      <c r="I1447" s="132"/>
      <c r="J1447" s="132"/>
      <c r="K1447" s="132"/>
      <c r="L1447" s="132"/>
    </row>
    <row r="1448" spans="1:12" x14ac:dyDescent="0.3">
      <c r="A1448" s="132"/>
      <c r="B1448" s="132"/>
      <c r="C1448" s="132"/>
      <c r="D1448" s="132"/>
      <c r="E1448" s="132"/>
      <c r="F1448" s="132"/>
      <c r="G1448" s="132"/>
      <c r="H1448" s="132"/>
      <c r="I1448" s="132"/>
      <c r="J1448" s="132"/>
      <c r="K1448" s="132"/>
      <c r="L1448" s="132"/>
    </row>
    <row r="1449" spans="1:12" x14ac:dyDescent="0.3">
      <c r="A1449" s="132"/>
      <c r="B1449" s="132"/>
      <c r="C1449" s="132"/>
      <c r="D1449" s="132"/>
      <c r="E1449" s="132"/>
      <c r="F1449" s="132"/>
      <c r="G1449" s="132"/>
      <c r="H1449" s="132"/>
      <c r="I1449" s="132"/>
      <c r="J1449" s="132"/>
      <c r="K1449" s="132"/>
      <c r="L1449" s="132"/>
    </row>
    <row r="1450" spans="1:12" x14ac:dyDescent="0.3">
      <c r="A1450" s="132"/>
      <c r="B1450" s="132"/>
      <c r="C1450" s="132"/>
      <c r="D1450" s="132"/>
      <c r="E1450" s="132"/>
      <c r="F1450" s="132"/>
      <c r="G1450" s="132"/>
      <c r="H1450" s="132"/>
      <c r="I1450" s="132"/>
      <c r="J1450" s="132"/>
      <c r="K1450" s="132"/>
      <c r="L1450" s="132"/>
    </row>
    <row r="1451" spans="1:12" x14ac:dyDescent="0.3">
      <c r="A1451" s="132"/>
      <c r="B1451" s="132"/>
      <c r="C1451" s="132"/>
      <c r="D1451" s="132"/>
      <c r="E1451" s="132"/>
      <c r="F1451" s="132"/>
      <c r="G1451" s="132"/>
      <c r="H1451" s="132"/>
      <c r="I1451" s="132"/>
      <c r="J1451" s="132"/>
      <c r="K1451" s="132"/>
      <c r="L1451" s="132"/>
    </row>
    <row r="1452" spans="1:12" x14ac:dyDescent="0.3">
      <c r="A1452" s="132"/>
      <c r="B1452" s="132"/>
      <c r="C1452" s="132"/>
      <c r="D1452" s="132"/>
      <c r="E1452" s="132"/>
      <c r="F1452" s="132"/>
      <c r="G1452" s="132"/>
      <c r="H1452" s="132"/>
      <c r="I1452" s="132"/>
      <c r="J1452" s="132"/>
      <c r="K1452" s="132"/>
      <c r="L1452" s="132"/>
    </row>
    <row r="1453" spans="1:12" x14ac:dyDescent="0.3">
      <c r="A1453" s="132"/>
      <c r="B1453" s="132"/>
      <c r="C1453" s="132"/>
      <c r="D1453" s="132"/>
      <c r="E1453" s="132"/>
      <c r="F1453" s="132"/>
      <c r="G1453" s="132"/>
      <c r="H1453" s="132"/>
      <c r="I1453" s="132"/>
      <c r="J1453" s="132"/>
      <c r="K1453" s="132"/>
      <c r="L1453" s="132"/>
    </row>
    <row r="1454" spans="1:12" x14ac:dyDescent="0.3">
      <c r="A1454" s="132"/>
      <c r="B1454" s="132"/>
      <c r="C1454" s="132"/>
      <c r="D1454" s="132"/>
      <c r="E1454" s="132"/>
      <c r="F1454" s="132"/>
      <c r="G1454" s="132"/>
      <c r="H1454" s="132"/>
      <c r="I1454" s="132"/>
      <c r="J1454" s="132"/>
      <c r="K1454" s="132"/>
      <c r="L1454" s="132"/>
    </row>
    <row r="1455" spans="1:12" x14ac:dyDescent="0.3">
      <c r="A1455" s="132"/>
      <c r="B1455" s="132"/>
      <c r="C1455" s="132"/>
      <c r="D1455" s="132"/>
      <c r="E1455" s="132"/>
      <c r="F1455" s="132"/>
      <c r="G1455" s="132"/>
      <c r="H1455" s="132"/>
      <c r="I1455" s="132"/>
      <c r="J1455" s="132"/>
      <c r="K1455" s="132"/>
      <c r="L1455" s="132"/>
    </row>
    <row r="1456" spans="1:12" x14ac:dyDescent="0.3">
      <c r="A1456" s="132"/>
      <c r="B1456" s="132"/>
      <c r="C1456" s="132"/>
      <c r="D1456" s="132"/>
      <c r="E1456" s="132"/>
      <c r="F1456" s="132"/>
      <c r="G1456" s="132"/>
      <c r="H1456" s="132"/>
      <c r="I1456" s="132"/>
      <c r="J1456" s="132"/>
      <c r="K1456" s="132"/>
      <c r="L1456" s="132"/>
    </row>
    <row r="1457" spans="1:12" x14ac:dyDescent="0.3">
      <c r="A1457" s="132"/>
      <c r="B1457" s="132"/>
      <c r="C1457" s="132"/>
      <c r="D1457" s="132"/>
      <c r="E1457" s="132"/>
      <c r="F1457" s="132"/>
      <c r="G1457" s="132"/>
      <c r="H1457" s="132"/>
      <c r="I1457" s="132"/>
      <c r="J1457" s="132"/>
      <c r="K1457" s="132"/>
      <c r="L1457" s="132"/>
    </row>
    <row r="1458" spans="1:12" x14ac:dyDescent="0.3">
      <c r="A1458" s="132"/>
      <c r="B1458" s="132"/>
      <c r="C1458" s="132"/>
      <c r="D1458" s="132"/>
      <c r="E1458" s="132"/>
      <c r="F1458" s="132"/>
      <c r="G1458" s="132"/>
      <c r="H1458" s="132"/>
      <c r="I1458" s="132"/>
      <c r="J1458" s="132"/>
      <c r="K1458" s="132"/>
      <c r="L1458" s="132"/>
    </row>
    <row r="1459" spans="1:12" x14ac:dyDescent="0.3">
      <c r="A1459" s="132"/>
      <c r="B1459" s="132"/>
      <c r="C1459" s="132"/>
      <c r="D1459" s="132"/>
      <c r="E1459" s="132"/>
      <c r="F1459" s="132"/>
      <c r="G1459" s="132"/>
      <c r="H1459" s="132"/>
      <c r="I1459" s="132"/>
      <c r="J1459" s="132"/>
      <c r="K1459" s="132"/>
      <c r="L1459" s="132"/>
    </row>
    <row r="1460" spans="1:12" x14ac:dyDescent="0.3">
      <c r="A1460" s="132"/>
      <c r="B1460" s="132"/>
      <c r="C1460" s="132"/>
      <c r="D1460" s="132"/>
      <c r="E1460" s="132"/>
      <c r="F1460" s="132"/>
      <c r="G1460" s="132"/>
      <c r="H1460" s="132"/>
      <c r="I1460" s="132"/>
      <c r="J1460" s="132"/>
      <c r="K1460" s="132"/>
      <c r="L1460" s="132"/>
    </row>
    <row r="1461" spans="1:12" x14ac:dyDescent="0.3">
      <c r="A1461" s="132"/>
      <c r="B1461" s="132"/>
      <c r="C1461" s="132"/>
      <c r="D1461" s="132"/>
      <c r="E1461" s="132"/>
      <c r="F1461" s="132"/>
      <c r="G1461" s="132"/>
      <c r="H1461" s="132"/>
      <c r="I1461" s="132"/>
      <c r="J1461" s="132"/>
      <c r="K1461" s="132"/>
      <c r="L1461" s="132"/>
    </row>
    <row r="1462" spans="1:12" x14ac:dyDescent="0.3">
      <c r="A1462" s="132"/>
      <c r="B1462" s="132"/>
      <c r="C1462" s="132"/>
      <c r="D1462" s="132"/>
      <c r="E1462" s="132"/>
      <c r="F1462" s="132"/>
      <c r="G1462" s="132"/>
      <c r="H1462" s="132"/>
      <c r="I1462" s="132"/>
      <c r="J1462" s="132"/>
      <c r="K1462" s="132"/>
      <c r="L1462" s="132"/>
    </row>
    <row r="1463" spans="1:12" x14ac:dyDescent="0.3">
      <c r="A1463" s="132"/>
      <c r="B1463" s="132"/>
      <c r="C1463" s="132"/>
      <c r="D1463" s="132"/>
      <c r="E1463" s="132"/>
      <c r="F1463" s="132"/>
      <c r="G1463" s="132"/>
      <c r="H1463" s="132"/>
      <c r="I1463" s="132"/>
      <c r="J1463" s="132"/>
      <c r="K1463" s="132"/>
      <c r="L1463" s="132"/>
    </row>
    <row r="1464" spans="1:12" x14ac:dyDescent="0.3">
      <c r="A1464" s="132"/>
      <c r="B1464" s="132"/>
      <c r="C1464" s="132"/>
      <c r="D1464" s="132"/>
      <c r="E1464" s="132"/>
      <c r="F1464" s="132"/>
      <c r="G1464" s="132"/>
      <c r="H1464" s="132"/>
      <c r="I1464" s="132"/>
      <c r="J1464" s="132"/>
      <c r="K1464" s="132"/>
      <c r="L1464" s="132"/>
    </row>
    <row r="1465" spans="1:12" x14ac:dyDescent="0.3">
      <c r="A1465" s="132"/>
      <c r="B1465" s="132"/>
      <c r="C1465" s="132"/>
      <c r="D1465" s="132"/>
      <c r="E1465" s="132"/>
      <c r="F1465" s="132"/>
      <c r="G1465" s="132"/>
      <c r="H1465" s="132"/>
      <c r="I1465" s="132"/>
      <c r="J1465" s="132"/>
      <c r="K1465" s="132"/>
      <c r="L1465" s="132"/>
    </row>
    <row r="1466" spans="1:12" x14ac:dyDescent="0.3">
      <c r="A1466" s="132"/>
      <c r="B1466" s="132"/>
      <c r="C1466" s="132"/>
      <c r="D1466" s="132"/>
      <c r="E1466" s="132"/>
      <c r="F1466" s="132"/>
      <c r="G1466" s="132"/>
      <c r="H1466" s="132"/>
      <c r="I1466" s="132"/>
      <c r="J1466" s="132"/>
      <c r="K1466" s="132"/>
      <c r="L1466" s="132"/>
    </row>
    <row r="1467" spans="1:12" x14ac:dyDescent="0.3">
      <c r="A1467" s="132"/>
      <c r="B1467" s="132"/>
      <c r="C1467" s="132"/>
      <c r="D1467" s="132"/>
      <c r="E1467" s="132"/>
      <c r="F1467" s="132"/>
      <c r="G1467" s="132"/>
      <c r="H1467" s="132"/>
      <c r="I1467" s="132"/>
      <c r="J1467" s="132"/>
      <c r="K1467" s="132"/>
      <c r="L1467" s="132"/>
    </row>
    <row r="1468" spans="1:12" x14ac:dyDescent="0.3">
      <c r="A1468" s="132"/>
      <c r="B1468" s="132"/>
      <c r="C1468" s="132"/>
      <c r="D1468" s="132"/>
      <c r="E1468" s="132"/>
      <c r="F1468" s="132"/>
      <c r="G1468" s="132"/>
      <c r="H1468" s="132"/>
      <c r="I1468" s="132"/>
      <c r="J1468" s="132"/>
      <c r="K1468" s="132"/>
      <c r="L1468" s="132"/>
    </row>
    <row r="1469" spans="1:12" x14ac:dyDescent="0.3">
      <c r="A1469" s="132"/>
      <c r="B1469" s="132"/>
      <c r="C1469" s="132"/>
      <c r="D1469" s="132"/>
      <c r="E1469" s="132"/>
      <c r="F1469" s="132"/>
      <c r="G1469" s="132"/>
      <c r="H1469" s="132"/>
      <c r="I1469" s="132"/>
      <c r="J1469" s="132"/>
      <c r="K1469" s="132"/>
      <c r="L1469" s="132"/>
    </row>
    <row r="1470" spans="1:12" x14ac:dyDescent="0.3">
      <c r="A1470" s="132"/>
      <c r="B1470" s="132"/>
      <c r="C1470" s="132"/>
      <c r="D1470" s="132"/>
      <c r="E1470" s="132"/>
      <c r="F1470" s="132"/>
      <c r="G1470" s="132"/>
      <c r="H1470" s="132"/>
      <c r="I1470" s="132"/>
      <c r="J1470" s="132"/>
      <c r="K1470" s="132"/>
      <c r="L1470" s="132"/>
    </row>
    <row r="1471" spans="1:12" x14ac:dyDescent="0.3">
      <c r="A1471" s="132"/>
      <c r="B1471" s="132"/>
      <c r="C1471" s="132"/>
      <c r="D1471" s="132"/>
      <c r="E1471" s="132"/>
      <c r="F1471" s="132"/>
      <c r="G1471" s="132"/>
      <c r="H1471" s="132"/>
      <c r="I1471" s="132"/>
      <c r="J1471" s="132"/>
      <c r="K1471" s="132"/>
      <c r="L1471" s="132"/>
    </row>
    <row r="1472" spans="1:12" x14ac:dyDescent="0.3">
      <c r="A1472" s="132"/>
      <c r="B1472" s="132"/>
      <c r="C1472" s="132"/>
      <c r="D1472" s="132"/>
      <c r="E1472" s="132"/>
      <c r="F1472" s="132"/>
      <c r="G1472" s="132"/>
      <c r="H1472" s="132"/>
      <c r="I1472" s="132"/>
      <c r="J1472" s="132"/>
      <c r="K1472" s="132"/>
      <c r="L1472" s="132"/>
    </row>
    <row r="1473" spans="1:12" x14ac:dyDescent="0.3">
      <c r="A1473" s="132"/>
      <c r="B1473" s="132"/>
      <c r="C1473" s="132"/>
      <c r="D1473" s="132"/>
      <c r="E1473" s="132"/>
      <c r="F1473" s="132"/>
      <c r="G1473" s="132"/>
      <c r="H1473" s="132"/>
      <c r="I1473" s="132"/>
      <c r="J1473" s="132"/>
      <c r="K1473" s="132"/>
      <c r="L1473" s="132"/>
    </row>
    <row r="1474" spans="1:12" x14ac:dyDescent="0.3">
      <c r="A1474" s="132"/>
      <c r="B1474" s="132"/>
      <c r="C1474" s="132"/>
      <c r="D1474" s="132"/>
      <c r="E1474" s="132"/>
      <c r="F1474" s="132"/>
      <c r="G1474" s="132"/>
      <c r="H1474" s="132"/>
      <c r="I1474" s="132"/>
      <c r="J1474" s="132"/>
      <c r="K1474" s="132"/>
      <c r="L1474" s="132"/>
    </row>
    <row r="1475" spans="1:12" x14ac:dyDescent="0.3">
      <c r="A1475" s="132"/>
      <c r="B1475" s="132"/>
      <c r="C1475" s="132"/>
      <c r="D1475" s="132"/>
      <c r="E1475" s="132"/>
      <c r="F1475" s="132"/>
      <c r="G1475" s="132"/>
      <c r="H1475" s="132"/>
      <c r="I1475" s="132"/>
      <c r="J1475" s="132"/>
      <c r="K1475" s="132"/>
      <c r="L1475" s="132"/>
    </row>
    <row r="1476" spans="1:12" x14ac:dyDescent="0.3">
      <c r="A1476" s="132"/>
      <c r="B1476" s="132"/>
      <c r="C1476" s="132"/>
      <c r="D1476" s="132"/>
      <c r="E1476" s="132"/>
      <c r="F1476" s="132"/>
      <c r="G1476" s="132"/>
      <c r="H1476" s="132"/>
      <c r="I1476" s="132"/>
      <c r="J1476" s="132"/>
      <c r="K1476" s="132"/>
      <c r="L1476" s="132"/>
    </row>
    <row r="1477" spans="1:12" x14ac:dyDescent="0.3">
      <c r="A1477" s="132"/>
      <c r="B1477" s="132"/>
      <c r="C1477" s="132"/>
      <c r="D1477" s="132"/>
      <c r="E1477" s="132"/>
      <c r="F1477" s="132"/>
      <c r="G1477" s="132"/>
      <c r="H1477" s="132"/>
      <c r="I1477" s="132"/>
      <c r="J1477" s="132"/>
      <c r="K1477" s="132"/>
      <c r="L1477" s="132"/>
    </row>
    <row r="1478" spans="1:12" x14ac:dyDescent="0.3">
      <c r="A1478" s="132"/>
      <c r="B1478" s="132"/>
      <c r="C1478" s="132"/>
      <c r="D1478" s="132"/>
      <c r="E1478" s="132"/>
      <c r="F1478" s="132"/>
      <c r="G1478" s="132"/>
      <c r="H1478" s="132"/>
      <c r="I1478" s="132"/>
      <c r="J1478" s="132"/>
      <c r="K1478" s="132"/>
      <c r="L1478" s="132"/>
    </row>
    <row r="1479" spans="1:12" x14ac:dyDescent="0.3">
      <c r="A1479" s="132"/>
      <c r="B1479" s="132"/>
      <c r="C1479" s="132"/>
      <c r="D1479" s="132"/>
      <c r="E1479" s="132"/>
      <c r="F1479" s="132"/>
      <c r="G1479" s="132"/>
      <c r="H1479" s="132"/>
      <c r="I1479" s="132"/>
      <c r="J1479" s="132"/>
      <c r="K1479" s="132"/>
      <c r="L1479" s="132"/>
    </row>
    <row r="1480" spans="1:12" x14ac:dyDescent="0.3">
      <c r="A1480" s="132"/>
      <c r="B1480" s="132"/>
      <c r="C1480" s="132"/>
      <c r="D1480" s="132"/>
      <c r="E1480" s="132"/>
      <c r="F1480" s="132"/>
      <c r="G1480" s="132"/>
      <c r="H1480" s="132"/>
      <c r="I1480" s="132"/>
      <c r="J1480" s="132"/>
      <c r="K1480" s="132"/>
      <c r="L1480" s="132"/>
    </row>
    <row r="1481" spans="1:12" x14ac:dyDescent="0.3">
      <c r="A1481" s="132"/>
      <c r="B1481" s="132"/>
      <c r="C1481" s="132"/>
      <c r="D1481" s="132"/>
      <c r="E1481" s="132"/>
      <c r="F1481" s="132"/>
      <c r="G1481" s="132"/>
      <c r="H1481" s="132"/>
      <c r="I1481" s="132"/>
      <c r="J1481" s="132"/>
      <c r="K1481" s="132"/>
      <c r="L1481" s="132"/>
    </row>
    <row r="1482" spans="1:12" x14ac:dyDescent="0.3">
      <c r="A1482" s="132"/>
      <c r="B1482" s="132"/>
      <c r="C1482" s="132"/>
      <c r="D1482" s="132"/>
      <c r="E1482" s="132"/>
      <c r="F1482" s="132"/>
      <c r="G1482" s="132"/>
      <c r="H1482" s="132"/>
      <c r="I1482" s="132"/>
      <c r="J1482" s="132"/>
      <c r="K1482" s="132"/>
      <c r="L1482" s="132"/>
    </row>
    <row r="1483" spans="1:12" x14ac:dyDescent="0.3">
      <c r="A1483" s="132"/>
      <c r="B1483" s="132"/>
      <c r="C1483" s="132"/>
      <c r="D1483" s="132"/>
      <c r="E1483" s="132"/>
      <c r="F1483" s="132"/>
      <c r="G1483" s="132"/>
      <c r="H1483" s="132"/>
      <c r="I1483" s="132"/>
      <c r="J1483" s="132"/>
      <c r="K1483" s="132"/>
      <c r="L1483" s="132"/>
    </row>
    <row r="1484" spans="1:12" x14ac:dyDescent="0.3">
      <c r="A1484" s="132"/>
      <c r="B1484" s="132"/>
      <c r="C1484" s="132"/>
      <c r="D1484" s="132"/>
      <c r="E1484" s="132"/>
      <c r="F1484" s="132"/>
      <c r="G1484" s="132"/>
      <c r="H1484" s="132"/>
      <c r="I1484" s="132"/>
      <c r="J1484" s="132"/>
      <c r="K1484" s="132"/>
      <c r="L1484" s="132"/>
    </row>
    <row r="1485" spans="1:12" x14ac:dyDescent="0.3">
      <c r="A1485" s="132"/>
      <c r="B1485" s="132"/>
      <c r="C1485" s="132"/>
      <c r="D1485" s="132"/>
      <c r="E1485" s="132"/>
      <c r="F1485" s="132"/>
      <c r="G1485" s="132"/>
      <c r="H1485" s="132"/>
      <c r="I1485" s="132"/>
      <c r="J1485" s="132"/>
      <c r="K1485" s="132"/>
      <c r="L1485" s="132"/>
    </row>
    <row r="1486" spans="1:12" x14ac:dyDescent="0.3">
      <c r="A1486" s="132"/>
      <c r="B1486" s="132"/>
      <c r="C1486" s="132"/>
      <c r="D1486" s="132"/>
      <c r="E1486" s="132"/>
      <c r="F1486" s="132"/>
      <c r="G1486" s="132"/>
      <c r="H1486" s="132"/>
      <c r="I1486" s="132"/>
      <c r="J1486" s="132"/>
      <c r="K1486" s="132"/>
      <c r="L1486" s="132"/>
    </row>
    <row r="1487" spans="1:12" x14ac:dyDescent="0.3">
      <c r="A1487" s="132"/>
      <c r="B1487" s="132"/>
      <c r="C1487" s="132"/>
      <c r="D1487" s="132"/>
      <c r="E1487" s="132"/>
      <c r="F1487" s="132"/>
      <c r="G1487" s="132"/>
      <c r="H1487" s="132"/>
      <c r="I1487" s="132"/>
      <c r="J1487" s="132"/>
      <c r="K1487" s="132"/>
      <c r="L1487" s="132"/>
    </row>
    <row r="1488" spans="1:12" x14ac:dyDescent="0.3">
      <c r="A1488" s="132"/>
      <c r="B1488" s="132"/>
      <c r="C1488" s="132"/>
      <c r="D1488" s="132"/>
      <c r="E1488" s="132"/>
      <c r="F1488" s="132"/>
      <c r="G1488" s="132"/>
      <c r="H1488" s="132"/>
      <c r="I1488" s="132"/>
      <c r="J1488" s="132"/>
      <c r="K1488" s="132"/>
      <c r="L1488" s="132"/>
    </row>
    <row r="1489" spans="1:12" x14ac:dyDescent="0.3">
      <c r="A1489" s="132"/>
      <c r="B1489" s="132"/>
      <c r="C1489" s="132"/>
      <c r="D1489" s="132"/>
      <c r="E1489" s="132"/>
      <c r="F1489" s="132"/>
      <c r="G1489" s="132"/>
      <c r="H1489" s="132"/>
      <c r="I1489" s="132"/>
      <c r="J1489" s="132"/>
      <c r="K1489" s="132"/>
      <c r="L1489" s="132"/>
    </row>
    <row r="1490" spans="1:12" x14ac:dyDescent="0.3">
      <c r="A1490" s="132"/>
      <c r="B1490" s="132"/>
      <c r="C1490" s="132"/>
      <c r="D1490" s="132"/>
      <c r="E1490" s="132"/>
      <c r="F1490" s="132"/>
      <c r="G1490" s="132"/>
      <c r="H1490" s="132"/>
      <c r="I1490" s="132"/>
      <c r="J1490" s="132"/>
      <c r="K1490" s="132"/>
      <c r="L1490" s="132"/>
    </row>
    <row r="1491" spans="1:12" x14ac:dyDescent="0.3">
      <c r="A1491" s="132"/>
      <c r="B1491" s="132"/>
      <c r="C1491" s="132"/>
      <c r="D1491" s="132"/>
      <c r="E1491" s="132"/>
      <c r="F1491" s="132"/>
      <c r="G1491" s="132"/>
      <c r="H1491" s="132"/>
      <c r="I1491" s="132"/>
      <c r="J1491" s="132"/>
      <c r="K1491" s="132"/>
      <c r="L1491" s="132"/>
    </row>
    <row r="1492" spans="1:12" x14ac:dyDescent="0.3">
      <c r="A1492" s="132"/>
      <c r="B1492" s="132"/>
      <c r="C1492" s="132"/>
      <c r="D1492" s="132"/>
      <c r="E1492" s="132"/>
      <c r="F1492" s="132"/>
      <c r="G1492" s="132"/>
      <c r="H1492" s="132"/>
      <c r="I1492" s="132"/>
      <c r="J1492" s="132"/>
      <c r="K1492" s="132"/>
      <c r="L1492" s="132"/>
    </row>
    <row r="1493" spans="1:12" x14ac:dyDescent="0.3">
      <c r="A1493" s="132"/>
      <c r="B1493" s="132"/>
      <c r="C1493" s="132"/>
      <c r="D1493" s="132"/>
      <c r="E1493" s="132"/>
      <c r="F1493" s="132"/>
      <c r="G1493" s="132"/>
      <c r="H1493" s="132"/>
      <c r="I1493" s="132"/>
      <c r="J1493" s="132"/>
      <c r="K1493" s="132"/>
      <c r="L1493" s="132"/>
    </row>
    <row r="1494" spans="1:12" x14ac:dyDescent="0.3">
      <c r="A1494" s="132"/>
      <c r="B1494" s="132"/>
      <c r="C1494" s="132"/>
      <c r="D1494" s="132"/>
      <c r="E1494" s="132"/>
      <c r="F1494" s="132"/>
      <c r="G1494" s="132"/>
      <c r="H1494" s="132"/>
      <c r="I1494" s="132"/>
      <c r="J1494" s="132"/>
      <c r="K1494" s="132"/>
      <c r="L1494" s="132"/>
    </row>
    <row r="1495" spans="1:12" x14ac:dyDescent="0.3">
      <c r="A1495" s="132"/>
      <c r="B1495" s="132"/>
      <c r="C1495" s="132"/>
      <c r="D1495" s="132"/>
      <c r="E1495" s="132"/>
      <c r="F1495" s="132"/>
      <c r="G1495" s="132"/>
      <c r="H1495" s="132"/>
      <c r="I1495" s="132"/>
      <c r="J1495" s="132"/>
      <c r="K1495" s="132"/>
      <c r="L1495" s="132"/>
    </row>
    <row r="1496" spans="1:12" x14ac:dyDescent="0.3">
      <c r="A1496" s="132"/>
      <c r="B1496" s="132"/>
      <c r="C1496" s="132"/>
      <c r="D1496" s="132"/>
      <c r="E1496" s="132"/>
      <c r="F1496" s="132"/>
      <c r="G1496" s="132"/>
      <c r="H1496" s="132"/>
      <c r="I1496" s="132"/>
      <c r="J1496" s="132"/>
      <c r="K1496" s="132"/>
      <c r="L1496" s="132"/>
    </row>
    <row r="1497" spans="1:12" x14ac:dyDescent="0.3">
      <c r="A1497" s="132"/>
      <c r="B1497" s="132"/>
      <c r="C1497" s="132"/>
      <c r="D1497" s="132"/>
      <c r="E1497" s="132"/>
      <c r="F1497" s="132"/>
      <c r="G1497" s="132"/>
      <c r="H1497" s="132"/>
      <c r="I1497" s="132"/>
      <c r="J1497" s="132"/>
      <c r="K1497" s="132"/>
      <c r="L1497" s="132"/>
    </row>
    <row r="1498" spans="1:12" x14ac:dyDescent="0.3">
      <c r="A1498" s="132"/>
      <c r="B1498" s="132"/>
      <c r="C1498" s="132"/>
      <c r="D1498" s="132"/>
      <c r="E1498" s="132"/>
      <c r="F1498" s="132"/>
      <c r="G1498" s="132"/>
      <c r="H1498" s="132"/>
      <c r="I1498" s="132"/>
      <c r="J1498" s="132"/>
      <c r="K1498" s="132"/>
      <c r="L1498" s="132"/>
    </row>
    <row r="1499" spans="1:12" x14ac:dyDescent="0.3">
      <c r="A1499" s="132"/>
      <c r="B1499" s="132"/>
      <c r="C1499" s="132"/>
      <c r="D1499" s="132"/>
      <c r="E1499" s="132"/>
      <c r="F1499" s="132"/>
      <c r="G1499" s="132"/>
      <c r="H1499" s="132"/>
      <c r="I1499" s="132"/>
      <c r="J1499" s="132"/>
      <c r="K1499" s="132"/>
      <c r="L1499" s="132"/>
    </row>
    <row r="1500" spans="1:12" x14ac:dyDescent="0.3">
      <c r="A1500" s="132"/>
      <c r="B1500" s="132"/>
      <c r="C1500" s="132"/>
      <c r="D1500" s="132"/>
      <c r="E1500" s="132"/>
      <c r="F1500" s="132"/>
      <c r="G1500" s="132"/>
      <c r="H1500" s="132"/>
      <c r="I1500" s="132"/>
      <c r="J1500" s="132"/>
      <c r="K1500" s="132"/>
      <c r="L1500" s="132"/>
    </row>
    <row r="1501" spans="1:12" x14ac:dyDescent="0.3">
      <c r="A1501" s="132"/>
      <c r="B1501" s="132"/>
      <c r="C1501" s="132"/>
      <c r="D1501" s="132"/>
      <c r="E1501" s="132"/>
      <c r="F1501" s="132"/>
      <c r="G1501" s="132"/>
      <c r="H1501" s="132"/>
      <c r="I1501" s="132"/>
      <c r="J1501" s="132"/>
      <c r="K1501" s="132"/>
      <c r="L1501" s="132"/>
    </row>
    <row r="1502" spans="1:12" x14ac:dyDescent="0.3">
      <c r="A1502" s="132"/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</row>
    <row r="1503" spans="1:12" x14ac:dyDescent="0.3">
      <c r="A1503" s="132"/>
      <c r="B1503" s="132"/>
      <c r="C1503" s="132"/>
      <c r="D1503" s="132"/>
      <c r="E1503" s="132"/>
      <c r="F1503" s="132"/>
      <c r="G1503" s="132"/>
      <c r="H1503" s="132"/>
      <c r="I1503" s="132"/>
      <c r="J1503" s="132"/>
      <c r="K1503" s="132"/>
      <c r="L1503" s="132"/>
    </row>
    <row r="1504" spans="1:12" x14ac:dyDescent="0.3">
      <c r="A1504" s="132"/>
      <c r="B1504" s="132"/>
      <c r="C1504" s="132"/>
      <c r="D1504" s="132"/>
      <c r="E1504" s="132"/>
      <c r="F1504" s="132"/>
      <c r="G1504" s="132"/>
      <c r="H1504" s="132"/>
      <c r="I1504" s="132"/>
      <c r="J1504" s="132"/>
      <c r="K1504" s="132"/>
      <c r="L1504" s="132"/>
    </row>
    <row r="1505" spans="1:12" x14ac:dyDescent="0.3">
      <c r="A1505" s="132"/>
      <c r="B1505" s="132"/>
      <c r="C1505" s="132"/>
      <c r="D1505" s="132"/>
      <c r="E1505" s="132"/>
      <c r="F1505" s="132"/>
      <c r="G1505" s="132"/>
      <c r="H1505" s="132"/>
      <c r="I1505" s="132"/>
      <c r="J1505" s="132"/>
      <c r="K1505" s="132"/>
      <c r="L1505" s="132"/>
    </row>
    <row r="1506" spans="1:12" x14ac:dyDescent="0.3">
      <c r="A1506" s="132"/>
      <c r="B1506" s="132"/>
      <c r="C1506" s="132"/>
      <c r="D1506" s="132"/>
      <c r="E1506" s="132"/>
      <c r="F1506" s="132"/>
      <c r="G1506" s="132"/>
      <c r="H1506" s="132"/>
      <c r="I1506" s="132"/>
      <c r="J1506" s="132"/>
      <c r="K1506" s="132"/>
      <c r="L1506" s="132"/>
    </row>
    <row r="1507" spans="1:12" x14ac:dyDescent="0.3">
      <c r="A1507" s="132"/>
      <c r="B1507" s="132"/>
      <c r="C1507" s="132"/>
      <c r="D1507" s="132"/>
      <c r="E1507" s="132"/>
      <c r="F1507" s="132"/>
      <c r="G1507" s="132"/>
      <c r="H1507" s="132"/>
      <c r="I1507" s="132"/>
      <c r="J1507" s="132"/>
      <c r="K1507" s="132"/>
      <c r="L1507" s="132"/>
    </row>
    <row r="1508" spans="1:12" x14ac:dyDescent="0.3">
      <c r="A1508" s="132"/>
      <c r="B1508" s="132"/>
      <c r="C1508" s="132"/>
      <c r="D1508" s="132"/>
      <c r="E1508" s="132"/>
      <c r="F1508" s="132"/>
      <c r="G1508" s="132"/>
      <c r="H1508" s="132"/>
      <c r="I1508" s="132"/>
      <c r="J1508" s="132"/>
      <c r="K1508" s="132"/>
      <c r="L1508" s="132"/>
    </row>
    <row r="1509" spans="1:12" x14ac:dyDescent="0.3">
      <c r="A1509" s="132"/>
      <c r="B1509" s="132"/>
      <c r="C1509" s="132"/>
      <c r="D1509" s="132"/>
      <c r="E1509" s="132"/>
      <c r="F1509" s="132"/>
      <c r="G1509" s="132"/>
      <c r="H1509" s="132"/>
      <c r="I1509" s="132"/>
      <c r="J1509" s="132"/>
      <c r="K1509" s="132"/>
      <c r="L1509" s="132"/>
    </row>
    <row r="1510" spans="1:12" x14ac:dyDescent="0.3">
      <c r="A1510" s="132"/>
      <c r="B1510" s="132"/>
      <c r="C1510" s="132"/>
      <c r="D1510" s="132"/>
      <c r="E1510" s="132"/>
      <c r="F1510" s="132"/>
      <c r="G1510" s="132"/>
      <c r="H1510" s="132"/>
      <c r="I1510" s="132"/>
      <c r="J1510" s="132"/>
      <c r="K1510" s="132"/>
      <c r="L1510" s="132"/>
    </row>
    <row r="1511" spans="1:12" x14ac:dyDescent="0.3">
      <c r="A1511" s="132"/>
      <c r="B1511" s="132"/>
      <c r="C1511" s="132"/>
      <c r="D1511" s="132"/>
      <c r="E1511" s="132"/>
      <c r="F1511" s="132"/>
      <c r="G1511" s="132"/>
      <c r="H1511" s="132"/>
      <c r="I1511" s="132"/>
      <c r="J1511" s="132"/>
      <c r="K1511" s="132"/>
      <c r="L1511" s="132"/>
    </row>
    <row r="1512" spans="1:12" x14ac:dyDescent="0.3">
      <c r="A1512" s="132"/>
      <c r="B1512" s="132"/>
      <c r="C1512" s="132"/>
      <c r="D1512" s="132"/>
      <c r="E1512" s="132"/>
      <c r="F1512" s="132"/>
      <c r="G1512" s="132"/>
      <c r="H1512" s="132"/>
      <c r="I1512" s="132"/>
      <c r="J1512" s="132"/>
      <c r="K1512" s="132"/>
      <c r="L1512" s="132"/>
    </row>
    <row r="1513" spans="1:12" x14ac:dyDescent="0.3">
      <c r="A1513" s="132"/>
      <c r="B1513" s="132"/>
      <c r="C1513" s="132"/>
      <c r="D1513" s="132"/>
      <c r="E1513" s="132"/>
      <c r="F1513" s="132"/>
      <c r="G1513" s="132"/>
      <c r="H1513" s="132"/>
      <c r="I1513" s="132"/>
      <c r="J1513" s="132"/>
      <c r="K1513" s="132"/>
      <c r="L1513" s="132"/>
    </row>
    <row r="1514" spans="1:12" x14ac:dyDescent="0.3">
      <c r="A1514" s="132"/>
      <c r="B1514" s="132"/>
      <c r="C1514" s="132"/>
      <c r="D1514" s="132"/>
      <c r="E1514" s="132"/>
      <c r="F1514" s="132"/>
      <c r="G1514" s="132"/>
      <c r="H1514" s="132"/>
      <c r="I1514" s="132"/>
      <c r="J1514" s="132"/>
      <c r="K1514" s="132"/>
      <c r="L1514" s="132"/>
    </row>
    <row r="1515" spans="1:12" x14ac:dyDescent="0.3">
      <c r="A1515" s="132"/>
      <c r="B1515" s="132"/>
      <c r="C1515" s="132"/>
      <c r="D1515" s="132"/>
      <c r="E1515" s="132"/>
      <c r="F1515" s="132"/>
      <c r="G1515" s="132"/>
      <c r="H1515" s="132"/>
      <c r="I1515" s="132"/>
      <c r="J1515" s="132"/>
      <c r="K1515" s="132"/>
      <c r="L1515" s="132"/>
    </row>
    <row r="1516" spans="1:12" x14ac:dyDescent="0.3">
      <c r="A1516" s="132"/>
      <c r="B1516" s="132"/>
      <c r="C1516" s="132"/>
      <c r="D1516" s="132"/>
      <c r="E1516" s="132"/>
      <c r="F1516" s="132"/>
      <c r="G1516" s="132"/>
      <c r="H1516" s="132"/>
      <c r="I1516" s="132"/>
      <c r="J1516" s="132"/>
      <c r="K1516" s="132"/>
      <c r="L1516" s="132"/>
    </row>
    <row r="1517" spans="1:12" x14ac:dyDescent="0.3">
      <c r="A1517" s="132"/>
      <c r="B1517" s="132"/>
      <c r="C1517" s="132"/>
      <c r="D1517" s="132"/>
      <c r="E1517" s="132"/>
      <c r="F1517" s="132"/>
      <c r="G1517" s="132"/>
      <c r="H1517" s="132"/>
      <c r="I1517" s="132"/>
      <c r="J1517" s="132"/>
      <c r="K1517" s="132"/>
      <c r="L1517" s="132"/>
    </row>
    <row r="1518" spans="1:12" x14ac:dyDescent="0.3">
      <c r="A1518" s="132"/>
      <c r="B1518" s="132"/>
      <c r="C1518" s="132"/>
      <c r="D1518" s="132"/>
      <c r="E1518" s="132"/>
      <c r="F1518" s="132"/>
      <c r="G1518" s="132"/>
      <c r="H1518" s="132"/>
      <c r="I1518" s="132"/>
      <c r="J1518" s="132"/>
      <c r="K1518" s="132"/>
      <c r="L1518" s="132"/>
    </row>
    <row r="1519" spans="1:12" x14ac:dyDescent="0.3">
      <c r="A1519" s="132"/>
      <c r="B1519" s="132"/>
      <c r="C1519" s="132"/>
      <c r="D1519" s="132"/>
      <c r="E1519" s="132"/>
      <c r="F1519" s="132"/>
      <c r="G1519" s="132"/>
      <c r="H1519" s="132"/>
      <c r="I1519" s="132"/>
      <c r="J1519" s="132"/>
      <c r="K1519" s="132"/>
      <c r="L1519" s="132"/>
    </row>
    <row r="1520" spans="1:12" x14ac:dyDescent="0.3">
      <c r="A1520" s="132"/>
      <c r="B1520" s="132"/>
      <c r="C1520" s="132"/>
      <c r="D1520" s="132"/>
      <c r="E1520" s="132"/>
      <c r="F1520" s="132"/>
      <c r="G1520" s="132"/>
      <c r="H1520" s="132"/>
      <c r="I1520" s="132"/>
      <c r="J1520" s="132"/>
      <c r="K1520" s="132"/>
      <c r="L1520" s="132"/>
    </row>
    <row r="1521" spans="1:12" x14ac:dyDescent="0.3">
      <c r="A1521" s="132"/>
      <c r="B1521" s="132"/>
      <c r="C1521" s="132"/>
      <c r="D1521" s="132"/>
      <c r="E1521" s="132"/>
      <c r="F1521" s="132"/>
      <c r="G1521" s="132"/>
      <c r="H1521" s="132"/>
      <c r="I1521" s="132"/>
      <c r="J1521" s="132"/>
      <c r="K1521" s="132"/>
      <c r="L1521" s="132"/>
    </row>
    <row r="1522" spans="1:12" x14ac:dyDescent="0.3">
      <c r="A1522" s="132"/>
      <c r="B1522" s="132"/>
      <c r="C1522" s="132"/>
      <c r="D1522" s="132"/>
      <c r="E1522" s="132"/>
      <c r="F1522" s="132"/>
      <c r="G1522" s="132"/>
      <c r="H1522" s="132"/>
      <c r="I1522" s="132"/>
      <c r="J1522" s="132"/>
      <c r="K1522" s="132"/>
      <c r="L1522" s="132"/>
    </row>
    <row r="1523" spans="1:12" x14ac:dyDescent="0.3">
      <c r="A1523" s="132"/>
      <c r="B1523" s="132"/>
      <c r="C1523" s="132"/>
      <c r="D1523" s="132"/>
      <c r="E1523" s="132"/>
      <c r="F1523" s="132"/>
      <c r="G1523" s="132"/>
      <c r="H1523" s="132"/>
      <c r="I1523" s="132"/>
      <c r="J1523" s="132"/>
      <c r="K1523" s="132"/>
      <c r="L1523" s="132"/>
    </row>
    <row r="1524" spans="1:12" x14ac:dyDescent="0.3">
      <c r="A1524" s="132"/>
      <c r="B1524" s="132"/>
      <c r="C1524" s="132"/>
      <c r="D1524" s="132"/>
      <c r="E1524" s="132"/>
      <c r="F1524" s="132"/>
      <c r="G1524" s="132"/>
      <c r="H1524" s="132"/>
      <c r="I1524" s="132"/>
      <c r="J1524" s="132"/>
      <c r="K1524" s="132"/>
      <c r="L1524" s="132"/>
    </row>
    <row r="1525" spans="1:12" x14ac:dyDescent="0.3">
      <c r="A1525" s="132"/>
      <c r="B1525" s="132"/>
      <c r="C1525" s="132"/>
      <c r="D1525" s="132"/>
      <c r="E1525" s="132"/>
      <c r="F1525" s="132"/>
      <c r="G1525" s="132"/>
      <c r="H1525" s="132"/>
      <c r="I1525" s="132"/>
      <c r="J1525" s="132"/>
      <c r="K1525" s="132"/>
      <c r="L1525" s="132"/>
    </row>
    <row r="1526" spans="1:12" x14ac:dyDescent="0.3">
      <c r="A1526" s="132"/>
      <c r="B1526" s="132"/>
      <c r="C1526" s="132"/>
      <c r="D1526" s="132"/>
      <c r="E1526" s="132"/>
      <c r="F1526" s="132"/>
      <c r="G1526" s="132"/>
      <c r="H1526" s="132"/>
      <c r="I1526" s="132"/>
      <c r="J1526" s="132"/>
      <c r="K1526" s="132"/>
      <c r="L1526" s="132"/>
    </row>
    <row r="1527" spans="1:12" x14ac:dyDescent="0.3">
      <c r="A1527" s="132"/>
      <c r="B1527" s="132"/>
      <c r="C1527" s="132"/>
      <c r="D1527" s="132"/>
      <c r="E1527" s="132"/>
      <c r="F1527" s="132"/>
      <c r="G1527" s="132"/>
      <c r="H1527" s="132"/>
      <c r="I1527" s="132"/>
      <c r="J1527" s="132"/>
      <c r="K1527" s="132"/>
      <c r="L1527" s="132"/>
    </row>
    <row r="1528" spans="1:12" x14ac:dyDescent="0.3">
      <c r="A1528" s="132"/>
      <c r="B1528" s="132"/>
      <c r="C1528" s="132"/>
      <c r="D1528" s="132"/>
      <c r="E1528" s="132"/>
      <c r="F1528" s="132"/>
      <c r="G1528" s="132"/>
      <c r="H1528" s="132"/>
      <c r="I1528" s="132"/>
      <c r="J1528" s="132"/>
      <c r="K1528" s="132"/>
      <c r="L1528" s="132"/>
    </row>
    <row r="1529" spans="1:12" x14ac:dyDescent="0.3">
      <c r="A1529" s="132"/>
      <c r="B1529" s="132"/>
      <c r="C1529" s="132"/>
      <c r="D1529" s="132"/>
      <c r="E1529" s="132"/>
      <c r="F1529" s="132"/>
      <c r="G1529" s="132"/>
      <c r="H1529" s="132"/>
      <c r="I1529" s="132"/>
      <c r="J1529" s="132"/>
      <c r="K1529" s="132"/>
      <c r="L1529" s="132"/>
    </row>
    <row r="1530" spans="1:12" x14ac:dyDescent="0.3">
      <c r="A1530" s="132"/>
      <c r="B1530" s="132"/>
      <c r="C1530" s="132"/>
      <c r="D1530" s="132"/>
      <c r="E1530" s="132"/>
      <c r="F1530" s="132"/>
      <c r="G1530" s="132"/>
      <c r="H1530" s="132"/>
      <c r="I1530" s="132"/>
      <c r="J1530" s="132"/>
      <c r="K1530" s="132"/>
      <c r="L1530" s="132"/>
    </row>
    <row r="1531" spans="1:12" x14ac:dyDescent="0.3">
      <c r="A1531" s="132"/>
      <c r="B1531" s="132"/>
      <c r="C1531" s="132"/>
      <c r="D1531" s="132"/>
      <c r="E1531" s="132"/>
      <c r="F1531" s="132"/>
      <c r="G1531" s="132"/>
      <c r="H1531" s="132"/>
      <c r="I1531" s="132"/>
      <c r="J1531" s="132"/>
      <c r="K1531" s="132"/>
      <c r="L1531" s="132"/>
    </row>
    <row r="1532" spans="1:12" x14ac:dyDescent="0.3">
      <c r="A1532" s="132"/>
      <c r="B1532" s="132"/>
      <c r="C1532" s="132"/>
      <c r="D1532" s="132"/>
      <c r="E1532" s="132"/>
      <c r="F1532" s="132"/>
      <c r="G1532" s="132"/>
      <c r="H1532" s="132"/>
      <c r="I1532" s="132"/>
      <c r="J1532" s="132"/>
      <c r="K1532" s="132"/>
      <c r="L1532" s="132"/>
    </row>
    <row r="1533" spans="1:12" x14ac:dyDescent="0.3">
      <c r="A1533" s="132"/>
      <c r="B1533" s="132"/>
      <c r="C1533" s="132"/>
      <c r="D1533" s="132"/>
      <c r="E1533" s="132"/>
      <c r="F1533" s="132"/>
      <c r="G1533" s="132"/>
      <c r="H1533" s="132"/>
      <c r="I1533" s="132"/>
      <c r="J1533" s="132"/>
      <c r="K1533" s="132"/>
      <c r="L1533" s="132"/>
    </row>
    <row r="1534" spans="1:12" x14ac:dyDescent="0.3">
      <c r="A1534" s="132"/>
      <c r="B1534" s="132"/>
      <c r="C1534" s="132"/>
      <c r="D1534" s="132"/>
      <c r="E1534" s="132"/>
      <c r="F1534" s="132"/>
      <c r="G1534" s="132"/>
      <c r="H1534" s="132"/>
      <c r="I1534" s="132"/>
      <c r="J1534" s="132"/>
      <c r="K1534" s="132"/>
      <c r="L1534" s="132"/>
    </row>
    <row r="1535" spans="1:12" x14ac:dyDescent="0.3">
      <c r="A1535" s="132"/>
      <c r="B1535" s="132"/>
      <c r="C1535" s="132"/>
      <c r="D1535" s="132"/>
      <c r="E1535" s="132"/>
      <c r="F1535" s="132"/>
      <c r="G1535" s="132"/>
      <c r="H1535" s="132"/>
      <c r="I1535" s="132"/>
      <c r="J1535" s="132"/>
      <c r="K1535" s="132"/>
      <c r="L1535" s="132"/>
    </row>
    <row r="1536" spans="1:12" x14ac:dyDescent="0.3">
      <c r="A1536" s="132"/>
      <c r="B1536" s="132"/>
      <c r="C1536" s="132"/>
      <c r="D1536" s="132"/>
      <c r="E1536" s="132"/>
      <c r="F1536" s="132"/>
      <c r="G1536" s="132"/>
      <c r="H1536" s="132"/>
      <c r="I1536" s="132"/>
      <c r="J1536" s="132"/>
      <c r="K1536" s="132"/>
      <c r="L1536" s="132"/>
    </row>
    <row r="1537" spans="1:12" x14ac:dyDescent="0.3">
      <c r="A1537" s="132"/>
      <c r="B1537" s="132"/>
      <c r="C1537" s="132"/>
      <c r="D1537" s="132"/>
      <c r="E1537" s="132"/>
      <c r="F1537" s="132"/>
      <c r="G1537" s="132"/>
      <c r="H1537" s="132"/>
      <c r="I1537" s="132"/>
      <c r="J1537" s="132"/>
      <c r="K1537" s="132"/>
      <c r="L1537" s="132"/>
    </row>
    <row r="1538" spans="1:12" x14ac:dyDescent="0.3">
      <c r="A1538" s="132"/>
      <c r="B1538" s="132"/>
      <c r="C1538" s="132"/>
      <c r="D1538" s="132"/>
      <c r="E1538" s="132"/>
      <c r="F1538" s="132"/>
      <c r="G1538" s="132"/>
      <c r="H1538" s="132"/>
      <c r="I1538" s="132"/>
      <c r="J1538" s="132"/>
      <c r="K1538" s="132"/>
      <c r="L1538" s="132"/>
    </row>
    <row r="1539" spans="1:12" x14ac:dyDescent="0.3">
      <c r="A1539" s="132"/>
      <c r="B1539" s="132"/>
      <c r="C1539" s="132"/>
      <c r="D1539" s="132"/>
      <c r="E1539" s="132"/>
      <c r="F1539" s="132"/>
      <c r="G1539" s="132"/>
      <c r="H1539" s="132"/>
      <c r="I1539" s="132"/>
      <c r="J1539" s="132"/>
      <c r="K1539" s="132"/>
      <c r="L1539" s="132"/>
    </row>
    <row r="1540" spans="1:12" x14ac:dyDescent="0.3">
      <c r="A1540" s="132"/>
      <c r="B1540" s="132"/>
      <c r="C1540" s="132"/>
      <c r="D1540" s="132"/>
      <c r="E1540" s="132"/>
      <c r="F1540" s="132"/>
      <c r="G1540" s="132"/>
      <c r="H1540" s="132"/>
      <c r="I1540" s="132"/>
      <c r="J1540" s="132"/>
      <c r="K1540" s="132"/>
      <c r="L1540" s="132"/>
    </row>
    <row r="1541" spans="1:12" x14ac:dyDescent="0.3">
      <c r="A1541" s="132"/>
      <c r="B1541" s="132"/>
      <c r="C1541" s="132"/>
      <c r="D1541" s="132"/>
      <c r="E1541" s="132"/>
      <c r="F1541" s="132"/>
      <c r="G1541" s="132"/>
      <c r="H1541" s="132"/>
      <c r="I1541" s="132"/>
      <c r="J1541" s="132"/>
      <c r="K1541" s="132"/>
      <c r="L1541" s="132"/>
    </row>
    <row r="1542" spans="1:12" x14ac:dyDescent="0.3">
      <c r="A1542" s="132"/>
      <c r="B1542" s="132"/>
      <c r="C1542" s="132"/>
      <c r="D1542" s="132"/>
      <c r="E1542" s="132"/>
      <c r="F1542" s="132"/>
      <c r="G1542" s="132"/>
      <c r="H1542" s="132"/>
      <c r="I1542" s="132"/>
      <c r="J1542" s="132"/>
      <c r="K1542" s="132"/>
      <c r="L1542" s="132"/>
    </row>
    <row r="1543" spans="1:12" x14ac:dyDescent="0.3">
      <c r="A1543" s="132"/>
      <c r="B1543" s="132"/>
      <c r="C1543" s="132"/>
      <c r="D1543" s="132"/>
      <c r="E1543" s="132"/>
      <c r="F1543" s="132"/>
      <c r="G1543" s="132"/>
      <c r="H1543" s="132"/>
      <c r="I1543" s="132"/>
      <c r="J1543" s="132"/>
      <c r="K1543" s="132"/>
      <c r="L1543" s="132"/>
    </row>
    <row r="1544" spans="1:12" x14ac:dyDescent="0.3">
      <c r="A1544" s="132"/>
      <c r="B1544" s="132"/>
      <c r="C1544" s="132"/>
      <c r="D1544" s="132"/>
      <c r="E1544" s="132"/>
      <c r="F1544" s="132"/>
      <c r="G1544" s="132"/>
      <c r="H1544" s="132"/>
      <c r="I1544" s="132"/>
      <c r="J1544" s="132"/>
      <c r="K1544" s="132"/>
      <c r="L1544" s="132"/>
    </row>
    <row r="1545" spans="1:12" x14ac:dyDescent="0.3">
      <c r="A1545" s="132"/>
      <c r="B1545" s="132"/>
      <c r="C1545" s="132"/>
      <c r="D1545" s="132"/>
      <c r="E1545" s="132"/>
      <c r="F1545" s="132"/>
      <c r="G1545" s="132"/>
      <c r="H1545" s="132"/>
      <c r="I1545" s="132"/>
      <c r="J1545" s="132"/>
      <c r="K1545" s="132"/>
      <c r="L1545" s="132"/>
    </row>
    <row r="1546" spans="1:12" x14ac:dyDescent="0.3">
      <c r="A1546" s="132"/>
      <c r="B1546" s="132"/>
      <c r="C1546" s="132"/>
      <c r="D1546" s="132"/>
      <c r="E1546" s="132"/>
      <c r="F1546" s="132"/>
      <c r="G1546" s="132"/>
      <c r="H1546" s="132"/>
      <c r="I1546" s="132"/>
      <c r="J1546" s="132"/>
      <c r="K1546" s="132"/>
      <c r="L1546" s="132"/>
    </row>
    <row r="1547" spans="1:12" x14ac:dyDescent="0.3">
      <c r="A1547" s="132"/>
      <c r="B1547" s="132"/>
      <c r="C1547" s="132"/>
      <c r="D1547" s="132"/>
      <c r="E1547" s="132"/>
      <c r="F1547" s="132"/>
      <c r="G1547" s="132"/>
      <c r="H1547" s="132"/>
      <c r="I1547" s="132"/>
      <c r="J1547" s="132"/>
      <c r="K1547" s="132"/>
      <c r="L1547" s="132"/>
    </row>
    <row r="1548" spans="1:12" x14ac:dyDescent="0.3">
      <c r="A1548" s="132"/>
      <c r="B1548" s="132"/>
      <c r="C1548" s="132"/>
      <c r="D1548" s="132"/>
      <c r="E1548" s="132"/>
      <c r="F1548" s="132"/>
      <c r="G1548" s="132"/>
      <c r="H1548" s="132"/>
      <c r="I1548" s="132"/>
      <c r="J1548" s="132"/>
      <c r="K1548" s="132"/>
      <c r="L1548" s="132"/>
    </row>
    <row r="1549" spans="1:12" x14ac:dyDescent="0.3">
      <c r="A1549" s="132"/>
      <c r="B1549" s="132"/>
      <c r="C1549" s="132"/>
      <c r="D1549" s="132"/>
      <c r="E1549" s="132"/>
      <c r="F1549" s="132"/>
      <c r="G1549" s="132"/>
      <c r="H1549" s="132"/>
      <c r="I1549" s="132"/>
      <c r="J1549" s="132"/>
      <c r="K1549" s="132"/>
      <c r="L1549" s="132"/>
    </row>
    <row r="1550" spans="1:12" x14ac:dyDescent="0.3">
      <c r="A1550" s="132"/>
      <c r="B1550" s="132"/>
      <c r="C1550" s="132"/>
      <c r="D1550" s="132"/>
      <c r="E1550" s="132"/>
      <c r="F1550" s="132"/>
      <c r="G1550" s="132"/>
      <c r="H1550" s="132"/>
      <c r="I1550" s="132"/>
      <c r="J1550" s="132"/>
      <c r="K1550" s="132"/>
      <c r="L1550" s="132"/>
    </row>
    <row r="1551" spans="1:12" x14ac:dyDescent="0.3">
      <c r="A1551" s="132"/>
      <c r="B1551" s="132"/>
      <c r="C1551" s="132"/>
      <c r="D1551" s="132"/>
      <c r="E1551" s="132"/>
      <c r="F1551" s="132"/>
      <c r="G1551" s="132"/>
      <c r="H1551" s="132"/>
      <c r="I1551" s="132"/>
      <c r="J1551" s="132"/>
      <c r="K1551" s="132"/>
      <c r="L1551" s="132"/>
    </row>
    <row r="1552" spans="1:12" x14ac:dyDescent="0.3">
      <c r="A1552" s="132"/>
      <c r="B1552" s="132"/>
      <c r="C1552" s="132"/>
      <c r="D1552" s="132"/>
      <c r="E1552" s="132"/>
      <c r="F1552" s="132"/>
      <c r="G1552" s="132"/>
      <c r="H1552" s="132"/>
      <c r="I1552" s="132"/>
      <c r="J1552" s="132"/>
      <c r="K1552" s="132"/>
      <c r="L1552" s="132"/>
    </row>
    <row r="1553" spans="1:12" x14ac:dyDescent="0.3">
      <c r="A1553" s="132"/>
      <c r="B1553" s="132"/>
      <c r="C1553" s="132"/>
      <c r="D1553" s="132"/>
      <c r="E1553" s="132"/>
      <c r="F1553" s="132"/>
      <c r="G1553" s="132"/>
      <c r="H1553" s="132"/>
      <c r="I1553" s="132"/>
      <c r="J1553" s="132"/>
      <c r="K1553" s="132"/>
      <c r="L1553" s="132"/>
    </row>
    <row r="1554" spans="1:12" x14ac:dyDescent="0.3">
      <c r="A1554" s="132"/>
      <c r="B1554" s="132"/>
      <c r="C1554" s="132"/>
      <c r="D1554" s="132"/>
      <c r="E1554" s="132"/>
      <c r="F1554" s="132"/>
      <c r="G1554" s="132"/>
      <c r="H1554" s="132"/>
      <c r="I1554" s="132"/>
      <c r="J1554" s="132"/>
      <c r="K1554" s="132"/>
      <c r="L1554" s="132"/>
    </row>
    <row r="1555" spans="1:12" x14ac:dyDescent="0.3">
      <c r="A1555" s="132"/>
      <c r="B1555" s="132"/>
      <c r="C1555" s="132"/>
      <c r="D1555" s="132"/>
      <c r="E1555" s="132"/>
      <c r="F1555" s="132"/>
      <c r="G1555" s="132"/>
      <c r="H1555" s="132"/>
      <c r="I1555" s="132"/>
      <c r="J1555" s="132"/>
      <c r="K1555" s="132"/>
      <c r="L1555" s="132"/>
    </row>
    <row r="1556" spans="1:12" x14ac:dyDescent="0.3">
      <c r="A1556" s="132"/>
      <c r="B1556" s="132"/>
      <c r="C1556" s="132"/>
      <c r="D1556" s="132"/>
      <c r="E1556" s="132"/>
      <c r="F1556" s="132"/>
      <c r="G1556" s="132"/>
      <c r="H1556" s="132"/>
      <c r="I1556" s="132"/>
      <c r="J1556" s="132"/>
      <c r="K1556" s="132"/>
      <c r="L1556" s="132"/>
    </row>
    <row r="1557" spans="1:12" x14ac:dyDescent="0.3">
      <c r="A1557" s="132"/>
      <c r="B1557" s="132"/>
      <c r="C1557" s="132"/>
      <c r="D1557" s="132"/>
      <c r="E1557" s="132"/>
      <c r="F1557" s="132"/>
      <c r="G1557" s="132"/>
      <c r="H1557" s="132"/>
      <c r="I1557" s="132"/>
      <c r="J1557" s="132"/>
      <c r="K1557" s="132"/>
      <c r="L1557" s="132"/>
    </row>
    <row r="1558" spans="1:12" x14ac:dyDescent="0.3">
      <c r="A1558" s="132"/>
      <c r="B1558" s="132"/>
      <c r="C1558" s="132"/>
      <c r="D1558" s="132"/>
      <c r="E1558" s="132"/>
      <c r="F1558" s="132"/>
      <c r="G1558" s="132"/>
      <c r="H1558" s="132"/>
      <c r="I1558" s="132"/>
      <c r="J1558" s="132"/>
      <c r="K1558" s="132"/>
      <c r="L1558" s="132"/>
    </row>
    <row r="1559" spans="1:12" x14ac:dyDescent="0.3">
      <c r="A1559" s="132"/>
      <c r="B1559" s="132"/>
      <c r="C1559" s="132"/>
      <c r="D1559" s="132"/>
      <c r="E1559" s="132"/>
      <c r="F1559" s="132"/>
      <c r="G1559" s="132"/>
      <c r="H1559" s="132"/>
      <c r="I1559" s="132"/>
      <c r="J1559" s="132"/>
      <c r="K1559" s="132"/>
      <c r="L1559" s="132"/>
    </row>
    <row r="1560" spans="1:12" x14ac:dyDescent="0.3">
      <c r="A1560" s="132"/>
      <c r="B1560" s="132"/>
      <c r="C1560" s="132"/>
      <c r="D1560" s="132"/>
      <c r="E1560" s="132"/>
      <c r="F1560" s="132"/>
      <c r="G1560" s="132"/>
      <c r="H1560" s="132"/>
      <c r="I1560" s="132"/>
      <c r="J1560" s="132"/>
      <c r="K1560" s="132"/>
      <c r="L1560" s="132"/>
    </row>
    <row r="1561" spans="1:12" x14ac:dyDescent="0.3">
      <c r="A1561" s="132"/>
      <c r="B1561" s="132"/>
      <c r="C1561" s="132"/>
      <c r="D1561" s="132"/>
      <c r="E1561" s="132"/>
      <c r="F1561" s="132"/>
      <c r="G1561" s="132"/>
      <c r="H1561" s="132"/>
      <c r="I1561" s="132"/>
      <c r="J1561" s="132"/>
      <c r="K1561" s="132"/>
      <c r="L1561" s="132"/>
    </row>
    <row r="1562" spans="1:12" x14ac:dyDescent="0.3">
      <c r="A1562" s="132"/>
      <c r="B1562" s="132"/>
      <c r="C1562" s="132"/>
      <c r="D1562" s="132"/>
      <c r="E1562" s="132"/>
      <c r="F1562" s="132"/>
      <c r="G1562" s="132"/>
      <c r="H1562" s="132"/>
      <c r="I1562" s="132"/>
      <c r="J1562" s="132"/>
      <c r="K1562" s="132"/>
      <c r="L1562" s="132"/>
    </row>
    <row r="1563" spans="1:12" x14ac:dyDescent="0.3">
      <c r="A1563" s="132"/>
      <c r="B1563" s="132"/>
      <c r="C1563" s="132"/>
      <c r="D1563" s="132"/>
      <c r="E1563" s="132"/>
      <c r="F1563" s="132"/>
      <c r="G1563" s="132"/>
      <c r="H1563" s="132"/>
      <c r="I1563" s="132"/>
      <c r="J1563" s="132"/>
      <c r="K1563" s="132"/>
      <c r="L1563" s="132"/>
    </row>
    <row r="1564" spans="1:12" x14ac:dyDescent="0.3">
      <c r="A1564" s="132"/>
      <c r="B1564" s="132"/>
      <c r="C1564" s="132"/>
      <c r="D1564" s="132"/>
      <c r="E1564" s="132"/>
      <c r="F1564" s="132"/>
      <c r="G1564" s="132"/>
      <c r="H1564" s="132"/>
      <c r="I1564" s="132"/>
      <c r="J1564" s="132"/>
      <c r="K1564" s="132"/>
      <c r="L1564" s="132"/>
    </row>
    <row r="1565" spans="1:12" x14ac:dyDescent="0.3">
      <c r="A1565" s="132"/>
      <c r="B1565" s="132"/>
      <c r="C1565" s="132"/>
      <c r="D1565" s="132"/>
      <c r="E1565" s="132"/>
      <c r="F1565" s="132"/>
      <c r="G1565" s="132"/>
      <c r="H1565" s="132"/>
      <c r="I1565" s="132"/>
      <c r="J1565" s="132"/>
      <c r="K1565" s="132"/>
      <c r="L1565" s="132"/>
    </row>
    <row r="1566" spans="1:12" x14ac:dyDescent="0.3">
      <c r="A1566" s="132"/>
      <c r="B1566" s="132"/>
      <c r="C1566" s="132"/>
      <c r="D1566" s="132"/>
      <c r="E1566" s="132"/>
      <c r="F1566" s="132"/>
      <c r="G1566" s="132"/>
      <c r="H1566" s="132"/>
      <c r="I1566" s="132"/>
      <c r="J1566" s="132"/>
      <c r="K1566" s="132"/>
      <c r="L1566" s="132"/>
    </row>
    <row r="1567" spans="1:12" x14ac:dyDescent="0.3">
      <c r="A1567" s="132"/>
      <c r="B1567" s="132"/>
      <c r="C1567" s="132"/>
      <c r="D1567" s="132"/>
      <c r="E1567" s="132"/>
      <c r="F1567" s="132"/>
      <c r="G1567" s="132"/>
      <c r="H1567" s="132"/>
      <c r="I1567" s="132"/>
      <c r="J1567" s="132"/>
      <c r="K1567" s="132"/>
      <c r="L1567" s="132"/>
    </row>
    <row r="1568" spans="1:12" x14ac:dyDescent="0.3">
      <c r="A1568" s="132"/>
      <c r="B1568" s="132"/>
      <c r="C1568" s="132"/>
      <c r="D1568" s="132"/>
      <c r="E1568" s="132"/>
      <c r="F1568" s="132"/>
      <c r="G1568" s="132"/>
      <c r="H1568" s="132"/>
      <c r="I1568" s="132"/>
      <c r="J1568" s="132"/>
      <c r="K1568" s="132"/>
      <c r="L1568" s="132"/>
    </row>
    <row r="1569" spans="1:12" x14ac:dyDescent="0.3">
      <c r="A1569" s="132"/>
      <c r="B1569" s="132"/>
      <c r="C1569" s="132"/>
      <c r="D1569" s="132"/>
      <c r="E1569" s="132"/>
      <c r="F1569" s="132"/>
      <c r="G1569" s="132"/>
      <c r="H1569" s="132"/>
      <c r="I1569" s="132"/>
      <c r="J1569" s="132"/>
      <c r="K1569" s="132"/>
      <c r="L1569" s="132"/>
    </row>
    <row r="1570" spans="1:12" x14ac:dyDescent="0.3">
      <c r="A1570" s="132"/>
      <c r="B1570" s="132"/>
      <c r="C1570" s="132"/>
      <c r="D1570" s="132"/>
      <c r="E1570" s="132"/>
      <c r="F1570" s="132"/>
      <c r="G1570" s="132"/>
      <c r="H1570" s="132"/>
      <c r="I1570" s="132"/>
      <c r="J1570" s="132"/>
      <c r="K1570" s="132"/>
      <c r="L1570" s="132"/>
    </row>
    <row r="1571" spans="1:12" x14ac:dyDescent="0.3">
      <c r="A1571" s="132"/>
      <c r="B1571" s="132"/>
      <c r="C1571" s="132"/>
      <c r="D1571" s="132"/>
      <c r="E1571" s="132"/>
      <c r="F1571" s="132"/>
      <c r="G1571" s="132"/>
      <c r="H1571" s="132"/>
      <c r="I1571" s="132"/>
      <c r="J1571" s="132"/>
      <c r="K1571" s="132"/>
      <c r="L1571" s="132"/>
    </row>
    <row r="1572" spans="1:12" x14ac:dyDescent="0.3">
      <c r="A1572" s="132"/>
      <c r="B1572" s="132"/>
      <c r="C1572" s="132"/>
      <c r="D1572" s="132"/>
      <c r="E1572" s="132"/>
      <c r="F1572" s="132"/>
      <c r="G1572" s="132"/>
      <c r="H1572" s="132"/>
      <c r="I1572" s="132"/>
      <c r="J1572" s="132"/>
      <c r="K1572" s="132"/>
      <c r="L1572" s="132"/>
    </row>
    <row r="1573" spans="1:12" x14ac:dyDescent="0.3">
      <c r="A1573" s="132"/>
      <c r="B1573" s="132"/>
      <c r="C1573" s="132"/>
      <c r="D1573" s="132"/>
      <c r="E1573" s="132"/>
      <c r="F1573" s="132"/>
      <c r="G1573" s="132"/>
      <c r="H1573" s="132"/>
      <c r="I1573" s="132"/>
      <c r="J1573" s="132"/>
      <c r="K1573" s="132"/>
      <c r="L1573" s="132"/>
    </row>
    <row r="1574" spans="1:12" x14ac:dyDescent="0.3">
      <c r="A1574" s="132"/>
      <c r="B1574" s="132"/>
      <c r="C1574" s="132"/>
      <c r="D1574" s="132"/>
      <c r="E1574" s="132"/>
      <c r="F1574" s="132"/>
      <c r="G1574" s="132"/>
      <c r="H1574" s="132"/>
      <c r="I1574" s="132"/>
      <c r="J1574" s="132"/>
      <c r="K1574" s="132"/>
      <c r="L1574" s="132"/>
    </row>
    <row r="1575" spans="1:12" x14ac:dyDescent="0.3">
      <c r="A1575" s="132"/>
      <c r="B1575" s="132"/>
      <c r="C1575" s="132"/>
      <c r="D1575" s="132"/>
      <c r="E1575" s="132"/>
      <c r="F1575" s="132"/>
      <c r="G1575" s="132"/>
      <c r="H1575" s="132"/>
      <c r="I1575" s="132"/>
      <c r="J1575" s="132"/>
      <c r="K1575" s="132"/>
      <c r="L1575" s="132"/>
    </row>
    <row r="1576" spans="1:12" x14ac:dyDescent="0.3">
      <c r="A1576" s="132"/>
      <c r="B1576" s="132"/>
      <c r="C1576" s="132"/>
      <c r="D1576" s="132"/>
      <c r="E1576" s="132"/>
      <c r="F1576" s="132"/>
      <c r="G1576" s="132"/>
      <c r="H1576" s="132"/>
      <c r="I1576" s="132"/>
      <c r="J1576" s="132"/>
      <c r="K1576" s="132"/>
      <c r="L1576" s="132"/>
    </row>
    <row r="1577" spans="1:12" x14ac:dyDescent="0.3">
      <c r="A1577" s="132"/>
      <c r="B1577" s="132"/>
      <c r="C1577" s="132"/>
      <c r="D1577" s="132"/>
      <c r="E1577" s="132"/>
      <c r="F1577" s="132"/>
      <c r="G1577" s="132"/>
      <c r="H1577" s="132"/>
      <c r="I1577" s="132"/>
      <c r="J1577" s="132"/>
      <c r="K1577" s="132"/>
      <c r="L1577" s="132"/>
    </row>
    <row r="1578" spans="1:12" x14ac:dyDescent="0.3">
      <c r="A1578" s="132"/>
      <c r="B1578" s="132"/>
      <c r="C1578" s="132"/>
      <c r="D1578" s="132"/>
      <c r="E1578" s="132"/>
      <c r="F1578" s="132"/>
      <c r="G1578" s="132"/>
      <c r="H1578" s="132"/>
      <c r="I1578" s="132"/>
      <c r="J1578" s="132"/>
      <c r="K1578" s="132"/>
      <c r="L1578" s="132"/>
    </row>
    <row r="1579" spans="1:12" x14ac:dyDescent="0.3">
      <c r="A1579" s="132"/>
      <c r="B1579" s="132"/>
      <c r="C1579" s="132"/>
      <c r="D1579" s="132"/>
      <c r="E1579" s="132"/>
      <c r="F1579" s="132"/>
      <c r="G1579" s="132"/>
      <c r="H1579" s="132"/>
      <c r="I1579" s="132"/>
      <c r="J1579" s="132"/>
      <c r="K1579" s="132"/>
      <c r="L1579" s="132"/>
    </row>
    <row r="1580" spans="1:12" x14ac:dyDescent="0.3">
      <c r="A1580" s="132"/>
      <c r="B1580" s="132"/>
      <c r="C1580" s="132"/>
      <c r="D1580" s="132"/>
      <c r="E1580" s="132"/>
      <c r="F1580" s="132"/>
      <c r="G1580" s="132"/>
      <c r="H1580" s="132"/>
      <c r="I1580" s="132"/>
      <c r="J1580" s="132"/>
      <c r="K1580" s="132"/>
      <c r="L1580" s="132"/>
    </row>
    <row r="1581" spans="1:12" x14ac:dyDescent="0.3">
      <c r="A1581" s="132"/>
      <c r="B1581" s="132"/>
      <c r="C1581" s="132"/>
      <c r="D1581" s="132"/>
      <c r="E1581" s="132"/>
      <c r="F1581" s="132"/>
      <c r="G1581" s="132"/>
      <c r="H1581" s="132"/>
      <c r="I1581" s="132"/>
      <c r="J1581" s="132"/>
      <c r="K1581" s="132"/>
      <c r="L1581" s="132"/>
    </row>
    <row r="1582" spans="1:12" x14ac:dyDescent="0.3">
      <c r="A1582" s="132"/>
      <c r="B1582" s="132"/>
      <c r="C1582" s="132"/>
      <c r="D1582" s="132"/>
      <c r="E1582" s="132"/>
      <c r="F1582" s="132"/>
      <c r="G1582" s="132"/>
      <c r="H1582" s="132"/>
      <c r="I1582" s="132"/>
      <c r="J1582" s="132"/>
      <c r="K1582" s="132"/>
      <c r="L1582" s="132"/>
    </row>
    <row r="1583" spans="1:12" x14ac:dyDescent="0.3">
      <c r="A1583" s="132"/>
      <c r="B1583" s="132"/>
      <c r="C1583" s="132"/>
      <c r="D1583" s="132"/>
      <c r="E1583" s="132"/>
      <c r="F1583" s="132"/>
      <c r="G1583" s="132"/>
      <c r="H1583" s="132"/>
      <c r="I1583" s="132"/>
      <c r="J1583" s="132"/>
      <c r="K1583" s="132"/>
      <c r="L1583" s="132"/>
    </row>
    <row r="1584" spans="1:12" x14ac:dyDescent="0.3">
      <c r="A1584" s="132"/>
      <c r="B1584" s="132"/>
      <c r="C1584" s="132"/>
      <c r="D1584" s="132"/>
      <c r="E1584" s="132"/>
      <c r="F1584" s="132"/>
      <c r="G1584" s="132"/>
      <c r="H1584" s="132"/>
      <c r="I1584" s="132"/>
      <c r="J1584" s="132"/>
      <c r="K1584" s="132"/>
      <c r="L1584" s="132"/>
    </row>
    <row r="1585" spans="1:12" x14ac:dyDescent="0.3">
      <c r="A1585" s="132"/>
      <c r="B1585" s="132"/>
      <c r="C1585" s="132"/>
      <c r="D1585" s="132"/>
      <c r="E1585" s="132"/>
      <c r="F1585" s="132"/>
      <c r="G1585" s="132"/>
      <c r="H1585" s="132"/>
      <c r="I1585" s="132"/>
      <c r="J1585" s="132"/>
      <c r="K1585" s="132"/>
      <c r="L1585" s="132"/>
    </row>
    <row r="1586" spans="1:12" x14ac:dyDescent="0.3">
      <c r="A1586" s="132"/>
      <c r="B1586" s="132"/>
      <c r="C1586" s="132"/>
      <c r="D1586" s="132"/>
      <c r="E1586" s="132"/>
      <c r="F1586" s="132"/>
      <c r="G1586" s="132"/>
      <c r="H1586" s="132"/>
      <c r="I1586" s="132"/>
      <c r="J1586" s="132"/>
      <c r="K1586" s="132"/>
      <c r="L1586" s="132"/>
    </row>
    <row r="1587" spans="1:12" x14ac:dyDescent="0.3">
      <c r="A1587" s="132"/>
      <c r="B1587" s="132"/>
      <c r="C1587" s="132"/>
      <c r="D1587" s="132"/>
      <c r="E1587" s="132"/>
      <c r="F1587" s="132"/>
      <c r="G1587" s="132"/>
      <c r="H1587" s="132"/>
      <c r="I1587" s="132"/>
      <c r="J1587" s="132"/>
      <c r="K1587" s="132"/>
      <c r="L1587" s="132"/>
    </row>
    <row r="1588" spans="1:12" x14ac:dyDescent="0.3">
      <c r="A1588" s="132"/>
      <c r="B1588" s="132"/>
      <c r="C1588" s="132"/>
      <c r="D1588" s="132"/>
      <c r="E1588" s="132"/>
      <c r="F1588" s="132"/>
      <c r="G1588" s="132"/>
      <c r="H1588" s="132"/>
      <c r="I1588" s="132"/>
      <c r="J1588" s="132"/>
      <c r="K1588" s="132"/>
      <c r="L1588" s="132"/>
    </row>
    <row r="1589" spans="1:12" x14ac:dyDescent="0.3">
      <c r="A1589" s="132"/>
      <c r="B1589" s="132"/>
      <c r="C1589" s="132"/>
      <c r="D1589" s="132"/>
      <c r="E1589" s="132"/>
      <c r="F1589" s="132"/>
      <c r="G1589" s="132"/>
      <c r="H1589" s="132"/>
      <c r="I1589" s="132"/>
      <c r="J1589" s="132"/>
      <c r="K1589" s="132"/>
      <c r="L1589" s="132"/>
    </row>
    <row r="1590" spans="1:12" x14ac:dyDescent="0.3">
      <c r="A1590" s="132"/>
      <c r="B1590" s="132"/>
      <c r="C1590" s="132"/>
      <c r="D1590" s="132"/>
      <c r="E1590" s="132"/>
      <c r="F1590" s="132"/>
      <c r="G1590" s="132"/>
      <c r="H1590" s="132"/>
      <c r="I1590" s="132"/>
      <c r="J1590" s="132"/>
      <c r="K1590" s="132"/>
      <c r="L1590" s="132"/>
    </row>
    <row r="1591" spans="1:12" x14ac:dyDescent="0.3">
      <c r="A1591" s="132"/>
      <c r="B1591" s="132"/>
      <c r="C1591" s="132"/>
      <c r="D1591" s="132"/>
      <c r="E1591" s="132"/>
      <c r="F1591" s="132"/>
      <c r="G1591" s="132"/>
      <c r="H1591" s="132"/>
      <c r="I1591" s="132"/>
      <c r="J1591" s="132"/>
      <c r="K1591" s="132"/>
      <c r="L1591" s="132"/>
    </row>
    <row r="1592" spans="1:12" x14ac:dyDescent="0.3">
      <c r="A1592" s="132"/>
      <c r="B1592" s="132"/>
      <c r="C1592" s="132"/>
      <c r="D1592" s="132"/>
      <c r="E1592" s="132"/>
      <c r="F1592" s="132"/>
      <c r="G1592" s="132"/>
      <c r="H1592" s="132"/>
      <c r="I1592" s="132"/>
      <c r="J1592" s="132"/>
      <c r="K1592" s="132"/>
      <c r="L1592" s="132"/>
    </row>
    <row r="1593" spans="1:12" x14ac:dyDescent="0.3">
      <c r="A1593" s="132"/>
      <c r="B1593" s="132"/>
      <c r="C1593" s="132"/>
      <c r="D1593" s="132"/>
      <c r="E1593" s="132"/>
      <c r="F1593" s="132"/>
      <c r="G1593" s="132"/>
      <c r="H1593" s="132"/>
      <c r="I1593" s="132"/>
      <c r="J1593" s="132"/>
      <c r="K1593" s="132"/>
      <c r="L1593" s="132"/>
    </row>
    <row r="1594" spans="1:12" x14ac:dyDescent="0.3">
      <c r="A1594" s="132"/>
      <c r="B1594" s="132"/>
      <c r="C1594" s="132"/>
      <c r="D1594" s="132"/>
      <c r="E1594" s="132"/>
      <c r="F1594" s="132"/>
      <c r="G1594" s="132"/>
      <c r="H1594" s="132"/>
      <c r="I1594" s="132"/>
      <c r="J1594" s="132"/>
      <c r="K1594" s="132"/>
      <c r="L1594" s="132"/>
    </row>
    <row r="1595" spans="1:12" x14ac:dyDescent="0.3">
      <c r="A1595" s="132"/>
      <c r="B1595" s="132"/>
      <c r="C1595" s="132"/>
      <c r="D1595" s="132"/>
      <c r="E1595" s="132"/>
      <c r="F1595" s="132"/>
      <c r="G1595" s="132"/>
      <c r="H1595" s="132"/>
      <c r="I1595" s="132"/>
      <c r="J1595" s="132"/>
      <c r="K1595" s="132"/>
      <c r="L1595" s="132"/>
    </row>
    <row r="1596" spans="1:12" x14ac:dyDescent="0.3">
      <c r="A1596" s="132"/>
      <c r="B1596" s="132"/>
      <c r="C1596" s="132"/>
      <c r="D1596" s="132"/>
      <c r="E1596" s="132"/>
      <c r="F1596" s="132"/>
      <c r="G1596" s="132"/>
      <c r="H1596" s="132"/>
      <c r="I1596" s="132"/>
      <c r="J1596" s="132"/>
      <c r="K1596" s="132"/>
      <c r="L1596" s="132"/>
    </row>
    <row r="1597" spans="1:12" x14ac:dyDescent="0.3">
      <c r="A1597" s="132"/>
      <c r="B1597" s="132"/>
      <c r="C1597" s="132"/>
      <c r="D1597" s="132"/>
      <c r="E1597" s="132"/>
      <c r="F1597" s="132"/>
      <c r="G1597" s="132"/>
      <c r="H1597" s="132"/>
      <c r="I1597" s="132"/>
      <c r="J1597" s="132"/>
      <c r="K1597" s="132"/>
      <c r="L1597" s="132"/>
    </row>
    <row r="1598" spans="1:12" x14ac:dyDescent="0.3">
      <c r="A1598" s="132"/>
      <c r="B1598" s="132"/>
      <c r="C1598" s="132"/>
      <c r="D1598" s="132"/>
      <c r="E1598" s="132"/>
      <c r="F1598" s="132"/>
      <c r="G1598" s="132"/>
      <c r="H1598" s="132"/>
      <c r="I1598" s="132"/>
      <c r="J1598" s="132"/>
      <c r="K1598" s="132"/>
      <c r="L1598" s="132"/>
    </row>
    <row r="1599" spans="1:12" x14ac:dyDescent="0.3">
      <c r="A1599" s="132"/>
      <c r="B1599" s="132"/>
      <c r="C1599" s="132"/>
      <c r="D1599" s="132"/>
      <c r="E1599" s="132"/>
      <c r="F1599" s="132"/>
      <c r="G1599" s="132"/>
      <c r="H1599" s="132"/>
      <c r="I1599" s="132"/>
      <c r="J1599" s="132"/>
      <c r="K1599" s="132"/>
      <c r="L1599" s="132"/>
    </row>
    <row r="1600" spans="1:12" x14ac:dyDescent="0.3">
      <c r="A1600" s="132"/>
      <c r="B1600" s="132"/>
      <c r="C1600" s="132"/>
      <c r="D1600" s="132"/>
      <c r="E1600" s="132"/>
      <c r="F1600" s="132"/>
      <c r="G1600" s="132"/>
      <c r="H1600" s="132"/>
      <c r="I1600" s="132"/>
      <c r="J1600" s="132"/>
      <c r="K1600" s="132"/>
      <c r="L1600" s="132"/>
    </row>
    <row r="1601" spans="1:12" x14ac:dyDescent="0.3">
      <c r="A1601" s="132"/>
      <c r="B1601" s="132"/>
      <c r="C1601" s="132"/>
      <c r="D1601" s="132"/>
      <c r="E1601" s="132"/>
      <c r="F1601" s="132"/>
      <c r="G1601" s="132"/>
      <c r="H1601" s="132"/>
      <c r="I1601" s="132"/>
      <c r="J1601" s="132"/>
      <c r="K1601" s="132"/>
      <c r="L1601" s="132"/>
    </row>
    <row r="1602" spans="1:12" x14ac:dyDescent="0.3">
      <c r="A1602" s="132"/>
      <c r="B1602" s="132"/>
      <c r="C1602" s="132"/>
      <c r="D1602" s="132"/>
      <c r="E1602" s="132"/>
      <c r="F1602" s="132"/>
      <c r="G1602" s="132"/>
      <c r="H1602" s="132"/>
      <c r="I1602" s="132"/>
      <c r="J1602" s="132"/>
      <c r="K1602" s="132"/>
      <c r="L1602" s="132"/>
    </row>
    <row r="1603" spans="1:12" x14ac:dyDescent="0.3">
      <c r="A1603" s="132"/>
      <c r="B1603" s="132"/>
      <c r="C1603" s="132"/>
      <c r="D1603" s="132"/>
      <c r="E1603" s="132"/>
      <c r="F1603" s="132"/>
      <c r="G1603" s="132"/>
      <c r="H1603" s="132"/>
      <c r="I1603" s="132"/>
      <c r="J1603" s="132"/>
      <c r="K1603" s="132"/>
      <c r="L1603" s="132"/>
    </row>
    <row r="1604" spans="1:12" x14ac:dyDescent="0.3">
      <c r="A1604" s="132"/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</row>
    <row r="1605" spans="1:12" x14ac:dyDescent="0.3">
      <c r="A1605" s="132"/>
      <c r="B1605" s="132"/>
      <c r="C1605" s="132"/>
      <c r="D1605" s="132"/>
      <c r="E1605" s="132"/>
      <c r="F1605" s="132"/>
      <c r="G1605" s="132"/>
      <c r="H1605" s="132"/>
      <c r="I1605" s="132"/>
      <c r="J1605" s="132"/>
      <c r="K1605" s="132"/>
      <c r="L1605" s="132"/>
    </row>
    <row r="1606" spans="1:12" x14ac:dyDescent="0.3">
      <c r="A1606" s="132"/>
      <c r="B1606" s="132"/>
      <c r="C1606" s="132"/>
      <c r="D1606" s="132"/>
      <c r="E1606" s="132"/>
      <c r="F1606" s="132"/>
      <c r="G1606" s="132"/>
      <c r="H1606" s="132"/>
      <c r="I1606" s="132"/>
      <c r="J1606" s="132"/>
      <c r="K1606" s="132"/>
      <c r="L1606" s="132"/>
    </row>
    <row r="1607" spans="1:12" x14ac:dyDescent="0.3">
      <c r="A1607" s="132"/>
      <c r="B1607" s="132"/>
      <c r="C1607" s="132"/>
      <c r="D1607" s="132"/>
      <c r="E1607" s="132"/>
      <c r="F1607" s="132"/>
      <c r="G1607" s="132"/>
      <c r="H1607" s="132"/>
      <c r="I1607" s="132"/>
      <c r="J1607" s="132"/>
      <c r="K1607" s="132"/>
      <c r="L1607" s="132"/>
    </row>
    <row r="1608" spans="1:12" x14ac:dyDescent="0.3">
      <c r="A1608" s="132"/>
      <c r="B1608" s="132"/>
      <c r="C1608" s="132"/>
      <c r="D1608" s="132"/>
      <c r="E1608" s="132"/>
      <c r="F1608" s="132"/>
      <c r="G1608" s="132"/>
      <c r="H1608" s="132"/>
      <c r="I1608" s="132"/>
      <c r="J1608" s="132"/>
      <c r="K1608" s="132"/>
      <c r="L1608" s="132"/>
    </row>
    <row r="1609" spans="1:12" x14ac:dyDescent="0.3">
      <c r="A1609" s="132"/>
      <c r="B1609" s="132"/>
      <c r="C1609" s="132"/>
      <c r="D1609" s="132"/>
      <c r="E1609" s="132"/>
      <c r="F1609" s="132"/>
      <c r="G1609" s="132"/>
      <c r="H1609" s="132"/>
      <c r="I1609" s="132"/>
      <c r="J1609" s="132"/>
      <c r="K1609" s="132"/>
      <c r="L1609" s="132"/>
    </row>
    <row r="1610" spans="1:12" x14ac:dyDescent="0.3">
      <c r="A1610" s="132"/>
      <c r="B1610" s="132"/>
      <c r="C1610" s="132"/>
      <c r="D1610" s="132"/>
      <c r="E1610" s="132"/>
      <c r="F1610" s="132"/>
      <c r="G1610" s="132"/>
      <c r="H1610" s="132"/>
      <c r="I1610" s="132"/>
      <c r="J1610" s="132"/>
      <c r="K1610" s="132"/>
      <c r="L1610" s="132"/>
    </row>
    <row r="1611" spans="1:12" x14ac:dyDescent="0.3">
      <c r="A1611" s="132"/>
      <c r="B1611" s="132"/>
      <c r="C1611" s="132"/>
      <c r="D1611" s="132"/>
      <c r="E1611" s="132"/>
      <c r="F1611" s="132"/>
      <c r="G1611" s="132"/>
      <c r="H1611" s="132"/>
      <c r="I1611" s="132"/>
      <c r="J1611" s="132"/>
      <c r="K1611" s="132"/>
      <c r="L1611" s="132"/>
    </row>
    <row r="1612" spans="1:12" x14ac:dyDescent="0.3">
      <c r="A1612" s="132"/>
      <c r="B1612" s="132"/>
      <c r="C1612" s="132"/>
      <c r="D1612" s="132"/>
      <c r="E1612" s="132"/>
      <c r="F1612" s="132"/>
      <c r="G1612" s="132"/>
      <c r="H1612" s="132"/>
      <c r="I1612" s="132"/>
      <c r="J1612" s="132"/>
      <c r="K1612" s="132"/>
      <c r="L1612" s="132"/>
    </row>
    <row r="1613" spans="1:12" x14ac:dyDescent="0.3">
      <c r="A1613" s="132"/>
      <c r="B1613" s="132"/>
      <c r="C1613" s="132"/>
      <c r="D1613" s="132"/>
      <c r="E1613" s="132"/>
      <c r="F1613" s="132"/>
      <c r="G1613" s="132"/>
      <c r="H1613" s="132"/>
      <c r="I1613" s="132"/>
      <c r="J1613" s="132"/>
      <c r="K1613" s="132"/>
      <c r="L1613" s="132"/>
    </row>
    <row r="1614" spans="1:12" x14ac:dyDescent="0.3">
      <c r="A1614" s="132"/>
      <c r="B1614" s="132"/>
      <c r="C1614" s="132"/>
      <c r="D1614" s="132"/>
      <c r="E1614" s="132"/>
      <c r="F1614" s="132"/>
      <c r="G1614" s="132"/>
      <c r="H1614" s="132"/>
      <c r="I1614" s="132"/>
      <c r="J1614" s="132"/>
      <c r="K1614" s="132"/>
      <c r="L1614" s="132"/>
    </row>
    <row r="1615" spans="1:12" x14ac:dyDescent="0.3">
      <c r="A1615" s="132"/>
      <c r="B1615" s="132"/>
      <c r="C1615" s="132"/>
      <c r="D1615" s="132"/>
      <c r="E1615" s="132"/>
      <c r="F1615" s="132"/>
      <c r="G1615" s="132"/>
      <c r="H1615" s="132"/>
      <c r="I1615" s="132"/>
      <c r="J1615" s="132"/>
      <c r="K1615" s="132"/>
      <c r="L1615" s="132"/>
    </row>
    <row r="1616" spans="1:12" x14ac:dyDescent="0.3">
      <c r="A1616" s="132"/>
      <c r="B1616" s="132"/>
      <c r="C1616" s="132"/>
      <c r="D1616" s="132"/>
      <c r="E1616" s="132"/>
      <c r="F1616" s="132"/>
      <c r="G1616" s="132"/>
      <c r="H1616" s="132"/>
      <c r="I1616" s="132"/>
      <c r="J1616" s="132"/>
      <c r="K1616" s="132"/>
      <c r="L1616" s="132"/>
    </row>
    <row r="1617" spans="1:12" x14ac:dyDescent="0.3">
      <c r="A1617" s="132"/>
      <c r="B1617" s="132"/>
      <c r="C1617" s="132"/>
      <c r="D1617" s="132"/>
      <c r="E1617" s="132"/>
      <c r="F1617" s="132"/>
      <c r="G1617" s="132"/>
      <c r="H1617" s="132"/>
      <c r="I1617" s="132"/>
      <c r="J1617" s="132"/>
      <c r="K1617" s="132"/>
      <c r="L1617" s="132"/>
    </row>
    <row r="1618" spans="1:12" x14ac:dyDescent="0.3">
      <c r="A1618" s="132"/>
      <c r="B1618" s="132"/>
      <c r="C1618" s="132"/>
      <c r="D1618" s="132"/>
      <c r="E1618" s="132"/>
      <c r="F1618" s="132"/>
      <c r="G1618" s="132"/>
      <c r="H1618" s="132"/>
      <c r="I1618" s="132"/>
      <c r="J1618" s="132"/>
      <c r="K1618" s="132"/>
      <c r="L1618" s="132"/>
    </row>
    <row r="1619" spans="1:12" x14ac:dyDescent="0.3">
      <c r="A1619" s="132"/>
      <c r="B1619" s="132"/>
      <c r="C1619" s="132"/>
      <c r="D1619" s="132"/>
      <c r="E1619" s="132"/>
      <c r="F1619" s="132"/>
      <c r="G1619" s="132"/>
      <c r="H1619" s="132"/>
      <c r="I1619" s="132"/>
      <c r="J1619" s="132"/>
      <c r="K1619" s="132"/>
      <c r="L1619" s="132"/>
    </row>
    <row r="1620" spans="1:12" x14ac:dyDescent="0.3">
      <c r="A1620" s="132"/>
      <c r="B1620" s="132"/>
      <c r="C1620" s="132"/>
      <c r="D1620" s="132"/>
      <c r="E1620" s="132"/>
      <c r="F1620" s="132"/>
      <c r="G1620" s="132"/>
      <c r="H1620" s="132"/>
      <c r="I1620" s="132"/>
      <c r="J1620" s="132"/>
      <c r="K1620" s="132"/>
      <c r="L1620" s="132"/>
    </row>
    <row r="1621" spans="1:12" x14ac:dyDescent="0.3">
      <c r="A1621" s="132"/>
      <c r="B1621" s="132"/>
      <c r="C1621" s="132"/>
      <c r="D1621" s="132"/>
      <c r="E1621" s="132"/>
      <c r="F1621" s="132"/>
      <c r="G1621" s="132"/>
      <c r="H1621" s="132"/>
      <c r="I1621" s="132"/>
      <c r="J1621" s="132"/>
      <c r="K1621" s="132"/>
      <c r="L1621" s="132"/>
    </row>
    <row r="1622" spans="1:12" x14ac:dyDescent="0.3">
      <c r="A1622" s="132"/>
      <c r="B1622" s="132"/>
      <c r="C1622" s="132"/>
      <c r="D1622" s="132"/>
      <c r="E1622" s="132"/>
      <c r="F1622" s="132"/>
      <c r="G1622" s="132"/>
      <c r="H1622" s="132"/>
      <c r="I1622" s="132"/>
      <c r="J1622" s="132"/>
      <c r="K1622" s="132"/>
      <c r="L1622" s="132"/>
    </row>
    <row r="1623" spans="1:12" x14ac:dyDescent="0.3">
      <c r="A1623" s="132"/>
      <c r="B1623" s="132"/>
      <c r="C1623" s="132"/>
      <c r="D1623" s="132"/>
      <c r="E1623" s="132"/>
      <c r="F1623" s="132"/>
      <c r="G1623" s="132"/>
      <c r="H1623" s="132"/>
      <c r="I1623" s="132"/>
      <c r="J1623" s="132"/>
      <c r="K1623" s="132"/>
      <c r="L1623" s="132"/>
    </row>
    <row r="1624" spans="1:12" x14ac:dyDescent="0.3">
      <c r="A1624" s="132"/>
      <c r="B1624" s="132"/>
      <c r="C1624" s="132"/>
      <c r="D1624" s="132"/>
      <c r="E1624" s="132"/>
      <c r="F1624" s="132"/>
      <c r="G1624" s="132"/>
      <c r="H1624" s="132"/>
      <c r="I1624" s="132"/>
      <c r="J1624" s="132"/>
      <c r="K1624" s="132"/>
      <c r="L1624" s="132"/>
    </row>
    <row r="1625" spans="1:12" x14ac:dyDescent="0.3">
      <c r="A1625" s="132"/>
      <c r="B1625" s="132"/>
      <c r="C1625" s="132"/>
      <c r="D1625" s="132"/>
      <c r="E1625" s="132"/>
      <c r="F1625" s="132"/>
      <c r="G1625" s="132"/>
      <c r="H1625" s="132"/>
      <c r="I1625" s="132"/>
      <c r="J1625" s="132"/>
      <c r="K1625" s="132"/>
      <c r="L1625" s="132"/>
    </row>
    <row r="1626" spans="1:12" x14ac:dyDescent="0.3">
      <c r="A1626" s="132"/>
      <c r="B1626" s="132"/>
      <c r="C1626" s="132"/>
      <c r="D1626" s="132"/>
      <c r="E1626" s="132"/>
      <c r="F1626" s="132"/>
      <c r="G1626" s="132"/>
      <c r="H1626" s="132"/>
      <c r="I1626" s="132"/>
      <c r="J1626" s="132"/>
      <c r="K1626" s="132"/>
      <c r="L1626" s="132"/>
    </row>
    <row r="1627" spans="1:12" x14ac:dyDescent="0.3">
      <c r="A1627" s="132"/>
      <c r="B1627" s="132"/>
      <c r="C1627" s="132"/>
      <c r="D1627" s="132"/>
      <c r="E1627" s="132"/>
      <c r="F1627" s="132"/>
      <c r="G1627" s="132"/>
      <c r="H1627" s="132"/>
      <c r="I1627" s="132"/>
      <c r="J1627" s="132"/>
      <c r="K1627" s="132"/>
      <c r="L1627" s="132"/>
    </row>
    <row r="1628" spans="1:12" x14ac:dyDescent="0.3">
      <c r="A1628" s="132"/>
      <c r="B1628" s="132"/>
      <c r="C1628" s="132"/>
      <c r="D1628" s="132"/>
      <c r="E1628" s="132"/>
      <c r="F1628" s="132"/>
      <c r="G1628" s="132"/>
      <c r="H1628" s="132"/>
      <c r="I1628" s="132"/>
      <c r="J1628" s="132"/>
      <c r="K1628" s="132"/>
      <c r="L1628" s="132"/>
    </row>
    <row r="1629" spans="1:12" x14ac:dyDescent="0.3">
      <c r="A1629" s="132"/>
      <c r="B1629" s="132"/>
      <c r="C1629" s="132"/>
      <c r="D1629" s="132"/>
      <c r="E1629" s="132"/>
      <c r="F1629" s="132"/>
      <c r="G1629" s="132"/>
      <c r="H1629" s="132"/>
      <c r="I1629" s="132"/>
      <c r="J1629" s="132"/>
      <c r="K1629" s="132"/>
      <c r="L1629" s="132"/>
    </row>
    <row r="1630" spans="1:12" x14ac:dyDescent="0.3">
      <c r="A1630" s="132"/>
      <c r="B1630" s="132"/>
      <c r="C1630" s="132"/>
      <c r="D1630" s="132"/>
      <c r="E1630" s="132"/>
      <c r="F1630" s="132"/>
      <c r="G1630" s="132"/>
      <c r="H1630" s="132"/>
      <c r="I1630" s="132"/>
      <c r="J1630" s="132"/>
      <c r="K1630" s="132"/>
      <c r="L1630" s="132"/>
    </row>
    <row r="1631" spans="1:12" x14ac:dyDescent="0.3">
      <c r="A1631" s="132"/>
      <c r="B1631" s="132"/>
      <c r="C1631" s="132"/>
      <c r="D1631" s="132"/>
      <c r="E1631" s="132"/>
      <c r="F1631" s="132"/>
      <c r="G1631" s="132"/>
      <c r="H1631" s="132"/>
      <c r="I1631" s="132"/>
      <c r="J1631" s="132"/>
      <c r="K1631" s="132"/>
      <c r="L1631" s="132"/>
    </row>
    <row r="1632" spans="1:12" x14ac:dyDescent="0.3">
      <c r="A1632" s="132"/>
      <c r="B1632" s="132"/>
      <c r="C1632" s="132"/>
      <c r="D1632" s="132"/>
      <c r="E1632" s="132"/>
      <c r="F1632" s="132"/>
      <c r="G1632" s="132"/>
      <c r="H1632" s="132"/>
      <c r="I1632" s="132"/>
      <c r="J1632" s="132"/>
      <c r="K1632" s="132"/>
      <c r="L1632" s="132"/>
    </row>
    <row r="1633" spans="1:12" x14ac:dyDescent="0.3">
      <c r="A1633" s="132"/>
      <c r="B1633" s="132"/>
      <c r="C1633" s="132"/>
      <c r="D1633" s="132"/>
      <c r="E1633" s="132"/>
      <c r="F1633" s="132"/>
      <c r="G1633" s="132"/>
      <c r="H1633" s="132"/>
      <c r="I1633" s="132"/>
      <c r="J1633" s="132"/>
      <c r="K1633" s="132"/>
      <c r="L1633" s="132"/>
    </row>
    <row r="1634" spans="1:12" x14ac:dyDescent="0.3">
      <c r="A1634" s="132"/>
      <c r="B1634" s="132"/>
      <c r="C1634" s="132"/>
      <c r="D1634" s="132"/>
      <c r="E1634" s="132"/>
      <c r="F1634" s="132"/>
      <c r="G1634" s="132"/>
      <c r="H1634" s="132"/>
      <c r="I1634" s="132"/>
      <c r="J1634" s="132"/>
      <c r="K1634" s="132"/>
      <c r="L1634" s="132"/>
    </row>
    <row r="1635" spans="1:12" x14ac:dyDescent="0.3">
      <c r="A1635" s="132"/>
      <c r="B1635" s="132"/>
      <c r="C1635" s="132"/>
      <c r="D1635" s="132"/>
      <c r="E1635" s="132"/>
      <c r="F1635" s="132"/>
      <c r="G1635" s="132"/>
      <c r="H1635" s="132"/>
      <c r="I1635" s="132"/>
      <c r="J1635" s="132"/>
      <c r="K1635" s="132"/>
      <c r="L1635" s="132"/>
    </row>
    <row r="1636" spans="1:12" x14ac:dyDescent="0.3">
      <c r="A1636" s="132"/>
      <c r="B1636" s="132"/>
      <c r="C1636" s="132"/>
      <c r="D1636" s="132"/>
      <c r="E1636" s="132"/>
      <c r="F1636" s="132"/>
      <c r="G1636" s="132"/>
      <c r="H1636" s="132"/>
      <c r="I1636" s="132"/>
      <c r="J1636" s="132"/>
      <c r="K1636" s="132"/>
      <c r="L1636" s="132"/>
    </row>
    <row r="1637" spans="1:12" x14ac:dyDescent="0.3">
      <c r="A1637" s="132"/>
      <c r="B1637" s="132"/>
      <c r="C1637" s="132"/>
      <c r="D1637" s="132"/>
      <c r="E1637" s="132"/>
      <c r="F1637" s="132"/>
      <c r="G1637" s="132"/>
      <c r="H1637" s="132"/>
      <c r="I1637" s="132"/>
      <c r="J1637" s="132"/>
      <c r="K1637" s="132"/>
      <c r="L1637" s="132"/>
    </row>
    <row r="1638" spans="1:12" x14ac:dyDescent="0.3">
      <c r="A1638" s="132"/>
      <c r="B1638" s="132"/>
      <c r="C1638" s="132"/>
      <c r="D1638" s="132"/>
      <c r="E1638" s="132"/>
      <c r="F1638" s="132"/>
      <c r="G1638" s="132"/>
      <c r="H1638" s="132"/>
      <c r="I1638" s="132"/>
      <c r="J1638" s="132"/>
      <c r="K1638" s="132"/>
      <c r="L1638" s="132"/>
    </row>
    <row r="1639" spans="1:12" x14ac:dyDescent="0.3">
      <c r="A1639" s="132"/>
      <c r="B1639" s="132"/>
      <c r="C1639" s="132"/>
      <c r="D1639" s="132"/>
      <c r="E1639" s="132"/>
      <c r="F1639" s="132"/>
      <c r="G1639" s="132"/>
      <c r="H1639" s="132"/>
      <c r="I1639" s="132"/>
      <c r="J1639" s="132"/>
      <c r="K1639" s="132"/>
      <c r="L1639" s="132"/>
    </row>
    <row r="1640" spans="1:12" x14ac:dyDescent="0.3">
      <c r="A1640" s="132"/>
      <c r="B1640" s="132"/>
      <c r="C1640" s="132"/>
      <c r="D1640" s="132"/>
      <c r="E1640" s="132"/>
      <c r="F1640" s="132"/>
      <c r="G1640" s="132"/>
      <c r="H1640" s="132"/>
      <c r="I1640" s="132"/>
      <c r="J1640" s="132"/>
      <c r="K1640" s="132"/>
      <c r="L1640" s="132"/>
    </row>
    <row r="1641" spans="1:12" x14ac:dyDescent="0.3">
      <c r="A1641" s="132"/>
      <c r="B1641" s="132"/>
      <c r="C1641" s="132"/>
      <c r="D1641" s="132"/>
      <c r="E1641" s="132"/>
      <c r="F1641" s="132"/>
      <c r="G1641" s="132"/>
      <c r="H1641" s="132"/>
      <c r="I1641" s="132"/>
      <c r="J1641" s="132"/>
      <c r="K1641" s="132"/>
      <c r="L1641" s="132"/>
    </row>
    <row r="1642" spans="1:12" x14ac:dyDescent="0.3">
      <c r="A1642" s="132"/>
      <c r="B1642" s="132"/>
      <c r="C1642" s="132"/>
      <c r="D1642" s="132"/>
      <c r="E1642" s="132"/>
      <c r="F1642" s="132"/>
      <c r="G1642" s="132"/>
      <c r="H1642" s="132"/>
      <c r="I1642" s="132"/>
      <c r="J1642" s="132"/>
      <c r="K1642" s="132"/>
      <c r="L1642" s="132"/>
    </row>
    <row r="1643" spans="1:12" x14ac:dyDescent="0.3">
      <c r="A1643" s="132"/>
      <c r="B1643" s="132"/>
      <c r="C1643" s="132"/>
      <c r="D1643" s="132"/>
      <c r="E1643" s="132"/>
      <c r="F1643" s="132"/>
      <c r="G1643" s="132"/>
      <c r="H1643" s="132"/>
      <c r="I1643" s="132"/>
      <c r="J1643" s="132"/>
      <c r="K1643" s="132"/>
      <c r="L1643" s="132"/>
    </row>
    <row r="1644" spans="1:12" x14ac:dyDescent="0.3">
      <c r="A1644" s="132"/>
      <c r="B1644" s="132"/>
      <c r="C1644" s="132"/>
      <c r="D1644" s="132"/>
      <c r="E1644" s="132"/>
      <c r="F1644" s="132"/>
      <c r="G1644" s="132"/>
      <c r="H1644" s="132"/>
      <c r="I1644" s="132"/>
      <c r="J1644" s="132"/>
      <c r="K1644" s="132"/>
      <c r="L1644" s="132"/>
    </row>
    <row r="1645" spans="1:12" x14ac:dyDescent="0.3">
      <c r="A1645" s="132"/>
      <c r="B1645" s="132"/>
      <c r="C1645" s="132"/>
      <c r="D1645" s="132"/>
      <c r="E1645" s="132"/>
      <c r="F1645" s="132"/>
      <c r="G1645" s="132"/>
      <c r="H1645" s="132"/>
      <c r="I1645" s="132"/>
      <c r="J1645" s="132"/>
      <c r="K1645" s="132"/>
      <c r="L1645" s="132"/>
    </row>
    <row r="1646" spans="1:12" x14ac:dyDescent="0.3">
      <c r="A1646" s="132"/>
      <c r="B1646" s="132"/>
      <c r="C1646" s="132"/>
      <c r="D1646" s="132"/>
      <c r="E1646" s="132"/>
      <c r="F1646" s="132"/>
      <c r="G1646" s="132"/>
      <c r="H1646" s="132"/>
      <c r="I1646" s="132"/>
      <c r="J1646" s="132"/>
      <c r="K1646" s="132"/>
      <c r="L1646" s="132"/>
    </row>
    <row r="1647" spans="1:12" x14ac:dyDescent="0.3">
      <c r="A1647" s="132"/>
      <c r="B1647" s="132"/>
      <c r="C1647" s="132"/>
      <c r="D1647" s="132"/>
      <c r="E1647" s="132"/>
      <c r="F1647" s="132"/>
      <c r="G1647" s="132"/>
      <c r="H1647" s="132"/>
      <c r="I1647" s="132"/>
      <c r="J1647" s="132"/>
      <c r="K1647" s="132"/>
      <c r="L1647" s="132"/>
    </row>
    <row r="1648" spans="1:12" x14ac:dyDescent="0.3">
      <c r="A1648" s="132"/>
      <c r="B1648" s="132"/>
      <c r="C1648" s="132"/>
      <c r="D1648" s="132"/>
      <c r="E1648" s="132"/>
      <c r="F1648" s="132"/>
      <c r="G1648" s="132"/>
      <c r="H1648" s="132"/>
      <c r="I1648" s="132"/>
      <c r="J1648" s="132"/>
      <c r="K1648" s="132"/>
      <c r="L1648" s="132"/>
    </row>
    <row r="1649" spans="1:12" x14ac:dyDescent="0.3">
      <c r="A1649" s="132"/>
      <c r="B1649" s="132"/>
      <c r="C1649" s="132"/>
      <c r="D1649" s="132"/>
      <c r="E1649" s="132"/>
      <c r="F1649" s="132"/>
      <c r="G1649" s="132"/>
      <c r="H1649" s="132"/>
      <c r="I1649" s="132"/>
      <c r="J1649" s="132"/>
      <c r="K1649" s="132"/>
      <c r="L1649" s="132"/>
    </row>
    <row r="1650" spans="1:12" x14ac:dyDescent="0.3">
      <c r="A1650" s="132"/>
      <c r="B1650" s="132"/>
      <c r="C1650" s="132"/>
      <c r="D1650" s="132"/>
      <c r="E1650" s="132"/>
      <c r="F1650" s="132"/>
      <c r="G1650" s="132"/>
      <c r="H1650" s="132"/>
      <c r="I1650" s="132"/>
      <c r="J1650" s="132"/>
      <c r="K1650" s="132"/>
      <c r="L1650" s="132"/>
    </row>
    <row r="1651" spans="1:12" x14ac:dyDescent="0.3">
      <c r="A1651" s="132"/>
      <c r="B1651" s="132"/>
      <c r="C1651" s="132"/>
      <c r="D1651" s="132"/>
      <c r="E1651" s="132"/>
      <c r="F1651" s="132"/>
      <c r="G1651" s="132"/>
      <c r="H1651" s="132"/>
      <c r="I1651" s="132"/>
      <c r="J1651" s="132"/>
      <c r="K1651" s="132"/>
      <c r="L1651" s="132"/>
    </row>
    <row r="1652" spans="1:12" x14ac:dyDescent="0.3">
      <c r="A1652" s="132"/>
      <c r="B1652" s="132"/>
      <c r="C1652" s="132"/>
      <c r="D1652" s="132"/>
      <c r="E1652" s="132"/>
      <c r="F1652" s="132"/>
      <c r="G1652" s="132"/>
      <c r="H1652" s="132"/>
      <c r="I1652" s="132"/>
      <c r="J1652" s="132"/>
      <c r="K1652" s="132"/>
      <c r="L1652" s="132"/>
    </row>
    <row r="1653" spans="1:12" x14ac:dyDescent="0.3">
      <c r="A1653" s="132"/>
      <c r="B1653" s="132"/>
      <c r="C1653" s="132"/>
      <c r="D1653" s="132"/>
      <c r="E1653" s="132"/>
      <c r="F1653" s="132"/>
      <c r="G1653" s="132"/>
      <c r="H1653" s="132"/>
      <c r="I1653" s="132"/>
      <c r="J1653" s="132"/>
      <c r="K1653" s="132"/>
      <c r="L1653" s="132"/>
    </row>
    <row r="1654" spans="1:12" x14ac:dyDescent="0.3">
      <c r="A1654" s="132"/>
      <c r="B1654" s="132"/>
      <c r="C1654" s="132"/>
      <c r="D1654" s="132"/>
      <c r="E1654" s="132"/>
      <c r="F1654" s="132"/>
      <c r="G1654" s="132"/>
      <c r="H1654" s="132"/>
      <c r="I1654" s="132"/>
      <c r="J1654" s="132"/>
      <c r="K1654" s="132"/>
      <c r="L1654" s="132"/>
    </row>
    <row r="1655" spans="1:12" x14ac:dyDescent="0.3">
      <c r="A1655" s="132"/>
      <c r="B1655" s="132"/>
      <c r="C1655" s="132"/>
      <c r="D1655" s="132"/>
      <c r="E1655" s="132"/>
      <c r="F1655" s="132"/>
      <c r="G1655" s="132"/>
      <c r="H1655" s="132"/>
      <c r="I1655" s="132"/>
      <c r="J1655" s="132"/>
      <c r="K1655" s="132"/>
      <c r="L1655" s="132"/>
    </row>
    <row r="1656" spans="1:12" x14ac:dyDescent="0.3">
      <c r="A1656" s="132"/>
      <c r="B1656" s="132"/>
      <c r="C1656" s="132"/>
      <c r="D1656" s="132"/>
      <c r="E1656" s="132"/>
      <c r="F1656" s="132"/>
      <c r="G1656" s="132"/>
      <c r="H1656" s="132"/>
      <c r="I1656" s="132"/>
      <c r="J1656" s="132"/>
      <c r="K1656" s="132"/>
      <c r="L1656" s="132"/>
    </row>
    <row r="1657" spans="1:12" x14ac:dyDescent="0.3">
      <c r="A1657" s="132"/>
      <c r="B1657" s="132"/>
      <c r="C1657" s="132"/>
      <c r="D1657" s="132"/>
      <c r="E1657" s="132"/>
      <c r="F1657" s="132"/>
      <c r="G1657" s="132"/>
      <c r="H1657" s="132"/>
      <c r="I1657" s="132"/>
      <c r="J1657" s="132"/>
      <c r="K1657" s="132"/>
      <c r="L1657" s="132"/>
    </row>
    <row r="1658" spans="1:12" x14ac:dyDescent="0.3">
      <c r="A1658" s="132"/>
      <c r="B1658" s="132"/>
      <c r="C1658" s="132"/>
      <c r="D1658" s="132"/>
      <c r="E1658" s="132"/>
      <c r="F1658" s="132"/>
      <c r="G1658" s="132"/>
      <c r="H1658" s="132"/>
      <c r="I1658" s="132"/>
      <c r="J1658" s="132"/>
      <c r="K1658" s="132"/>
      <c r="L1658" s="132"/>
    </row>
    <row r="1659" spans="1:12" x14ac:dyDescent="0.3">
      <c r="A1659" s="132"/>
      <c r="B1659" s="132"/>
      <c r="C1659" s="132"/>
      <c r="D1659" s="132"/>
      <c r="E1659" s="132"/>
      <c r="F1659" s="132"/>
      <c r="G1659" s="132"/>
      <c r="H1659" s="132"/>
      <c r="I1659" s="132"/>
      <c r="J1659" s="132"/>
      <c r="K1659" s="132"/>
      <c r="L1659" s="132"/>
    </row>
    <row r="1660" spans="1:12" x14ac:dyDescent="0.3">
      <c r="A1660" s="132"/>
      <c r="B1660" s="132"/>
      <c r="C1660" s="132"/>
      <c r="D1660" s="132"/>
      <c r="E1660" s="132"/>
      <c r="F1660" s="132"/>
      <c r="G1660" s="132"/>
      <c r="H1660" s="132"/>
      <c r="I1660" s="132"/>
      <c r="J1660" s="132"/>
      <c r="K1660" s="132"/>
      <c r="L1660" s="132"/>
    </row>
    <row r="1661" spans="1:12" x14ac:dyDescent="0.3">
      <c r="A1661" s="132"/>
      <c r="B1661" s="132"/>
      <c r="C1661" s="132"/>
      <c r="D1661" s="132"/>
      <c r="E1661" s="132"/>
      <c r="F1661" s="132"/>
      <c r="G1661" s="132"/>
      <c r="H1661" s="132"/>
      <c r="I1661" s="132"/>
      <c r="J1661" s="132"/>
      <c r="K1661" s="132"/>
      <c r="L1661" s="132"/>
    </row>
    <row r="1662" spans="1:12" x14ac:dyDescent="0.3">
      <c r="A1662" s="132"/>
      <c r="B1662" s="132"/>
      <c r="C1662" s="132"/>
      <c r="D1662" s="132"/>
      <c r="E1662" s="132"/>
      <c r="F1662" s="132"/>
      <c r="G1662" s="132"/>
      <c r="H1662" s="132"/>
      <c r="I1662" s="132"/>
      <c r="J1662" s="132"/>
      <c r="K1662" s="132"/>
      <c r="L1662" s="132"/>
    </row>
    <row r="1663" spans="1:12" x14ac:dyDescent="0.3">
      <c r="A1663" s="132"/>
      <c r="B1663" s="132"/>
      <c r="C1663" s="132"/>
      <c r="D1663" s="132"/>
      <c r="E1663" s="132"/>
      <c r="F1663" s="132"/>
      <c r="G1663" s="132"/>
      <c r="H1663" s="132"/>
      <c r="I1663" s="132"/>
      <c r="J1663" s="132"/>
      <c r="K1663" s="132"/>
      <c r="L1663" s="132"/>
    </row>
    <row r="1664" spans="1:12" x14ac:dyDescent="0.3">
      <c r="A1664" s="132"/>
      <c r="B1664" s="132"/>
      <c r="C1664" s="132"/>
      <c r="D1664" s="132"/>
      <c r="E1664" s="132"/>
      <c r="F1664" s="132"/>
      <c r="G1664" s="132"/>
      <c r="H1664" s="132"/>
      <c r="I1664" s="132"/>
      <c r="J1664" s="132"/>
      <c r="K1664" s="132"/>
      <c r="L1664" s="132"/>
    </row>
    <row r="1665" spans="1:12" x14ac:dyDescent="0.3">
      <c r="A1665" s="132"/>
      <c r="B1665" s="132"/>
      <c r="C1665" s="132"/>
      <c r="D1665" s="132"/>
      <c r="E1665" s="132"/>
      <c r="F1665" s="132"/>
      <c r="G1665" s="132"/>
      <c r="H1665" s="132"/>
      <c r="I1665" s="132"/>
      <c r="J1665" s="132"/>
      <c r="K1665" s="132"/>
      <c r="L1665" s="132"/>
    </row>
    <row r="1666" spans="1:12" x14ac:dyDescent="0.3">
      <c r="A1666" s="132"/>
      <c r="B1666" s="132"/>
      <c r="C1666" s="132"/>
      <c r="D1666" s="132"/>
      <c r="E1666" s="132"/>
      <c r="F1666" s="132"/>
      <c r="G1666" s="132"/>
      <c r="H1666" s="132"/>
      <c r="I1666" s="132"/>
      <c r="J1666" s="132"/>
      <c r="K1666" s="132"/>
      <c r="L1666" s="132"/>
    </row>
    <row r="1667" spans="1:12" x14ac:dyDescent="0.3">
      <c r="A1667" s="132"/>
      <c r="B1667" s="132"/>
      <c r="C1667" s="132"/>
      <c r="D1667" s="132"/>
      <c r="E1667" s="132"/>
      <c r="F1667" s="132"/>
      <c r="G1667" s="132"/>
      <c r="H1667" s="132"/>
      <c r="I1667" s="132"/>
      <c r="J1667" s="132"/>
      <c r="K1667" s="132"/>
      <c r="L1667" s="132"/>
    </row>
    <row r="1668" spans="1:12" x14ac:dyDescent="0.3">
      <c r="A1668" s="132"/>
      <c r="B1668" s="132"/>
      <c r="C1668" s="132"/>
      <c r="D1668" s="132"/>
      <c r="E1668" s="132"/>
      <c r="F1668" s="132"/>
      <c r="G1668" s="132"/>
      <c r="H1668" s="132"/>
      <c r="I1668" s="132"/>
      <c r="J1668" s="132"/>
      <c r="K1668" s="132"/>
      <c r="L1668" s="132"/>
    </row>
    <row r="1669" spans="1:12" x14ac:dyDescent="0.3">
      <c r="A1669" s="132"/>
      <c r="B1669" s="132"/>
      <c r="C1669" s="132"/>
      <c r="D1669" s="132"/>
      <c r="E1669" s="132"/>
      <c r="F1669" s="132"/>
      <c r="G1669" s="132"/>
      <c r="H1669" s="132"/>
      <c r="I1669" s="132"/>
      <c r="J1669" s="132"/>
      <c r="K1669" s="132"/>
      <c r="L1669" s="132"/>
    </row>
    <row r="1670" spans="1:12" x14ac:dyDescent="0.3">
      <c r="A1670" s="132"/>
      <c r="B1670" s="132"/>
      <c r="C1670" s="132"/>
      <c r="D1670" s="132"/>
      <c r="E1670" s="132"/>
      <c r="F1670" s="132"/>
      <c r="G1670" s="132"/>
      <c r="H1670" s="132"/>
      <c r="I1670" s="132"/>
      <c r="J1670" s="132"/>
      <c r="K1670" s="132"/>
      <c r="L1670" s="132"/>
    </row>
    <row r="1671" spans="1:12" x14ac:dyDescent="0.3">
      <c r="A1671" s="132"/>
      <c r="B1671" s="132"/>
      <c r="C1671" s="132"/>
      <c r="D1671" s="132"/>
      <c r="E1671" s="132"/>
      <c r="F1671" s="132"/>
      <c r="G1671" s="132"/>
      <c r="H1671" s="132"/>
      <c r="I1671" s="132"/>
      <c r="J1671" s="132"/>
      <c r="K1671" s="132"/>
      <c r="L1671" s="132"/>
    </row>
    <row r="1672" spans="1:12" x14ac:dyDescent="0.3">
      <c r="A1672" s="132"/>
      <c r="B1672" s="132"/>
      <c r="C1672" s="132"/>
      <c r="D1672" s="132"/>
      <c r="E1672" s="132"/>
      <c r="F1672" s="132"/>
      <c r="G1672" s="132"/>
      <c r="H1672" s="132"/>
      <c r="I1672" s="132"/>
      <c r="J1672" s="132"/>
      <c r="K1672" s="132"/>
      <c r="L1672" s="132"/>
    </row>
    <row r="1673" spans="1:12" x14ac:dyDescent="0.3">
      <c r="A1673" s="132"/>
      <c r="B1673" s="132"/>
      <c r="C1673" s="132"/>
      <c r="D1673" s="132"/>
      <c r="E1673" s="132"/>
      <c r="F1673" s="132"/>
      <c r="G1673" s="132"/>
      <c r="H1673" s="132"/>
      <c r="I1673" s="132"/>
      <c r="J1673" s="132"/>
      <c r="K1673" s="132"/>
      <c r="L1673" s="132"/>
    </row>
    <row r="1674" spans="1:12" x14ac:dyDescent="0.3">
      <c r="A1674" s="132"/>
      <c r="B1674" s="132"/>
      <c r="C1674" s="132"/>
      <c r="D1674" s="132"/>
      <c r="E1674" s="132"/>
      <c r="F1674" s="132"/>
      <c r="G1674" s="132"/>
      <c r="H1674" s="132"/>
      <c r="I1674" s="132"/>
      <c r="J1674" s="132"/>
      <c r="K1674" s="132"/>
      <c r="L1674" s="132"/>
    </row>
    <row r="1675" spans="1:12" x14ac:dyDescent="0.3">
      <c r="A1675" s="132"/>
      <c r="B1675" s="132"/>
      <c r="C1675" s="132"/>
      <c r="D1675" s="132"/>
      <c r="E1675" s="132"/>
      <c r="F1675" s="132"/>
      <c r="G1675" s="132"/>
      <c r="H1675" s="132"/>
      <c r="I1675" s="132"/>
      <c r="J1675" s="132"/>
      <c r="K1675" s="132"/>
      <c r="L1675" s="132"/>
    </row>
    <row r="1676" spans="1:12" x14ac:dyDescent="0.3">
      <c r="A1676" s="132"/>
      <c r="B1676" s="132"/>
      <c r="C1676" s="132"/>
      <c r="D1676" s="132"/>
      <c r="E1676" s="132"/>
      <c r="F1676" s="132"/>
      <c r="G1676" s="132"/>
      <c r="H1676" s="132"/>
      <c r="I1676" s="132"/>
      <c r="J1676" s="132"/>
      <c r="K1676" s="132"/>
      <c r="L1676" s="132"/>
    </row>
    <row r="1677" spans="1:12" x14ac:dyDescent="0.3">
      <c r="A1677" s="132"/>
      <c r="B1677" s="132"/>
      <c r="C1677" s="132"/>
      <c r="D1677" s="132"/>
      <c r="E1677" s="132"/>
      <c r="F1677" s="132"/>
      <c r="G1677" s="132"/>
      <c r="H1677" s="132"/>
      <c r="I1677" s="132"/>
      <c r="J1677" s="132"/>
      <c r="K1677" s="132"/>
      <c r="L1677" s="132"/>
    </row>
    <row r="1678" spans="1:12" x14ac:dyDescent="0.3">
      <c r="A1678" s="132"/>
      <c r="B1678" s="132"/>
      <c r="C1678" s="132"/>
      <c r="D1678" s="132"/>
      <c r="E1678" s="132"/>
      <c r="F1678" s="132"/>
      <c r="G1678" s="132"/>
      <c r="H1678" s="132"/>
      <c r="I1678" s="132"/>
      <c r="J1678" s="132"/>
      <c r="K1678" s="132"/>
      <c r="L1678" s="132"/>
    </row>
    <row r="1679" spans="1:12" x14ac:dyDescent="0.3">
      <c r="A1679" s="132"/>
      <c r="B1679" s="132"/>
      <c r="C1679" s="132"/>
      <c r="D1679" s="132"/>
      <c r="E1679" s="132"/>
      <c r="F1679" s="132"/>
      <c r="G1679" s="132"/>
      <c r="H1679" s="132"/>
      <c r="I1679" s="132"/>
      <c r="J1679" s="132"/>
      <c r="K1679" s="132"/>
      <c r="L1679" s="132"/>
    </row>
    <row r="1680" spans="1:12" x14ac:dyDescent="0.3">
      <c r="A1680" s="132"/>
      <c r="B1680" s="132"/>
      <c r="C1680" s="132"/>
      <c r="D1680" s="132"/>
      <c r="E1680" s="132"/>
      <c r="F1680" s="132"/>
      <c r="G1680" s="132"/>
      <c r="H1680" s="132"/>
      <c r="I1680" s="132"/>
      <c r="J1680" s="132"/>
      <c r="K1680" s="132"/>
      <c r="L1680" s="132"/>
    </row>
    <row r="1681" spans="1:12" x14ac:dyDescent="0.3">
      <c r="A1681" s="132"/>
      <c r="B1681" s="132"/>
      <c r="C1681" s="132"/>
      <c r="D1681" s="132"/>
      <c r="E1681" s="132"/>
      <c r="F1681" s="132"/>
      <c r="G1681" s="132"/>
      <c r="H1681" s="132"/>
      <c r="I1681" s="132"/>
      <c r="J1681" s="132"/>
      <c r="K1681" s="132"/>
      <c r="L1681" s="132"/>
    </row>
    <row r="1682" spans="1:12" x14ac:dyDescent="0.3">
      <c r="A1682" s="132"/>
      <c r="B1682" s="132"/>
      <c r="C1682" s="132"/>
      <c r="D1682" s="132"/>
      <c r="E1682" s="132"/>
      <c r="F1682" s="132"/>
      <c r="G1682" s="132"/>
      <c r="H1682" s="132"/>
      <c r="I1682" s="132"/>
      <c r="J1682" s="132"/>
      <c r="K1682" s="132"/>
      <c r="L1682" s="132"/>
    </row>
    <row r="1683" spans="1:12" x14ac:dyDescent="0.3">
      <c r="A1683" s="132"/>
      <c r="B1683" s="132"/>
      <c r="C1683" s="132"/>
      <c r="D1683" s="132"/>
      <c r="E1683" s="132"/>
      <c r="F1683" s="132"/>
      <c r="G1683" s="132"/>
      <c r="H1683" s="132"/>
      <c r="I1683" s="132"/>
      <c r="J1683" s="132"/>
      <c r="K1683" s="132"/>
      <c r="L1683" s="132"/>
    </row>
    <row r="1684" spans="1:12" x14ac:dyDescent="0.3">
      <c r="A1684" s="132"/>
      <c r="B1684" s="132"/>
      <c r="C1684" s="132"/>
      <c r="D1684" s="132"/>
      <c r="E1684" s="132"/>
      <c r="F1684" s="132"/>
      <c r="G1684" s="132"/>
      <c r="H1684" s="132"/>
      <c r="I1684" s="132"/>
      <c r="J1684" s="132"/>
      <c r="K1684" s="132"/>
      <c r="L1684" s="132"/>
    </row>
    <row r="1685" spans="1:12" x14ac:dyDescent="0.3">
      <c r="A1685" s="132"/>
      <c r="B1685" s="132"/>
      <c r="C1685" s="132"/>
      <c r="D1685" s="132"/>
      <c r="E1685" s="132"/>
      <c r="F1685" s="132"/>
      <c r="G1685" s="132"/>
      <c r="H1685" s="132"/>
      <c r="I1685" s="132"/>
      <c r="J1685" s="132"/>
      <c r="K1685" s="132"/>
      <c r="L1685" s="132"/>
    </row>
    <row r="1686" spans="1:12" x14ac:dyDescent="0.3">
      <c r="A1686" s="132"/>
      <c r="B1686" s="132"/>
      <c r="C1686" s="132"/>
      <c r="D1686" s="132"/>
      <c r="E1686" s="132"/>
      <c r="F1686" s="132"/>
      <c r="G1686" s="132"/>
      <c r="H1686" s="132"/>
      <c r="I1686" s="132"/>
      <c r="J1686" s="132"/>
      <c r="K1686" s="132"/>
      <c r="L1686" s="132"/>
    </row>
    <row r="1687" spans="1:12" x14ac:dyDescent="0.3">
      <c r="A1687" s="132"/>
      <c r="B1687" s="132"/>
      <c r="C1687" s="132"/>
      <c r="D1687" s="132"/>
      <c r="E1687" s="132"/>
      <c r="F1687" s="132"/>
      <c r="G1687" s="132"/>
      <c r="H1687" s="132"/>
      <c r="I1687" s="132"/>
      <c r="J1687" s="132"/>
      <c r="K1687" s="132"/>
      <c r="L1687" s="132"/>
    </row>
    <row r="1688" spans="1:12" x14ac:dyDescent="0.3">
      <c r="A1688" s="132"/>
      <c r="B1688" s="132"/>
      <c r="C1688" s="132"/>
      <c r="D1688" s="132"/>
      <c r="E1688" s="132"/>
      <c r="F1688" s="132"/>
      <c r="G1688" s="132"/>
      <c r="H1688" s="132"/>
      <c r="I1688" s="132"/>
      <c r="J1688" s="132"/>
      <c r="K1688" s="132"/>
      <c r="L1688" s="132"/>
    </row>
    <row r="1689" spans="1:12" x14ac:dyDescent="0.3">
      <c r="A1689" s="132"/>
      <c r="B1689" s="132"/>
      <c r="C1689" s="132"/>
      <c r="D1689" s="132"/>
      <c r="E1689" s="132"/>
      <c r="F1689" s="132"/>
      <c r="G1689" s="132"/>
      <c r="H1689" s="132"/>
      <c r="I1689" s="132"/>
      <c r="J1689" s="132"/>
      <c r="K1689" s="132"/>
      <c r="L1689" s="132"/>
    </row>
    <row r="1690" spans="1:12" x14ac:dyDescent="0.3">
      <c r="A1690" s="132"/>
      <c r="B1690" s="132"/>
      <c r="C1690" s="132"/>
      <c r="D1690" s="132"/>
      <c r="E1690" s="132"/>
      <c r="F1690" s="132"/>
      <c r="G1690" s="132"/>
      <c r="H1690" s="132"/>
      <c r="I1690" s="132"/>
      <c r="J1690" s="132"/>
      <c r="K1690" s="132"/>
      <c r="L1690" s="132"/>
    </row>
    <row r="1691" spans="1:12" x14ac:dyDescent="0.3">
      <c r="A1691" s="132"/>
      <c r="B1691" s="132"/>
      <c r="C1691" s="132"/>
      <c r="D1691" s="132"/>
      <c r="E1691" s="132"/>
      <c r="F1691" s="132"/>
      <c r="G1691" s="132"/>
      <c r="H1691" s="132"/>
      <c r="I1691" s="132"/>
      <c r="J1691" s="132"/>
      <c r="K1691" s="132"/>
      <c r="L1691" s="132"/>
    </row>
    <row r="1692" spans="1:12" x14ac:dyDescent="0.3">
      <c r="A1692" s="132"/>
      <c r="B1692" s="132"/>
      <c r="C1692" s="132"/>
      <c r="D1692" s="132"/>
      <c r="E1692" s="132"/>
      <c r="F1692" s="132"/>
      <c r="G1692" s="132"/>
      <c r="H1692" s="132"/>
      <c r="I1692" s="132"/>
      <c r="J1692" s="132"/>
      <c r="K1692" s="132"/>
      <c r="L1692" s="132"/>
    </row>
    <row r="1693" spans="1:12" x14ac:dyDescent="0.3">
      <c r="A1693" s="132"/>
      <c r="B1693" s="132"/>
      <c r="C1693" s="132"/>
      <c r="D1693" s="132"/>
      <c r="E1693" s="132"/>
      <c r="F1693" s="132"/>
      <c r="G1693" s="132"/>
      <c r="H1693" s="132"/>
      <c r="I1693" s="132"/>
      <c r="J1693" s="132"/>
      <c r="K1693" s="132"/>
      <c r="L1693" s="132"/>
    </row>
    <row r="1694" spans="1:12" x14ac:dyDescent="0.3">
      <c r="A1694" s="132"/>
      <c r="B1694" s="132"/>
      <c r="C1694" s="132"/>
      <c r="D1694" s="132"/>
      <c r="E1694" s="132"/>
      <c r="F1694" s="132"/>
      <c r="G1694" s="132"/>
      <c r="H1694" s="132"/>
      <c r="I1694" s="132"/>
      <c r="J1694" s="132"/>
      <c r="K1694" s="132"/>
      <c r="L1694" s="132"/>
    </row>
    <row r="1695" spans="1:12" x14ac:dyDescent="0.3">
      <c r="A1695" s="132"/>
      <c r="B1695" s="132"/>
      <c r="C1695" s="132"/>
      <c r="D1695" s="132"/>
      <c r="E1695" s="132"/>
      <c r="F1695" s="132"/>
      <c r="G1695" s="132"/>
      <c r="H1695" s="132"/>
      <c r="I1695" s="132"/>
      <c r="J1695" s="132"/>
      <c r="K1695" s="132"/>
      <c r="L1695" s="132"/>
    </row>
    <row r="1696" spans="1:12" x14ac:dyDescent="0.3">
      <c r="A1696" s="132"/>
      <c r="B1696" s="132"/>
      <c r="C1696" s="132"/>
      <c r="D1696" s="132"/>
      <c r="E1696" s="132"/>
      <c r="F1696" s="132"/>
      <c r="G1696" s="132"/>
      <c r="H1696" s="132"/>
      <c r="I1696" s="132"/>
      <c r="J1696" s="132"/>
      <c r="K1696" s="132"/>
      <c r="L1696" s="132"/>
    </row>
    <row r="1697" spans="1:12" x14ac:dyDescent="0.3">
      <c r="A1697" s="132"/>
      <c r="B1697" s="132"/>
      <c r="C1697" s="132"/>
      <c r="D1697" s="132"/>
      <c r="E1697" s="132"/>
      <c r="F1697" s="132"/>
      <c r="G1697" s="132"/>
      <c r="H1697" s="132"/>
      <c r="I1697" s="132"/>
      <c r="J1697" s="132"/>
      <c r="K1697" s="132"/>
      <c r="L1697" s="132"/>
    </row>
    <row r="1698" spans="1:12" x14ac:dyDescent="0.3">
      <c r="A1698" s="132"/>
      <c r="B1698" s="132"/>
      <c r="C1698" s="132"/>
      <c r="D1698" s="132"/>
      <c r="E1698" s="132"/>
      <c r="F1698" s="132"/>
      <c r="G1698" s="132"/>
      <c r="H1698" s="132"/>
      <c r="I1698" s="132"/>
      <c r="J1698" s="132"/>
      <c r="K1698" s="132"/>
      <c r="L1698" s="132"/>
    </row>
    <row r="1699" spans="1:12" x14ac:dyDescent="0.3">
      <c r="A1699" s="132"/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</row>
    <row r="1700" spans="1:12" x14ac:dyDescent="0.3">
      <c r="A1700" s="132"/>
      <c r="B1700" s="132"/>
      <c r="C1700" s="132"/>
      <c r="D1700" s="132"/>
      <c r="E1700" s="132"/>
      <c r="F1700" s="132"/>
      <c r="G1700" s="132"/>
      <c r="H1700" s="132"/>
      <c r="I1700" s="132"/>
      <c r="J1700" s="132"/>
      <c r="K1700" s="132"/>
      <c r="L1700" s="132"/>
    </row>
    <row r="1701" spans="1:12" x14ac:dyDescent="0.3">
      <c r="A1701" s="132"/>
      <c r="B1701" s="132"/>
      <c r="C1701" s="132"/>
      <c r="D1701" s="132"/>
      <c r="E1701" s="132"/>
      <c r="F1701" s="132"/>
      <c r="G1701" s="132"/>
      <c r="H1701" s="132"/>
      <c r="I1701" s="132"/>
      <c r="J1701" s="132"/>
      <c r="K1701" s="132"/>
      <c r="L1701" s="132"/>
    </row>
    <row r="1702" spans="1:12" x14ac:dyDescent="0.3">
      <c r="A1702" s="132"/>
      <c r="B1702" s="132"/>
      <c r="C1702" s="132"/>
      <c r="D1702" s="132"/>
      <c r="E1702" s="132"/>
      <c r="F1702" s="132"/>
      <c r="G1702" s="132"/>
      <c r="H1702" s="132"/>
      <c r="I1702" s="132"/>
      <c r="J1702" s="132"/>
      <c r="K1702" s="132"/>
      <c r="L1702" s="132"/>
    </row>
    <row r="1703" spans="1:12" x14ac:dyDescent="0.3">
      <c r="A1703" s="132"/>
      <c r="B1703" s="132"/>
      <c r="C1703" s="132"/>
      <c r="D1703" s="132"/>
      <c r="E1703" s="132"/>
      <c r="F1703" s="132"/>
      <c r="G1703" s="132"/>
      <c r="H1703" s="132"/>
      <c r="I1703" s="132"/>
      <c r="J1703" s="132"/>
      <c r="K1703" s="132"/>
      <c r="L1703" s="132"/>
    </row>
    <row r="1704" spans="1:12" x14ac:dyDescent="0.3">
      <c r="A1704" s="132"/>
      <c r="B1704" s="132"/>
      <c r="C1704" s="132"/>
      <c r="D1704" s="132"/>
      <c r="E1704" s="132"/>
      <c r="F1704" s="132"/>
      <c r="G1704" s="132"/>
      <c r="H1704" s="132"/>
      <c r="I1704" s="132"/>
      <c r="J1704" s="132"/>
      <c r="K1704" s="132"/>
      <c r="L1704" s="132"/>
    </row>
    <row r="1705" spans="1:12" x14ac:dyDescent="0.3">
      <c r="A1705" s="132"/>
      <c r="B1705" s="132"/>
      <c r="C1705" s="132"/>
      <c r="D1705" s="132"/>
      <c r="E1705" s="132"/>
      <c r="F1705" s="132"/>
      <c r="G1705" s="132"/>
      <c r="H1705" s="132"/>
      <c r="I1705" s="132"/>
      <c r="J1705" s="132"/>
      <c r="K1705" s="132"/>
      <c r="L1705" s="132"/>
    </row>
    <row r="1706" spans="1:12" x14ac:dyDescent="0.3">
      <c r="A1706" s="132"/>
      <c r="B1706" s="132"/>
      <c r="C1706" s="132"/>
      <c r="D1706" s="132"/>
      <c r="E1706" s="132"/>
      <c r="F1706" s="132"/>
      <c r="G1706" s="132"/>
      <c r="H1706" s="132"/>
      <c r="I1706" s="132"/>
      <c r="J1706" s="132"/>
      <c r="K1706" s="132"/>
      <c r="L1706" s="132"/>
    </row>
    <row r="1707" spans="1:12" x14ac:dyDescent="0.3">
      <c r="A1707" s="132"/>
      <c r="B1707" s="132"/>
      <c r="C1707" s="132"/>
      <c r="D1707" s="132"/>
      <c r="E1707" s="132"/>
      <c r="F1707" s="132"/>
      <c r="G1707" s="132"/>
      <c r="H1707" s="132"/>
      <c r="I1707" s="132"/>
      <c r="J1707" s="132"/>
      <c r="K1707" s="132"/>
      <c r="L1707" s="132"/>
    </row>
    <row r="1708" spans="1:12" x14ac:dyDescent="0.3">
      <c r="A1708" s="132"/>
      <c r="B1708" s="132"/>
      <c r="C1708" s="132"/>
      <c r="D1708" s="132"/>
      <c r="E1708" s="132"/>
      <c r="F1708" s="132"/>
      <c r="G1708" s="132"/>
      <c r="H1708" s="132"/>
      <c r="I1708" s="132"/>
      <c r="J1708" s="132"/>
      <c r="K1708" s="132"/>
      <c r="L1708" s="132"/>
    </row>
    <row r="1709" spans="1:12" x14ac:dyDescent="0.3">
      <c r="A1709" s="132"/>
      <c r="B1709" s="132"/>
      <c r="C1709" s="132"/>
      <c r="D1709" s="132"/>
      <c r="E1709" s="132"/>
      <c r="F1709" s="132"/>
      <c r="G1709" s="132"/>
      <c r="H1709" s="132"/>
      <c r="I1709" s="132"/>
      <c r="J1709" s="132"/>
      <c r="K1709" s="132"/>
      <c r="L1709" s="132"/>
    </row>
    <row r="1710" spans="1:12" x14ac:dyDescent="0.3">
      <c r="A1710" s="132"/>
      <c r="B1710" s="132"/>
      <c r="C1710" s="132"/>
      <c r="D1710" s="132"/>
      <c r="E1710" s="132"/>
      <c r="F1710" s="132"/>
      <c r="G1710" s="132"/>
      <c r="H1710" s="132"/>
      <c r="I1710" s="132"/>
      <c r="J1710" s="132"/>
      <c r="K1710" s="132"/>
      <c r="L1710" s="132"/>
    </row>
    <row r="1711" spans="1:12" x14ac:dyDescent="0.3">
      <c r="A1711" s="132"/>
      <c r="B1711" s="132"/>
      <c r="C1711" s="132"/>
      <c r="D1711" s="132"/>
      <c r="E1711" s="132"/>
      <c r="F1711" s="132"/>
      <c r="G1711" s="132"/>
      <c r="H1711" s="132"/>
      <c r="I1711" s="132"/>
      <c r="J1711" s="132"/>
      <c r="K1711" s="132"/>
      <c r="L1711" s="132"/>
    </row>
    <row r="1712" spans="1:12" x14ac:dyDescent="0.3">
      <c r="A1712" s="132"/>
      <c r="B1712" s="132"/>
      <c r="C1712" s="132"/>
      <c r="D1712" s="132"/>
      <c r="E1712" s="132"/>
      <c r="F1712" s="132"/>
      <c r="G1712" s="132"/>
      <c r="H1712" s="132"/>
      <c r="I1712" s="132"/>
      <c r="J1712" s="132"/>
      <c r="K1712" s="132"/>
      <c r="L1712" s="132"/>
    </row>
    <row r="1713" spans="1:12" x14ac:dyDescent="0.3">
      <c r="A1713" s="132"/>
      <c r="B1713" s="132"/>
      <c r="C1713" s="132"/>
      <c r="D1713" s="132"/>
      <c r="E1713" s="132"/>
      <c r="F1713" s="132"/>
      <c r="G1713" s="132"/>
      <c r="H1713" s="132"/>
      <c r="I1713" s="132"/>
      <c r="J1713" s="132"/>
      <c r="K1713" s="132"/>
      <c r="L1713" s="132"/>
    </row>
    <row r="1714" spans="1:12" x14ac:dyDescent="0.3">
      <c r="A1714" s="132"/>
      <c r="B1714" s="132"/>
      <c r="C1714" s="132"/>
      <c r="D1714" s="132"/>
      <c r="E1714" s="132"/>
      <c r="F1714" s="132"/>
      <c r="G1714" s="132"/>
      <c r="H1714" s="132"/>
      <c r="I1714" s="132"/>
      <c r="J1714" s="132"/>
      <c r="K1714" s="132"/>
      <c r="L1714" s="132"/>
    </row>
    <row r="1715" spans="1:12" x14ac:dyDescent="0.3">
      <c r="A1715" s="132"/>
      <c r="B1715" s="132"/>
      <c r="C1715" s="132"/>
      <c r="D1715" s="132"/>
      <c r="E1715" s="132"/>
      <c r="F1715" s="132"/>
      <c r="G1715" s="132"/>
      <c r="H1715" s="132"/>
      <c r="I1715" s="132"/>
      <c r="J1715" s="132"/>
      <c r="K1715" s="132"/>
      <c r="L1715" s="132"/>
    </row>
    <row r="1716" spans="1:12" x14ac:dyDescent="0.3">
      <c r="A1716" s="132"/>
      <c r="B1716" s="132"/>
      <c r="C1716" s="132"/>
      <c r="D1716" s="132"/>
      <c r="E1716" s="132"/>
      <c r="F1716" s="132"/>
      <c r="G1716" s="132"/>
      <c r="H1716" s="132"/>
      <c r="I1716" s="132"/>
      <c r="J1716" s="132"/>
      <c r="K1716" s="132"/>
      <c r="L1716" s="132"/>
    </row>
    <row r="1717" spans="1:12" x14ac:dyDescent="0.3">
      <c r="A1717" s="132"/>
      <c r="B1717" s="132"/>
      <c r="C1717" s="132"/>
      <c r="D1717" s="132"/>
      <c r="E1717" s="132"/>
      <c r="F1717" s="132"/>
      <c r="G1717" s="132"/>
      <c r="H1717" s="132"/>
      <c r="I1717" s="132"/>
      <c r="J1717" s="132"/>
      <c r="K1717" s="132"/>
      <c r="L1717" s="132"/>
    </row>
    <row r="1718" spans="1:12" x14ac:dyDescent="0.3">
      <c r="A1718" s="132"/>
      <c r="B1718" s="132"/>
      <c r="C1718" s="132"/>
      <c r="D1718" s="132"/>
      <c r="E1718" s="132"/>
      <c r="F1718" s="132"/>
      <c r="G1718" s="132"/>
      <c r="H1718" s="132"/>
      <c r="I1718" s="132"/>
      <c r="J1718" s="132"/>
      <c r="K1718" s="132"/>
      <c r="L1718" s="132"/>
    </row>
    <row r="1719" spans="1:12" x14ac:dyDescent="0.3">
      <c r="A1719" s="132"/>
      <c r="B1719" s="132"/>
      <c r="C1719" s="132"/>
      <c r="D1719" s="132"/>
      <c r="E1719" s="132"/>
      <c r="F1719" s="132"/>
      <c r="G1719" s="132"/>
      <c r="H1719" s="132"/>
      <c r="I1719" s="132"/>
      <c r="J1719" s="132"/>
      <c r="K1719" s="132"/>
      <c r="L1719" s="132"/>
    </row>
    <row r="1720" spans="1:12" x14ac:dyDescent="0.3">
      <c r="A1720" s="132"/>
      <c r="B1720" s="132"/>
      <c r="C1720" s="132"/>
      <c r="D1720" s="132"/>
      <c r="E1720" s="132"/>
      <c r="F1720" s="132"/>
      <c r="G1720" s="132"/>
      <c r="H1720" s="132"/>
      <c r="I1720" s="132"/>
      <c r="J1720" s="132"/>
      <c r="K1720" s="132"/>
      <c r="L1720" s="132"/>
    </row>
    <row r="1721" spans="1:12" x14ac:dyDescent="0.3">
      <c r="A1721" s="132"/>
      <c r="B1721" s="132"/>
      <c r="C1721" s="132"/>
      <c r="D1721" s="132"/>
      <c r="E1721" s="132"/>
      <c r="F1721" s="132"/>
      <c r="G1721" s="132"/>
      <c r="H1721" s="132"/>
      <c r="I1721" s="132"/>
      <c r="J1721" s="132"/>
      <c r="K1721" s="132"/>
      <c r="L1721" s="132"/>
    </row>
    <row r="1722" spans="1:12" x14ac:dyDescent="0.3">
      <c r="A1722" s="132"/>
      <c r="B1722" s="132"/>
      <c r="C1722" s="132"/>
      <c r="D1722" s="132"/>
      <c r="E1722" s="132"/>
      <c r="F1722" s="132"/>
      <c r="G1722" s="132"/>
      <c r="H1722" s="132"/>
      <c r="I1722" s="132"/>
      <c r="J1722" s="132"/>
      <c r="K1722" s="132"/>
      <c r="L1722" s="132"/>
    </row>
    <row r="1723" spans="1:12" x14ac:dyDescent="0.3">
      <c r="A1723" s="132"/>
      <c r="B1723" s="132"/>
      <c r="C1723" s="132"/>
      <c r="D1723" s="132"/>
      <c r="E1723" s="132"/>
      <c r="F1723" s="132"/>
      <c r="G1723" s="132"/>
      <c r="H1723" s="132"/>
      <c r="I1723" s="132"/>
      <c r="J1723" s="132"/>
      <c r="K1723" s="132"/>
      <c r="L1723" s="132"/>
    </row>
    <row r="1724" spans="1:12" x14ac:dyDescent="0.3">
      <c r="A1724" s="132"/>
      <c r="B1724" s="132"/>
      <c r="C1724" s="132"/>
      <c r="D1724" s="132"/>
      <c r="E1724" s="132"/>
      <c r="F1724" s="132"/>
      <c r="G1724" s="132"/>
      <c r="H1724" s="132"/>
      <c r="I1724" s="132"/>
      <c r="J1724" s="132"/>
      <c r="K1724" s="132"/>
      <c r="L1724" s="132"/>
    </row>
    <row r="1725" spans="1:12" x14ac:dyDescent="0.3">
      <c r="A1725" s="132"/>
      <c r="B1725" s="132"/>
      <c r="C1725" s="132"/>
      <c r="D1725" s="132"/>
      <c r="E1725" s="132"/>
      <c r="F1725" s="132"/>
      <c r="G1725" s="132"/>
      <c r="H1725" s="132"/>
      <c r="I1725" s="132"/>
      <c r="J1725" s="132"/>
      <c r="K1725" s="132"/>
      <c r="L1725" s="132"/>
    </row>
    <row r="1726" spans="1:12" x14ac:dyDescent="0.3">
      <c r="A1726" s="132"/>
      <c r="B1726" s="132"/>
      <c r="C1726" s="132"/>
      <c r="D1726" s="132"/>
      <c r="E1726" s="132"/>
      <c r="F1726" s="132"/>
      <c r="G1726" s="132"/>
      <c r="H1726" s="132"/>
      <c r="I1726" s="132"/>
      <c r="J1726" s="132"/>
      <c r="K1726" s="132"/>
      <c r="L1726" s="132"/>
    </row>
    <row r="1727" spans="1:12" x14ac:dyDescent="0.3">
      <c r="A1727" s="132"/>
      <c r="B1727" s="132"/>
      <c r="C1727" s="132"/>
      <c r="D1727" s="132"/>
      <c r="E1727" s="132"/>
      <c r="F1727" s="132"/>
      <c r="G1727" s="132"/>
      <c r="H1727" s="132"/>
      <c r="I1727" s="132"/>
      <c r="J1727" s="132"/>
      <c r="K1727" s="132"/>
      <c r="L1727" s="132"/>
    </row>
    <row r="1728" spans="1:12" x14ac:dyDescent="0.3">
      <c r="A1728" s="132"/>
      <c r="B1728" s="132"/>
      <c r="C1728" s="132"/>
      <c r="D1728" s="132"/>
      <c r="E1728" s="132"/>
      <c r="F1728" s="132"/>
      <c r="G1728" s="132"/>
      <c r="H1728" s="132"/>
      <c r="I1728" s="132"/>
      <c r="J1728" s="132"/>
      <c r="K1728" s="132"/>
      <c r="L1728" s="132"/>
    </row>
    <row r="1729" spans="1:12" x14ac:dyDescent="0.3">
      <c r="A1729" s="132"/>
      <c r="B1729" s="132"/>
      <c r="C1729" s="132"/>
      <c r="D1729" s="132"/>
      <c r="E1729" s="132"/>
      <c r="F1729" s="132"/>
      <c r="G1729" s="132"/>
      <c r="H1729" s="132"/>
      <c r="I1729" s="132"/>
      <c r="J1729" s="132"/>
      <c r="K1729" s="132"/>
      <c r="L1729" s="132"/>
    </row>
    <row r="1730" spans="1:12" x14ac:dyDescent="0.3">
      <c r="A1730" s="132"/>
      <c r="B1730" s="132"/>
      <c r="C1730" s="132"/>
      <c r="D1730" s="132"/>
      <c r="E1730" s="132"/>
      <c r="F1730" s="132"/>
      <c r="G1730" s="132"/>
      <c r="H1730" s="132"/>
      <c r="I1730" s="132"/>
      <c r="J1730" s="132"/>
      <c r="K1730" s="132"/>
      <c r="L1730" s="132"/>
    </row>
    <row r="1731" spans="1:12" x14ac:dyDescent="0.3">
      <c r="A1731" s="132"/>
      <c r="B1731" s="132"/>
      <c r="C1731" s="132"/>
      <c r="D1731" s="132"/>
      <c r="E1731" s="132"/>
      <c r="F1731" s="132"/>
      <c r="G1731" s="132"/>
      <c r="H1731" s="132"/>
      <c r="I1731" s="132"/>
      <c r="J1731" s="132"/>
      <c r="K1731" s="132"/>
      <c r="L1731" s="132"/>
    </row>
    <row r="1732" spans="1:12" x14ac:dyDescent="0.3">
      <c r="A1732" s="132"/>
      <c r="B1732" s="132"/>
      <c r="C1732" s="132"/>
      <c r="D1732" s="132"/>
      <c r="E1732" s="132"/>
      <c r="F1732" s="132"/>
      <c r="G1732" s="132"/>
      <c r="H1732" s="132"/>
      <c r="I1732" s="132"/>
      <c r="J1732" s="132"/>
      <c r="K1732" s="132"/>
      <c r="L1732" s="132"/>
    </row>
    <row r="1733" spans="1:12" x14ac:dyDescent="0.3">
      <c r="A1733" s="132"/>
      <c r="B1733" s="132"/>
      <c r="C1733" s="132"/>
      <c r="D1733" s="132"/>
      <c r="E1733" s="132"/>
      <c r="F1733" s="132"/>
      <c r="G1733" s="132"/>
      <c r="H1733" s="132"/>
      <c r="I1733" s="132"/>
      <c r="J1733" s="132"/>
      <c r="K1733" s="132"/>
      <c r="L1733" s="132"/>
    </row>
    <row r="1734" spans="1:12" x14ac:dyDescent="0.3">
      <c r="A1734" s="132"/>
      <c r="B1734" s="132"/>
      <c r="C1734" s="132"/>
      <c r="D1734" s="132"/>
      <c r="E1734" s="132"/>
      <c r="F1734" s="132"/>
      <c r="G1734" s="132"/>
      <c r="H1734" s="132"/>
      <c r="I1734" s="132"/>
      <c r="J1734" s="132"/>
      <c r="K1734" s="132"/>
      <c r="L1734" s="132"/>
    </row>
    <row r="1735" spans="1:12" x14ac:dyDescent="0.3">
      <c r="A1735" s="132"/>
      <c r="B1735" s="132"/>
      <c r="C1735" s="132"/>
      <c r="D1735" s="132"/>
      <c r="E1735" s="132"/>
      <c r="F1735" s="132"/>
      <c r="G1735" s="132"/>
      <c r="H1735" s="132"/>
      <c r="I1735" s="132"/>
      <c r="J1735" s="132"/>
      <c r="K1735" s="132"/>
      <c r="L1735" s="132"/>
    </row>
    <row r="1736" spans="1:12" x14ac:dyDescent="0.3">
      <c r="A1736" s="132"/>
      <c r="B1736" s="132"/>
      <c r="C1736" s="132"/>
      <c r="D1736" s="132"/>
      <c r="E1736" s="132"/>
      <c r="F1736" s="132"/>
      <c r="G1736" s="132"/>
      <c r="H1736" s="132"/>
      <c r="I1736" s="132"/>
      <c r="J1736" s="132"/>
      <c r="K1736" s="132"/>
      <c r="L1736" s="132"/>
    </row>
    <row r="1737" spans="1:12" x14ac:dyDescent="0.3">
      <c r="A1737" s="132"/>
      <c r="B1737" s="132"/>
      <c r="C1737" s="132"/>
      <c r="D1737" s="132"/>
      <c r="E1737" s="132"/>
      <c r="F1737" s="132"/>
      <c r="G1737" s="132"/>
      <c r="H1737" s="132"/>
      <c r="I1737" s="132"/>
      <c r="J1737" s="132"/>
      <c r="K1737" s="132"/>
      <c r="L1737" s="132"/>
    </row>
    <row r="1738" spans="1:12" x14ac:dyDescent="0.3">
      <c r="A1738" s="132"/>
      <c r="B1738" s="132"/>
      <c r="C1738" s="132"/>
      <c r="D1738" s="132"/>
      <c r="E1738" s="132"/>
      <c r="F1738" s="132"/>
      <c r="G1738" s="132"/>
      <c r="H1738" s="132"/>
      <c r="I1738" s="132"/>
      <c r="J1738" s="132"/>
      <c r="K1738" s="132"/>
      <c r="L1738" s="132"/>
    </row>
    <row r="1739" spans="1:12" x14ac:dyDescent="0.3">
      <c r="A1739" s="132"/>
      <c r="B1739" s="132"/>
      <c r="C1739" s="132"/>
      <c r="D1739" s="132"/>
      <c r="E1739" s="132"/>
      <c r="F1739" s="132"/>
      <c r="G1739" s="132"/>
      <c r="H1739" s="132"/>
      <c r="I1739" s="132"/>
      <c r="J1739" s="132"/>
      <c r="K1739" s="132"/>
      <c r="L1739" s="132"/>
    </row>
    <row r="1740" spans="1:12" x14ac:dyDescent="0.3">
      <c r="A1740" s="132"/>
      <c r="B1740" s="132"/>
      <c r="C1740" s="132"/>
      <c r="D1740" s="132"/>
      <c r="E1740" s="132"/>
      <c r="F1740" s="132"/>
      <c r="G1740" s="132"/>
      <c r="H1740" s="132"/>
      <c r="I1740" s="132"/>
      <c r="J1740" s="132"/>
      <c r="K1740" s="132"/>
      <c r="L1740" s="132"/>
    </row>
    <row r="1741" spans="1:12" x14ac:dyDescent="0.3">
      <c r="A1741" s="132"/>
      <c r="B1741" s="132"/>
      <c r="C1741" s="132"/>
      <c r="D1741" s="132"/>
      <c r="E1741" s="132"/>
      <c r="F1741" s="132"/>
      <c r="G1741" s="132"/>
      <c r="H1741" s="132"/>
      <c r="I1741" s="132"/>
      <c r="J1741" s="132"/>
      <c r="K1741" s="132"/>
      <c r="L1741" s="132"/>
    </row>
    <row r="1742" spans="1:12" x14ac:dyDescent="0.3">
      <c r="A1742" s="132"/>
      <c r="B1742" s="132"/>
      <c r="C1742" s="132"/>
      <c r="D1742" s="132"/>
      <c r="E1742" s="132"/>
      <c r="F1742" s="132"/>
      <c r="G1742" s="132"/>
      <c r="H1742" s="132"/>
      <c r="I1742" s="132"/>
      <c r="J1742" s="132"/>
      <c r="K1742" s="132"/>
      <c r="L1742" s="132"/>
    </row>
    <row r="1743" spans="1:12" x14ac:dyDescent="0.3">
      <c r="A1743" s="132"/>
      <c r="B1743" s="132"/>
      <c r="C1743" s="132"/>
      <c r="D1743" s="132"/>
      <c r="E1743" s="132"/>
      <c r="F1743" s="132"/>
      <c r="G1743" s="132"/>
      <c r="H1743" s="132"/>
      <c r="I1743" s="132"/>
      <c r="J1743" s="132"/>
      <c r="K1743" s="132"/>
      <c r="L1743" s="132"/>
    </row>
    <row r="1744" spans="1:12" x14ac:dyDescent="0.3">
      <c r="A1744" s="132"/>
      <c r="B1744" s="132"/>
      <c r="C1744" s="132"/>
      <c r="D1744" s="132"/>
      <c r="E1744" s="132"/>
      <c r="F1744" s="132"/>
      <c r="G1744" s="132"/>
      <c r="H1744" s="132"/>
      <c r="I1744" s="132"/>
      <c r="J1744" s="132"/>
      <c r="K1744" s="132"/>
      <c r="L1744" s="132"/>
    </row>
    <row r="1745" spans="1:12" x14ac:dyDescent="0.3">
      <c r="A1745" s="132"/>
      <c r="B1745" s="132"/>
      <c r="C1745" s="132"/>
      <c r="D1745" s="132"/>
      <c r="E1745" s="132"/>
      <c r="F1745" s="132"/>
      <c r="G1745" s="132"/>
      <c r="H1745" s="132"/>
      <c r="I1745" s="132"/>
      <c r="J1745" s="132"/>
      <c r="K1745" s="132"/>
      <c r="L1745" s="132"/>
    </row>
    <row r="1746" spans="1:12" x14ac:dyDescent="0.3">
      <c r="A1746" s="132"/>
      <c r="B1746" s="132"/>
      <c r="C1746" s="132"/>
      <c r="D1746" s="132"/>
      <c r="E1746" s="132"/>
      <c r="F1746" s="132"/>
      <c r="G1746" s="132"/>
      <c r="H1746" s="132"/>
      <c r="I1746" s="132"/>
      <c r="J1746" s="132"/>
      <c r="K1746" s="132"/>
      <c r="L1746" s="132"/>
    </row>
    <row r="1747" spans="1:12" x14ac:dyDescent="0.3">
      <c r="A1747" s="132"/>
      <c r="B1747" s="132"/>
      <c r="C1747" s="132"/>
      <c r="D1747" s="132"/>
      <c r="E1747" s="132"/>
      <c r="F1747" s="132"/>
      <c r="G1747" s="132"/>
      <c r="H1747" s="132"/>
      <c r="I1747" s="132"/>
      <c r="J1747" s="132"/>
      <c r="K1747" s="132"/>
      <c r="L1747" s="132"/>
    </row>
    <row r="1748" spans="1:12" x14ac:dyDescent="0.3">
      <c r="A1748" s="132"/>
      <c r="B1748" s="132"/>
      <c r="C1748" s="132"/>
      <c r="D1748" s="132"/>
      <c r="E1748" s="132"/>
      <c r="F1748" s="132"/>
      <c r="G1748" s="132"/>
      <c r="H1748" s="132"/>
      <c r="I1748" s="132"/>
      <c r="J1748" s="132"/>
      <c r="K1748" s="132"/>
      <c r="L1748" s="132"/>
    </row>
  </sheetData>
  <mergeCells count="9">
    <mergeCell ref="A5:C5"/>
    <mergeCell ref="D5:F5"/>
    <mergeCell ref="G5:I5"/>
    <mergeCell ref="J5:L5"/>
    <mergeCell ref="A1:L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2901-04ED-4557-AFC5-89F225E093B8}">
  <sheetPr codeName="Feuil7">
    <tabColor theme="0" tint="-0.34998626667073579"/>
  </sheetPr>
  <dimension ref="A1:H20"/>
  <sheetViews>
    <sheetView showGridLines="0" zoomScaleNormal="100" workbookViewId="0">
      <pane xSplit="1" ySplit="5" topLeftCell="B6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baseColWidth="10" defaultColWidth="8.6640625" defaultRowHeight="14.4" x14ac:dyDescent="0.3"/>
  <cols>
    <col min="1" max="1" width="35" customWidth="1"/>
    <col min="2" max="2" width="24" customWidth="1"/>
    <col min="3" max="3" width="24.5546875" customWidth="1"/>
    <col min="4" max="4" width="20.21875" customWidth="1"/>
    <col min="5" max="5" width="15.109375" customWidth="1"/>
    <col min="6" max="6" width="14.109375" customWidth="1"/>
    <col min="7" max="7" width="12.88671875" customWidth="1"/>
    <col min="8" max="8" width="20" customWidth="1"/>
  </cols>
  <sheetData>
    <row r="1" spans="1:8" x14ac:dyDescent="0.3">
      <c r="A1" s="152" t="s">
        <v>5797</v>
      </c>
      <c r="B1" s="152"/>
      <c r="C1" s="152"/>
      <c r="D1" s="152"/>
      <c r="E1" s="152"/>
      <c r="F1" s="152"/>
      <c r="G1" s="152"/>
      <c r="H1" s="152"/>
    </row>
    <row r="2" spans="1:8" x14ac:dyDescent="0.3">
      <c r="A2" s="152"/>
      <c r="B2" s="152"/>
      <c r="C2" s="152"/>
      <c r="D2" s="152"/>
      <c r="E2" s="152"/>
      <c r="F2" s="152"/>
      <c r="G2" s="152"/>
      <c r="H2" s="152"/>
    </row>
    <row r="3" spans="1:8" x14ac:dyDescent="0.3">
      <c r="A3" s="153" t="s">
        <v>5798</v>
      </c>
      <c r="B3" s="153"/>
      <c r="C3" s="153"/>
      <c r="D3" s="153"/>
      <c r="E3" s="153"/>
      <c r="F3" s="153"/>
      <c r="G3" s="153"/>
      <c r="H3" s="153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ht="24" customHeight="1" x14ac:dyDescent="0.3">
      <c r="A5" s="116" t="s">
        <v>5799</v>
      </c>
      <c r="B5" s="116" t="s">
        <v>5782</v>
      </c>
      <c r="C5" s="116" t="s">
        <v>5783</v>
      </c>
      <c r="D5" s="116" t="s">
        <v>5784</v>
      </c>
      <c r="E5" s="116" t="s">
        <v>5785</v>
      </c>
      <c r="F5" s="116" t="s">
        <v>5800</v>
      </c>
      <c r="G5" s="116" t="s">
        <v>5801</v>
      </c>
      <c r="H5" s="116" t="s">
        <v>5788</v>
      </c>
    </row>
    <row r="6" spans="1:8" ht="21.75" customHeight="1" x14ac:dyDescent="0.3">
      <c r="A6" s="100" t="s">
        <v>38</v>
      </c>
      <c r="B6" s="99">
        <v>5769420</v>
      </c>
      <c r="C6" s="99">
        <v>0</v>
      </c>
      <c r="D6" s="99">
        <v>5769420</v>
      </c>
      <c r="E6" s="108">
        <v>1</v>
      </c>
      <c r="F6" s="99">
        <v>32</v>
      </c>
      <c r="G6" s="99">
        <v>0</v>
      </c>
      <c r="H6" s="107" t="s">
        <v>5792</v>
      </c>
    </row>
    <row r="7" spans="1:8" ht="21.75" customHeight="1" x14ac:dyDescent="0.3">
      <c r="A7" s="105" t="s">
        <v>36</v>
      </c>
      <c r="B7" s="104">
        <v>5179300</v>
      </c>
      <c r="C7" s="104">
        <v>1648000</v>
      </c>
      <c r="D7" s="104">
        <v>3531300</v>
      </c>
      <c r="E7" s="109">
        <v>0.68181028324290904</v>
      </c>
      <c r="F7" s="104">
        <v>26</v>
      </c>
      <c r="G7" s="104">
        <v>10</v>
      </c>
      <c r="H7" s="102" t="s">
        <v>5790</v>
      </c>
    </row>
    <row r="8" spans="1:8" ht="21.75" customHeight="1" x14ac:dyDescent="0.3">
      <c r="A8" s="100" t="s">
        <v>44</v>
      </c>
      <c r="B8" s="99">
        <v>4671160</v>
      </c>
      <c r="C8" s="99">
        <v>0</v>
      </c>
      <c r="D8" s="99">
        <v>4671160</v>
      </c>
      <c r="E8" s="108">
        <v>1</v>
      </c>
      <c r="F8" s="99">
        <v>16</v>
      </c>
      <c r="G8" s="99">
        <v>0</v>
      </c>
      <c r="H8" s="107" t="s">
        <v>5792</v>
      </c>
    </row>
    <row r="9" spans="1:8" ht="21.75" customHeight="1" x14ac:dyDescent="0.3">
      <c r="A9" s="105" t="s">
        <v>50</v>
      </c>
      <c r="B9" s="104">
        <v>3709460</v>
      </c>
      <c r="C9" s="104">
        <v>342800</v>
      </c>
      <c r="D9" s="104">
        <v>3366660</v>
      </c>
      <c r="E9" s="106">
        <v>0.90758762730963505</v>
      </c>
      <c r="F9" s="104">
        <v>18</v>
      </c>
      <c r="G9" s="104">
        <v>2</v>
      </c>
      <c r="H9" s="102" t="s">
        <v>5790</v>
      </c>
    </row>
    <row r="10" spans="1:8" ht="21.75" customHeight="1" x14ac:dyDescent="0.3">
      <c r="A10" s="100" t="s">
        <v>42</v>
      </c>
      <c r="B10" s="99">
        <v>3304500</v>
      </c>
      <c r="C10" s="99">
        <v>1406400</v>
      </c>
      <c r="D10" s="99">
        <v>1898100</v>
      </c>
      <c r="E10" s="101">
        <v>0.57439854743531604</v>
      </c>
      <c r="F10" s="99">
        <v>10</v>
      </c>
      <c r="G10" s="99">
        <v>8</v>
      </c>
      <c r="H10" s="102" t="s">
        <v>5790</v>
      </c>
    </row>
    <row r="11" spans="1:8" ht="21.75" customHeight="1" x14ac:dyDescent="0.3">
      <c r="A11" s="105" t="s">
        <v>60</v>
      </c>
      <c r="B11" s="104">
        <v>2824160</v>
      </c>
      <c r="C11" s="104">
        <v>0</v>
      </c>
      <c r="D11" s="104">
        <v>2824160</v>
      </c>
      <c r="E11" s="106">
        <v>1</v>
      </c>
      <c r="F11" s="104">
        <v>17</v>
      </c>
      <c r="G11" s="104">
        <v>0</v>
      </c>
      <c r="H11" s="107" t="s">
        <v>5792</v>
      </c>
    </row>
    <row r="12" spans="1:8" ht="21.75" customHeight="1" x14ac:dyDescent="0.3">
      <c r="A12" s="100" t="s">
        <v>56</v>
      </c>
      <c r="B12" s="99">
        <v>2649280</v>
      </c>
      <c r="C12" s="99">
        <v>311800</v>
      </c>
      <c r="D12" s="99">
        <v>2337480</v>
      </c>
      <c r="E12" s="101">
        <v>0.88230764585094801</v>
      </c>
      <c r="F12" s="99">
        <v>12</v>
      </c>
      <c r="G12" s="99">
        <v>1</v>
      </c>
      <c r="H12" s="102" t="s">
        <v>5790</v>
      </c>
    </row>
    <row r="13" spans="1:8" ht="21.75" customHeight="1" x14ac:dyDescent="0.3">
      <c r="A13" s="105" t="s">
        <v>54</v>
      </c>
      <c r="B13" s="104">
        <v>2610640</v>
      </c>
      <c r="C13" s="104">
        <v>483600</v>
      </c>
      <c r="D13" s="104">
        <v>2127040</v>
      </c>
      <c r="E13" s="109">
        <v>0.81475806698740505</v>
      </c>
      <c r="F13" s="104">
        <v>14</v>
      </c>
      <c r="G13" s="104">
        <v>2</v>
      </c>
      <c r="H13" s="102" t="s">
        <v>5790</v>
      </c>
    </row>
    <row r="14" spans="1:8" ht="21.75" customHeight="1" x14ac:dyDescent="0.3">
      <c r="A14" s="100" t="s">
        <v>538</v>
      </c>
      <c r="B14" s="99">
        <v>2346160</v>
      </c>
      <c r="C14" s="99">
        <v>0</v>
      </c>
      <c r="D14" s="99">
        <v>2346160</v>
      </c>
      <c r="E14" s="108">
        <v>1</v>
      </c>
      <c r="F14" s="99">
        <v>16</v>
      </c>
      <c r="G14" s="99">
        <v>0</v>
      </c>
      <c r="H14" s="107" t="s">
        <v>5792</v>
      </c>
    </row>
    <row r="15" spans="1:8" ht="21.75" customHeight="1" x14ac:dyDescent="0.3">
      <c r="A15" s="105" t="s">
        <v>64</v>
      </c>
      <c r="B15" s="104">
        <v>2314360</v>
      </c>
      <c r="C15" s="104">
        <v>460600</v>
      </c>
      <c r="D15" s="104">
        <v>1853760</v>
      </c>
      <c r="E15" s="109">
        <v>0.80098169688380405</v>
      </c>
      <c r="F15" s="104">
        <v>14</v>
      </c>
      <c r="G15" s="104">
        <v>3</v>
      </c>
      <c r="H15" s="102" t="s">
        <v>5790</v>
      </c>
    </row>
    <row r="16" spans="1:8" ht="21.75" customHeight="1" x14ac:dyDescent="0.3">
      <c r="A16" s="100" t="s">
        <v>325</v>
      </c>
      <c r="B16" s="99">
        <v>2264340</v>
      </c>
      <c r="C16" s="99">
        <v>0</v>
      </c>
      <c r="D16" s="99">
        <v>2264340</v>
      </c>
      <c r="E16" s="108">
        <v>1</v>
      </c>
      <c r="F16" s="99">
        <v>14</v>
      </c>
      <c r="G16" s="99">
        <v>0</v>
      </c>
      <c r="H16" s="107" t="s">
        <v>5792</v>
      </c>
    </row>
    <row r="17" spans="1:8" ht="21.75" customHeight="1" x14ac:dyDescent="0.3">
      <c r="A17" s="105" t="s">
        <v>691</v>
      </c>
      <c r="B17" s="104">
        <v>2136100</v>
      </c>
      <c r="C17" s="104">
        <v>0</v>
      </c>
      <c r="D17" s="104">
        <v>2136100</v>
      </c>
      <c r="E17" s="106">
        <v>1</v>
      </c>
      <c r="F17" s="104">
        <v>12</v>
      </c>
      <c r="G17" s="104">
        <v>0</v>
      </c>
      <c r="H17" s="107" t="s">
        <v>5792</v>
      </c>
    </row>
    <row r="18" spans="1:8" ht="21.75" customHeight="1" x14ac:dyDescent="0.3">
      <c r="A18" s="100" t="s">
        <v>274</v>
      </c>
      <c r="B18" s="99">
        <v>2121780</v>
      </c>
      <c r="C18" s="99">
        <v>0</v>
      </c>
      <c r="D18" s="99">
        <v>2121780</v>
      </c>
      <c r="E18" s="108">
        <v>1</v>
      </c>
      <c r="F18" s="99">
        <v>12</v>
      </c>
      <c r="G18" s="99">
        <v>0</v>
      </c>
      <c r="H18" s="107" t="s">
        <v>5792</v>
      </c>
    </row>
    <row r="19" spans="1:8" ht="21.75" customHeight="1" x14ac:dyDescent="0.3">
      <c r="A19" s="105" t="s">
        <v>841</v>
      </c>
      <c r="B19" s="104">
        <v>2116400</v>
      </c>
      <c r="C19" s="104">
        <v>145800</v>
      </c>
      <c r="D19" s="104">
        <v>1970600</v>
      </c>
      <c r="E19" s="106">
        <v>0.93110943110943101</v>
      </c>
      <c r="F19" s="104">
        <v>11</v>
      </c>
      <c r="G19" s="104">
        <v>1</v>
      </c>
      <c r="H19" s="102" t="s">
        <v>5790</v>
      </c>
    </row>
    <row r="20" spans="1:8" ht="21.75" customHeight="1" x14ac:dyDescent="0.3">
      <c r="A20" s="100" t="s">
        <v>62</v>
      </c>
      <c r="B20" s="99">
        <v>1976260</v>
      </c>
      <c r="C20" s="99">
        <v>816400</v>
      </c>
      <c r="D20" s="99">
        <v>1159860</v>
      </c>
      <c r="E20" s="101">
        <v>0.58689646099197501</v>
      </c>
      <c r="F20" s="99">
        <v>8</v>
      </c>
      <c r="G20" s="99">
        <v>4</v>
      </c>
      <c r="H20" s="102" t="s">
        <v>5790</v>
      </c>
    </row>
  </sheetData>
  <mergeCells count="2">
    <mergeCell ref="A1:H2"/>
    <mergeCell ref="A3:H3"/>
  </mergeCells>
  <conditionalFormatting sqref="B6:B20">
    <cfRule type="dataBar" priority="1">
      <dataBar>
        <cfvo type="min"/>
        <cfvo type="max"/>
        <color rgb="FF00ACC1"/>
      </dataBar>
      <extLst>
        <ext xmlns:x14="http://schemas.microsoft.com/office/spreadsheetml/2009/9/main" uri="{B025F937-C7B1-47D3-B67F-A62EFF666E3E}">
          <x14:id>{60966F60-99CA-443E-8826-14BE8DFB8C9E}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966F60-99CA-443E-8826-14BE8DFB8C9E}">
            <x14:dataBar axisPosition="none">
              <x14:cfvo type="min"/>
              <x14:cfvo type="max"/>
              <x14:negativeFillColor rgb="FF00ACC1"/>
            </x14:dataBar>
          </x14:cfRule>
          <xm:sqref>B6:B20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00B050"/>
  </sheetPr>
  <dimension ref="A1:G1121"/>
  <sheetViews>
    <sheetView showGridLines="0" zoomScaleNormal="100" workbookViewId="0">
      <pane xSplit="1" ySplit="5" topLeftCell="B223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baseColWidth="10" defaultColWidth="8.6640625" defaultRowHeight="14.4" x14ac:dyDescent="0.3"/>
  <cols>
    <col min="1" max="1" width="32" customWidth="1"/>
    <col min="2" max="2" width="19.44140625" customWidth="1"/>
    <col min="3" max="3" width="17.44140625" customWidth="1"/>
    <col min="4" max="4" width="18" customWidth="1"/>
    <col min="5" max="5" width="19.21875" customWidth="1"/>
    <col min="6" max="6" width="18.21875" customWidth="1"/>
    <col min="7" max="7" width="27.6640625" customWidth="1"/>
  </cols>
  <sheetData>
    <row r="1" spans="1:7" ht="15" customHeight="1" x14ac:dyDescent="0.3">
      <c r="A1" s="152" t="s">
        <v>5706</v>
      </c>
      <c r="B1" s="152"/>
      <c r="C1" s="152"/>
      <c r="D1" s="152"/>
      <c r="E1" s="152"/>
      <c r="F1" s="152"/>
    </row>
    <row r="2" spans="1:7" ht="15" customHeight="1" x14ac:dyDescent="0.3">
      <c r="A2" s="152"/>
      <c r="B2" s="152"/>
      <c r="C2" s="152"/>
      <c r="D2" s="152"/>
      <c r="E2" s="152"/>
      <c r="F2" s="152"/>
    </row>
    <row r="3" spans="1:7" ht="15" customHeight="1" x14ac:dyDescent="0.3">
      <c r="A3" s="153" t="s">
        <v>5707</v>
      </c>
      <c r="B3" s="153"/>
      <c r="C3" s="153"/>
      <c r="D3" s="153"/>
      <c r="E3" s="153"/>
      <c r="F3" s="153"/>
    </row>
    <row r="5" spans="1:7" ht="21.75" customHeight="1" x14ac:dyDescent="0.3">
      <c r="A5" s="22" t="s">
        <v>5708</v>
      </c>
      <c r="B5" s="22" t="s">
        <v>31</v>
      </c>
      <c r="C5" s="22" t="s">
        <v>32</v>
      </c>
      <c r="D5" s="22" t="s">
        <v>5709</v>
      </c>
      <c r="E5" s="22" t="s">
        <v>5710</v>
      </c>
      <c r="F5" s="22" t="s">
        <v>33</v>
      </c>
      <c r="G5" s="22" t="s">
        <v>24</v>
      </c>
    </row>
    <row r="6" spans="1:7" ht="15" customHeight="1" x14ac:dyDescent="0.3">
      <c r="A6" s="48" t="s">
        <v>35</v>
      </c>
      <c r="B6" s="31">
        <v>94123280</v>
      </c>
      <c r="C6" s="31">
        <v>375</v>
      </c>
      <c r="D6" s="31">
        <v>7</v>
      </c>
      <c r="E6" s="33">
        <v>678631.57900000003</v>
      </c>
      <c r="F6" s="49">
        <v>0.171864330645984</v>
      </c>
      <c r="G6" s="31">
        <v>250995.41333333301</v>
      </c>
    </row>
    <row r="7" spans="1:7" ht="15" customHeight="1" x14ac:dyDescent="0.3">
      <c r="A7" s="50" t="s">
        <v>37</v>
      </c>
      <c r="B7" s="37">
        <v>22108040</v>
      </c>
      <c r="C7" s="37">
        <v>127</v>
      </c>
      <c r="D7" s="37">
        <v>7</v>
      </c>
      <c r="E7" s="39">
        <v>156247.609</v>
      </c>
      <c r="F7" s="51">
        <v>4.0368158615962303E-2</v>
      </c>
      <c r="G7" s="37">
        <v>174079.05511811</v>
      </c>
    </row>
    <row r="8" spans="1:7" ht="15" customHeight="1" x14ac:dyDescent="0.3">
      <c r="A8" s="48" t="s">
        <v>39</v>
      </c>
      <c r="B8" s="31">
        <v>10229880</v>
      </c>
      <c r="C8" s="31">
        <v>38</v>
      </c>
      <c r="D8" s="31">
        <v>6</v>
      </c>
      <c r="E8" s="33">
        <v>45646.85</v>
      </c>
      <c r="F8" s="49">
        <v>1.8679241509526E-2</v>
      </c>
      <c r="G8" s="31">
        <v>269207.36842105299</v>
      </c>
    </row>
    <row r="9" spans="1:7" ht="15" customHeight="1" x14ac:dyDescent="0.3">
      <c r="A9" s="50" t="s">
        <v>41</v>
      </c>
      <c r="B9" s="37">
        <v>9312400</v>
      </c>
      <c r="C9" s="37">
        <v>52</v>
      </c>
      <c r="D9" s="37">
        <v>5</v>
      </c>
      <c r="E9" s="39">
        <v>55356</v>
      </c>
      <c r="F9" s="51">
        <v>1.7003969609937698E-2</v>
      </c>
      <c r="G9" s="37">
        <v>179084.615384615</v>
      </c>
    </row>
    <row r="10" spans="1:7" ht="15" customHeight="1" x14ac:dyDescent="0.3">
      <c r="A10" s="48" t="s">
        <v>43</v>
      </c>
      <c r="B10" s="31">
        <v>8574460</v>
      </c>
      <c r="C10" s="31">
        <v>43</v>
      </c>
      <c r="D10" s="31">
        <v>3</v>
      </c>
      <c r="E10" s="33">
        <v>64962.2</v>
      </c>
      <c r="F10" s="49">
        <v>1.5656528635113E-2</v>
      </c>
      <c r="G10" s="31">
        <v>199406.046511628</v>
      </c>
    </row>
    <row r="11" spans="1:7" ht="15" customHeight="1" x14ac:dyDescent="0.3">
      <c r="A11" s="38" t="s">
        <v>45</v>
      </c>
      <c r="B11" s="37">
        <v>7570580</v>
      </c>
      <c r="C11" s="37">
        <v>37</v>
      </c>
      <c r="D11" s="37">
        <v>5</v>
      </c>
      <c r="E11" s="39">
        <v>29419.651999999998</v>
      </c>
      <c r="F11" s="51">
        <v>1.38234947220483E-2</v>
      </c>
      <c r="G11" s="37">
        <v>204610.27027027</v>
      </c>
    </row>
    <row r="12" spans="1:7" ht="15" customHeight="1" x14ac:dyDescent="0.3">
      <c r="A12" s="32" t="s">
        <v>47</v>
      </c>
      <c r="B12" s="31">
        <v>6448345</v>
      </c>
      <c r="C12" s="31">
        <v>38</v>
      </c>
      <c r="D12" s="31">
        <v>3</v>
      </c>
      <c r="E12" s="33">
        <v>33707.86</v>
      </c>
      <c r="F12" s="49">
        <v>1.17743505878607E-2</v>
      </c>
      <c r="G12" s="31">
        <v>169693.28947368401</v>
      </c>
    </row>
    <row r="13" spans="1:7" ht="15" customHeight="1" x14ac:dyDescent="0.3">
      <c r="A13" s="38" t="s">
        <v>49</v>
      </c>
      <c r="B13" s="37">
        <v>6041589</v>
      </c>
      <c r="C13" s="37">
        <v>34</v>
      </c>
      <c r="D13" s="37">
        <v>3</v>
      </c>
      <c r="E13" s="39">
        <v>39918.83</v>
      </c>
      <c r="F13" s="51">
        <v>1.1031634782841601E-2</v>
      </c>
      <c r="G13" s="37">
        <v>177693.79411764699</v>
      </c>
    </row>
    <row r="14" spans="1:7" ht="15" customHeight="1" x14ac:dyDescent="0.3">
      <c r="A14" s="32" t="s">
        <v>51</v>
      </c>
      <c r="B14" s="31">
        <v>5703940</v>
      </c>
      <c r="C14" s="31">
        <v>33</v>
      </c>
      <c r="D14" s="31">
        <v>2</v>
      </c>
      <c r="E14" s="33">
        <v>28196.576000000001</v>
      </c>
      <c r="F14" s="49">
        <v>1.04151048512637E-2</v>
      </c>
      <c r="G14" s="31">
        <v>172846.66666666701</v>
      </c>
    </row>
    <row r="15" spans="1:7" ht="15" customHeight="1" x14ac:dyDescent="0.3">
      <c r="A15" s="38" t="s">
        <v>53</v>
      </c>
      <c r="B15" s="37">
        <v>4929660</v>
      </c>
      <c r="C15" s="37">
        <v>3</v>
      </c>
      <c r="D15" s="37">
        <v>3</v>
      </c>
      <c r="E15" s="39">
        <v>1273</v>
      </c>
      <c r="F15" s="51">
        <v>9.00130888141892E-3</v>
      </c>
      <c r="G15" s="37">
        <v>1643220</v>
      </c>
    </row>
    <row r="16" spans="1:7" ht="15" customHeight="1" x14ac:dyDescent="0.3">
      <c r="A16" s="32" t="s">
        <v>55</v>
      </c>
      <c r="B16" s="31">
        <v>4812260</v>
      </c>
      <c r="C16" s="31">
        <v>20</v>
      </c>
      <c r="D16" s="31">
        <v>4</v>
      </c>
      <c r="E16" s="33">
        <v>48315.074000000001</v>
      </c>
      <c r="F16" s="49">
        <v>8.7869424418108005E-3</v>
      </c>
      <c r="G16" s="31">
        <v>240613</v>
      </c>
    </row>
    <row r="17" spans="1:7" ht="15" customHeight="1" x14ac:dyDescent="0.3">
      <c r="A17" s="38" t="s">
        <v>57</v>
      </c>
      <c r="B17" s="37">
        <v>3985040</v>
      </c>
      <c r="C17" s="37">
        <v>18</v>
      </c>
      <c r="D17" s="37">
        <v>4</v>
      </c>
      <c r="E17" s="39">
        <v>8743.893</v>
      </c>
      <c r="F17" s="51">
        <v>7.2764807197270498E-3</v>
      </c>
      <c r="G17" s="37">
        <v>221391.11111111101</v>
      </c>
    </row>
    <row r="18" spans="1:7" ht="15" customHeight="1" x14ac:dyDescent="0.3">
      <c r="A18" s="32" t="s">
        <v>59</v>
      </c>
      <c r="B18" s="31">
        <v>3946060</v>
      </c>
      <c r="C18" s="31">
        <v>21</v>
      </c>
      <c r="D18" s="31">
        <v>3</v>
      </c>
      <c r="E18" s="33">
        <v>126567.61</v>
      </c>
      <c r="F18" s="49">
        <v>7.2053052187396197E-3</v>
      </c>
      <c r="G18" s="31">
        <v>187907.61904761899</v>
      </c>
    </row>
    <row r="19" spans="1:7" ht="15" customHeight="1" x14ac:dyDescent="0.3">
      <c r="A19" s="38" t="s">
        <v>61</v>
      </c>
      <c r="B19" s="37">
        <v>3795000</v>
      </c>
      <c r="C19" s="37">
        <v>15</v>
      </c>
      <c r="D19" s="37">
        <v>3</v>
      </c>
      <c r="E19" s="39">
        <v>39216.639999999999</v>
      </c>
      <c r="F19" s="51">
        <v>6.9294773280479402E-3</v>
      </c>
      <c r="G19" s="37">
        <v>253000</v>
      </c>
    </row>
    <row r="20" spans="1:7" ht="15" customHeight="1" x14ac:dyDescent="0.3">
      <c r="A20" s="32" t="s">
        <v>63</v>
      </c>
      <c r="B20" s="31">
        <v>3678800</v>
      </c>
      <c r="C20" s="31">
        <v>15</v>
      </c>
      <c r="D20" s="31">
        <v>4</v>
      </c>
      <c r="E20" s="33">
        <v>43837.035000000003</v>
      </c>
      <c r="F20" s="49">
        <v>6.7173020275158798E-3</v>
      </c>
      <c r="G20" s="31">
        <v>245253.33333333299</v>
      </c>
    </row>
    <row r="21" spans="1:7" ht="15" customHeight="1" x14ac:dyDescent="0.3">
      <c r="A21" s="38" t="s">
        <v>592</v>
      </c>
      <c r="B21" s="37">
        <v>3525760</v>
      </c>
      <c r="C21" s="37">
        <v>18</v>
      </c>
      <c r="D21" s="37">
        <v>2</v>
      </c>
      <c r="E21" s="39">
        <v>29827.5</v>
      </c>
      <c r="F21" s="51">
        <v>6.4378587573486997E-3</v>
      </c>
      <c r="G21" s="37">
        <v>195875.555555556</v>
      </c>
    </row>
    <row r="22" spans="1:7" ht="15" customHeight="1" x14ac:dyDescent="0.3">
      <c r="A22" s="32" t="s">
        <v>372</v>
      </c>
      <c r="B22" s="31">
        <v>3098340</v>
      </c>
      <c r="C22" s="31">
        <v>16</v>
      </c>
      <c r="D22" s="31">
        <v>3</v>
      </c>
      <c r="E22" s="33">
        <v>20273.68</v>
      </c>
      <c r="F22" s="49">
        <v>5.6574115374398003E-3</v>
      </c>
      <c r="G22" s="31">
        <v>193646.25</v>
      </c>
    </row>
    <row r="23" spans="1:7" ht="15" customHeight="1" x14ac:dyDescent="0.3">
      <c r="A23" s="38" t="s">
        <v>857</v>
      </c>
      <c r="B23" s="37">
        <v>3083980</v>
      </c>
      <c r="C23" s="37">
        <v>15</v>
      </c>
      <c r="D23" s="37">
        <v>4</v>
      </c>
      <c r="E23" s="39">
        <v>16508</v>
      </c>
      <c r="F23" s="51">
        <v>5.6311909064962603E-3</v>
      </c>
      <c r="G23" s="37">
        <v>205598.66666666701</v>
      </c>
    </row>
    <row r="24" spans="1:7" ht="15" customHeight="1" x14ac:dyDescent="0.3">
      <c r="A24" s="32" t="s">
        <v>215</v>
      </c>
      <c r="B24" s="31">
        <v>3004000</v>
      </c>
      <c r="C24" s="31">
        <v>18</v>
      </c>
      <c r="D24" s="31">
        <v>4</v>
      </c>
      <c r="E24" s="33">
        <v>13389.02</v>
      </c>
      <c r="F24" s="49">
        <v>5.4851514870766799E-3</v>
      </c>
      <c r="G24" s="31">
        <v>166888.88888888899</v>
      </c>
    </row>
    <row r="25" spans="1:7" ht="15" customHeight="1" x14ac:dyDescent="0.3">
      <c r="A25" s="38" t="s">
        <v>2935</v>
      </c>
      <c r="B25" s="37">
        <v>2671860</v>
      </c>
      <c r="C25" s="37">
        <v>14</v>
      </c>
      <c r="D25" s="37">
        <v>3</v>
      </c>
      <c r="E25" s="39">
        <v>9664.92</v>
      </c>
      <c r="F25" s="51">
        <v>4.8786807098071599E-3</v>
      </c>
      <c r="G25" s="37">
        <v>190847.14285714299</v>
      </c>
    </row>
    <row r="26" spans="1:7" ht="15" customHeight="1" x14ac:dyDescent="0.3">
      <c r="A26" s="32" t="s">
        <v>2820</v>
      </c>
      <c r="B26" s="31">
        <v>2631000</v>
      </c>
      <c r="C26" s="31">
        <v>8</v>
      </c>
      <c r="D26" s="31">
        <v>4</v>
      </c>
      <c r="E26" s="33">
        <v>25546.683000000001</v>
      </c>
      <c r="F26" s="49">
        <v>4.8040724242672302E-3</v>
      </c>
      <c r="G26" s="31">
        <v>328875</v>
      </c>
    </row>
    <row r="27" spans="1:7" ht="15" customHeight="1" x14ac:dyDescent="0.3">
      <c r="A27" s="38" t="s">
        <v>648</v>
      </c>
      <c r="B27" s="37">
        <v>2608400</v>
      </c>
      <c r="C27" s="37">
        <v>11</v>
      </c>
      <c r="D27" s="37">
        <v>3</v>
      </c>
      <c r="E27" s="39">
        <v>11433.94</v>
      </c>
      <c r="F27" s="51">
        <v>4.76280597166805E-3</v>
      </c>
      <c r="G27" s="37">
        <v>237127.272727273</v>
      </c>
    </row>
    <row r="28" spans="1:7" ht="15" customHeight="1" x14ac:dyDescent="0.3">
      <c r="A28" s="32" t="s">
        <v>394</v>
      </c>
      <c r="B28" s="31">
        <v>2502860</v>
      </c>
      <c r="C28" s="31">
        <v>12</v>
      </c>
      <c r="D28" s="31">
        <v>2</v>
      </c>
      <c r="E28" s="33">
        <v>20518.97</v>
      </c>
      <c r="F28" s="49">
        <v>4.5700952899283501E-3</v>
      </c>
      <c r="G28" s="31">
        <v>208571.66666666701</v>
      </c>
    </row>
    <row r="29" spans="1:7" ht="15" customHeight="1" x14ac:dyDescent="0.3">
      <c r="A29" s="38" t="s">
        <v>499</v>
      </c>
      <c r="B29" s="37">
        <v>2497280</v>
      </c>
      <c r="C29" s="37">
        <v>12</v>
      </c>
      <c r="D29" s="37">
        <v>4</v>
      </c>
      <c r="E29" s="39">
        <v>6940.5159999999996</v>
      </c>
      <c r="F29" s="51">
        <v>4.5599064932246502E-3</v>
      </c>
      <c r="G29" s="37">
        <v>208106.66666666701</v>
      </c>
    </row>
    <row r="30" spans="1:7" ht="15" customHeight="1" x14ac:dyDescent="0.3">
      <c r="A30" s="32" t="s">
        <v>964</v>
      </c>
      <c r="B30" s="31">
        <v>2465920</v>
      </c>
      <c r="C30" s="31">
        <v>10</v>
      </c>
      <c r="D30" s="31">
        <v>5</v>
      </c>
      <c r="E30" s="33">
        <v>8106</v>
      </c>
      <c r="F30" s="49">
        <v>4.5026447253702197E-3</v>
      </c>
      <c r="G30" s="31">
        <v>246592</v>
      </c>
    </row>
    <row r="31" spans="1:7" ht="15" customHeight="1" x14ac:dyDescent="0.3">
      <c r="A31" s="38" t="s">
        <v>1746</v>
      </c>
      <c r="B31" s="37">
        <v>2222000</v>
      </c>
      <c r="C31" s="37">
        <v>10</v>
      </c>
      <c r="D31" s="37">
        <v>4</v>
      </c>
      <c r="E31" s="39">
        <v>27749</v>
      </c>
      <c r="F31" s="51">
        <v>4.0572591891759003E-3</v>
      </c>
      <c r="G31" s="37">
        <v>222200</v>
      </c>
    </row>
    <row r="32" spans="1:7" ht="15" customHeight="1" x14ac:dyDescent="0.3">
      <c r="A32" s="32" t="s">
        <v>3293</v>
      </c>
      <c r="B32" s="31">
        <v>2164400</v>
      </c>
      <c r="C32" s="31">
        <v>8</v>
      </c>
      <c r="D32" s="31">
        <v>3</v>
      </c>
      <c r="E32" s="33">
        <v>11521.3</v>
      </c>
      <c r="F32" s="49">
        <v>3.95208451352489E-3</v>
      </c>
      <c r="G32" s="31">
        <v>270550</v>
      </c>
    </row>
    <row r="33" spans="1:7" ht="15" customHeight="1" x14ac:dyDescent="0.3">
      <c r="A33" s="38" t="s">
        <v>2556</v>
      </c>
      <c r="B33" s="37">
        <v>2094320</v>
      </c>
      <c r="C33" s="37">
        <v>8</v>
      </c>
      <c r="D33" s="37">
        <v>3</v>
      </c>
      <c r="E33" s="39">
        <v>4434.7</v>
      </c>
      <c r="F33" s="51">
        <v>3.82412199148284E-3</v>
      </c>
      <c r="G33" s="37">
        <v>261790</v>
      </c>
    </row>
    <row r="34" spans="1:7" ht="15" customHeight="1" x14ac:dyDescent="0.3">
      <c r="A34" s="32" t="s">
        <v>4522</v>
      </c>
      <c r="B34" s="31">
        <v>1978000</v>
      </c>
      <c r="C34" s="31">
        <v>1</v>
      </c>
      <c r="D34" s="31">
        <v>1</v>
      </c>
      <c r="E34" s="33">
        <v>896</v>
      </c>
      <c r="F34" s="49">
        <v>3.6117275770431701E-3</v>
      </c>
      <c r="G34" s="31">
        <v>1978000</v>
      </c>
    </row>
    <row r="35" spans="1:7" ht="15" customHeight="1" x14ac:dyDescent="0.3">
      <c r="A35" s="38" t="s">
        <v>477</v>
      </c>
      <c r="B35" s="37">
        <v>1925420</v>
      </c>
      <c r="C35" s="37">
        <v>10</v>
      </c>
      <c r="D35" s="37">
        <v>4</v>
      </c>
      <c r="E35" s="39">
        <v>8892.9</v>
      </c>
      <c r="F35" s="51">
        <v>3.5157191665270301E-3</v>
      </c>
      <c r="G35" s="37">
        <v>192542</v>
      </c>
    </row>
    <row r="36" spans="1:7" ht="15" customHeight="1" x14ac:dyDescent="0.3">
      <c r="A36" s="32" t="s">
        <v>4337</v>
      </c>
      <c r="B36" s="31">
        <v>1919400</v>
      </c>
      <c r="C36" s="31">
        <v>8</v>
      </c>
      <c r="D36" s="31">
        <v>2</v>
      </c>
      <c r="E36" s="33">
        <v>5159</v>
      </c>
      <c r="F36" s="49">
        <v>3.5047269521621101E-3</v>
      </c>
      <c r="G36" s="31">
        <v>239925</v>
      </c>
    </row>
    <row r="37" spans="1:7" ht="15" customHeight="1" x14ac:dyDescent="0.3">
      <c r="A37" s="38" t="s">
        <v>1387</v>
      </c>
      <c r="B37" s="37">
        <v>1896000</v>
      </c>
      <c r="C37" s="37">
        <v>10</v>
      </c>
      <c r="D37" s="37">
        <v>5</v>
      </c>
      <c r="E37" s="39">
        <v>12663.55</v>
      </c>
      <c r="F37" s="51">
        <v>3.4619997401788899E-3</v>
      </c>
      <c r="G37" s="37">
        <v>189600</v>
      </c>
    </row>
    <row r="38" spans="1:7" ht="15" customHeight="1" x14ac:dyDescent="0.3">
      <c r="A38" s="32" t="s">
        <v>2520</v>
      </c>
      <c r="B38" s="31">
        <v>1853000</v>
      </c>
      <c r="C38" s="31">
        <v>8</v>
      </c>
      <c r="D38" s="31">
        <v>1</v>
      </c>
      <c r="E38" s="33">
        <v>15217.272000000001</v>
      </c>
      <c r="F38" s="49">
        <v>3.3834839232866499E-3</v>
      </c>
      <c r="G38" s="31">
        <v>231625</v>
      </c>
    </row>
    <row r="39" spans="1:7" ht="15" customHeight="1" x14ac:dyDescent="0.3">
      <c r="A39" s="38" t="s">
        <v>206</v>
      </c>
      <c r="B39" s="37">
        <v>1838960</v>
      </c>
      <c r="C39" s="37">
        <v>9</v>
      </c>
      <c r="D39" s="37">
        <v>6</v>
      </c>
      <c r="E39" s="39">
        <v>8751.0650000000005</v>
      </c>
      <c r="F39" s="51">
        <v>3.3578475960967199E-3</v>
      </c>
      <c r="G39" s="37">
        <v>204328.88888888899</v>
      </c>
    </row>
    <row r="40" spans="1:7" ht="15" customHeight="1" x14ac:dyDescent="0.3">
      <c r="A40" s="32" t="s">
        <v>638</v>
      </c>
      <c r="B40" s="31">
        <v>1804000</v>
      </c>
      <c r="C40" s="31">
        <v>9</v>
      </c>
      <c r="D40" s="31">
        <v>3</v>
      </c>
      <c r="E40" s="33">
        <v>15759.876</v>
      </c>
      <c r="F40" s="49">
        <v>3.2940124110140902E-3</v>
      </c>
      <c r="G40" s="31">
        <v>200444.444444444</v>
      </c>
    </row>
    <row r="41" spans="1:7" ht="15" customHeight="1" x14ac:dyDescent="0.3">
      <c r="A41" s="38" t="s">
        <v>3084</v>
      </c>
      <c r="B41" s="37">
        <v>1786800</v>
      </c>
      <c r="C41" s="37">
        <v>9</v>
      </c>
      <c r="D41" s="37">
        <v>2</v>
      </c>
      <c r="E41" s="39">
        <v>7801.3639999999996</v>
      </c>
      <c r="F41" s="51">
        <v>3.2626060842572001E-3</v>
      </c>
      <c r="G41" s="37">
        <v>198533.33333333299</v>
      </c>
    </row>
    <row r="42" spans="1:7" ht="15" customHeight="1" x14ac:dyDescent="0.3">
      <c r="A42" s="32" t="s">
        <v>1975</v>
      </c>
      <c r="B42" s="31">
        <v>1784800</v>
      </c>
      <c r="C42" s="31">
        <v>12</v>
      </c>
      <c r="D42" s="31">
        <v>5</v>
      </c>
      <c r="E42" s="33">
        <v>9752</v>
      </c>
      <c r="F42" s="49">
        <v>3.2589541857970901E-3</v>
      </c>
      <c r="G42" s="31">
        <v>148733.33333333299</v>
      </c>
    </row>
    <row r="43" spans="1:7" ht="15" customHeight="1" x14ac:dyDescent="0.3">
      <c r="A43" s="38" t="s">
        <v>76</v>
      </c>
      <c r="B43" s="37">
        <v>1783660</v>
      </c>
      <c r="C43" s="37">
        <v>12</v>
      </c>
      <c r="D43" s="37">
        <v>4</v>
      </c>
      <c r="E43" s="39">
        <v>13207.7</v>
      </c>
      <c r="F43" s="51">
        <v>3.2568726036748298E-3</v>
      </c>
      <c r="G43" s="37">
        <v>148638.33333333299</v>
      </c>
    </row>
    <row r="44" spans="1:7" ht="15" customHeight="1" x14ac:dyDescent="0.3">
      <c r="A44" s="32" t="s">
        <v>4216</v>
      </c>
      <c r="B44" s="31">
        <v>1649000</v>
      </c>
      <c r="C44" s="31">
        <v>5</v>
      </c>
      <c r="D44" s="31">
        <v>3</v>
      </c>
      <c r="E44" s="33">
        <v>10287.01</v>
      </c>
      <c r="F44" s="49">
        <v>3.01099028035601E-3</v>
      </c>
      <c r="G44" s="31">
        <v>329800</v>
      </c>
    </row>
    <row r="45" spans="1:7" ht="15" customHeight="1" x14ac:dyDescent="0.3">
      <c r="A45" s="38" t="s">
        <v>2614</v>
      </c>
      <c r="B45" s="37">
        <v>1629200</v>
      </c>
      <c r="C45" s="37">
        <v>7</v>
      </c>
      <c r="D45" s="37">
        <v>3</v>
      </c>
      <c r="E45" s="39">
        <v>11012.51</v>
      </c>
      <c r="F45" s="51">
        <v>2.9748364856009798E-3</v>
      </c>
      <c r="G45" s="37">
        <v>232742.85714285701</v>
      </c>
    </row>
    <row r="46" spans="1:7" ht="15" customHeight="1" x14ac:dyDescent="0.3">
      <c r="A46" s="32" t="s">
        <v>3040</v>
      </c>
      <c r="B46" s="31">
        <v>1454800</v>
      </c>
      <c r="C46" s="31">
        <v>5</v>
      </c>
      <c r="D46" s="31">
        <v>2</v>
      </c>
      <c r="E46" s="33">
        <v>15399.891</v>
      </c>
      <c r="F46" s="49">
        <v>2.6563909398798799E-3</v>
      </c>
      <c r="G46" s="31">
        <v>290960</v>
      </c>
    </row>
    <row r="47" spans="1:7" ht="15" customHeight="1" x14ac:dyDescent="0.3">
      <c r="A47" s="38" t="s">
        <v>226</v>
      </c>
      <c r="B47" s="37">
        <v>1362000</v>
      </c>
      <c r="C47" s="37">
        <v>5</v>
      </c>
      <c r="D47" s="37">
        <v>3</v>
      </c>
      <c r="E47" s="39">
        <v>5044.6000000000004</v>
      </c>
      <c r="F47" s="51">
        <v>2.4869428513310402E-3</v>
      </c>
      <c r="G47" s="37">
        <v>272400</v>
      </c>
    </row>
    <row r="48" spans="1:7" ht="15" customHeight="1" x14ac:dyDescent="0.3">
      <c r="A48" s="32" t="s">
        <v>574</v>
      </c>
      <c r="B48" s="31">
        <v>1313000</v>
      </c>
      <c r="C48" s="31">
        <v>6</v>
      </c>
      <c r="D48" s="31">
        <v>1</v>
      </c>
      <c r="E48" s="33">
        <v>22877</v>
      </c>
      <c r="F48" s="49">
        <v>2.3974713390584801E-3</v>
      </c>
      <c r="G48" s="31">
        <v>218833.33333333299</v>
      </c>
    </row>
    <row r="49" spans="1:7" ht="15" customHeight="1" x14ac:dyDescent="0.3">
      <c r="A49" s="38" t="s">
        <v>4209</v>
      </c>
      <c r="B49" s="37">
        <v>1211400</v>
      </c>
      <c r="C49" s="37">
        <v>3</v>
      </c>
      <c r="D49" s="37">
        <v>3</v>
      </c>
      <c r="E49" s="39">
        <v>5082.1000000000004</v>
      </c>
      <c r="F49" s="51">
        <v>2.2119548972851801E-3</v>
      </c>
      <c r="G49" s="37">
        <v>403800</v>
      </c>
    </row>
    <row r="50" spans="1:7" ht="15" customHeight="1" x14ac:dyDescent="0.3">
      <c r="A50" s="32" t="s">
        <v>243</v>
      </c>
      <c r="B50" s="31">
        <v>1202300</v>
      </c>
      <c r="C50" s="31">
        <v>8</v>
      </c>
      <c r="D50" s="31">
        <v>5</v>
      </c>
      <c r="E50" s="33">
        <v>8235.4</v>
      </c>
      <c r="F50" s="49">
        <v>2.19533875929171E-3</v>
      </c>
      <c r="G50" s="31">
        <v>150287.5</v>
      </c>
    </row>
    <row r="51" spans="1:7" ht="15" customHeight="1" x14ac:dyDescent="0.3">
      <c r="A51" s="38" t="s">
        <v>3124</v>
      </c>
      <c r="B51" s="37">
        <v>1145200</v>
      </c>
      <c r="C51" s="37">
        <v>4</v>
      </c>
      <c r="D51" s="37">
        <v>2</v>
      </c>
      <c r="E51" s="39">
        <v>3399.66</v>
      </c>
      <c r="F51" s="51">
        <v>2.0910770582557299E-3</v>
      </c>
      <c r="G51" s="37">
        <v>286300</v>
      </c>
    </row>
    <row r="52" spans="1:7" ht="15" customHeight="1" x14ac:dyDescent="0.3">
      <c r="A52" s="32" t="s">
        <v>3468</v>
      </c>
      <c r="B52" s="31">
        <v>1135200</v>
      </c>
      <c r="C52" s="31">
        <v>4</v>
      </c>
      <c r="D52" s="31">
        <v>4</v>
      </c>
      <c r="E52" s="33">
        <v>7918.2</v>
      </c>
      <c r="F52" s="49">
        <v>2.07281756595521E-3</v>
      </c>
      <c r="G52" s="31">
        <v>283800</v>
      </c>
    </row>
    <row r="53" spans="1:7" ht="15" customHeight="1" x14ac:dyDescent="0.3">
      <c r="A53" s="38" t="s">
        <v>4235</v>
      </c>
      <c r="B53" s="37">
        <v>1094000</v>
      </c>
      <c r="C53" s="37">
        <v>3</v>
      </c>
      <c r="D53" s="37">
        <v>2</v>
      </c>
      <c r="E53" s="39">
        <v>9543</v>
      </c>
      <c r="F53" s="51">
        <v>1.9975884576770601E-3</v>
      </c>
      <c r="G53" s="37">
        <v>364666.66666666698</v>
      </c>
    </row>
    <row r="54" spans="1:7" ht="15" customHeight="1" x14ac:dyDescent="0.3">
      <c r="A54" s="32" t="s">
        <v>971</v>
      </c>
      <c r="B54" s="31">
        <v>1085040</v>
      </c>
      <c r="C54" s="31">
        <v>4</v>
      </c>
      <c r="D54" s="31">
        <v>1</v>
      </c>
      <c r="E54" s="33">
        <v>1376.058</v>
      </c>
      <c r="F54" s="49">
        <v>1.9812279525757899E-3</v>
      </c>
      <c r="G54" s="31">
        <v>271260</v>
      </c>
    </row>
    <row r="55" spans="1:7" ht="15" customHeight="1" x14ac:dyDescent="0.3">
      <c r="A55" s="38" t="s">
        <v>3241</v>
      </c>
      <c r="B55" s="37">
        <v>1049400</v>
      </c>
      <c r="C55" s="37">
        <v>3</v>
      </c>
      <c r="D55" s="37">
        <v>2</v>
      </c>
      <c r="E55" s="39">
        <v>5656.9</v>
      </c>
      <c r="F55" s="51">
        <v>1.9161511220167401E-3</v>
      </c>
      <c r="G55" s="37">
        <v>349800</v>
      </c>
    </row>
    <row r="56" spans="1:7" ht="15" customHeight="1" x14ac:dyDescent="0.3">
      <c r="A56" s="32" t="s">
        <v>454</v>
      </c>
      <c r="B56" s="31">
        <v>1042660</v>
      </c>
      <c r="C56" s="31">
        <v>4</v>
      </c>
      <c r="D56" s="31">
        <v>4</v>
      </c>
      <c r="E56" s="33">
        <v>10274</v>
      </c>
      <c r="F56" s="49">
        <v>1.9038442242061799E-3</v>
      </c>
      <c r="G56" s="31">
        <v>260665</v>
      </c>
    </row>
    <row r="57" spans="1:7" ht="15" customHeight="1" x14ac:dyDescent="0.3">
      <c r="A57" s="38" t="s">
        <v>3577</v>
      </c>
      <c r="B57" s="37">
        <v>1031000</v>
      </c>
      <c r="C57" s="37">
        <v>5</v>
      </c>
      <c r="D57" s="37">
        <v>3</v>
      </c>
      <c r="E57" s="39">
        <v>1695</v>
      </c>
      <c r="F57" s="51">
        <v>1.88255365618378E-3</v>
      </c>
      <c r="G57" s="37">
        <v>206200</v>
      </c>
    </row>
    <row r="58" spans="1:7" ht="15" customHeight="1" x14ac:dyDescent="0.3">
      <c r="A58" s="32" t="s">
        <v>5042</v>
      </c>
      <c r="B58" s="31">
        <v>1025200</v>
      </c>
      <c r="C58" s="31">
        <v>4</v>
      </c>
      <c r="D58" s="31">
        <v>1</v>
      </c>
      <c r="E58" s="33">
        <v>2756.02</v>
      </c>
      <c r="F58" s="49">
        <v>1.87196315064947E-3</v>
      </c>
      <c r="G58" s="31">
        <v>256300</v>
      </c>
    </row>
    <row r="59" spans="1:7" ht="15" customHeight="1" x14ac:dyDescent="0.3">
      <c r="A59" s="38" t="s">
        <v>804</v>
      </c>
      <c r="B59" s="37">
        <v>1025000</v>
      </c>
      <c r="C59" s="37">
        <v>5</v>
      </c>
      <c r="D59" s="37">
        <v>2</v>
      </c>
      <c r="E59" s="39">
        <v>9094.2000000000007</v>
      </c>
      <c r="F59" s="51">
        <v>1.87159796080346E-3</v>
      </c>
      <c r="G59" s="37">
        <v>205000</v>
      </c>
    </row>
    <row r="60" spans="1:7" ht="15" customHeight="1" x14ac:dyDescent="0.3">
      <c r="A60" s="32" t="s">
        <v>3895</v>
      </c>
      <c r="B60" s="31">
        <v>978800</v>
      </c>
      <c r="C60" s="31">
        <v>4</v>
      </c>
      <c r="D60" s="31">
        <v>3</v>
      </c>
      <c r="E60" s="33">
        <v>3992</v>
      </c>
      <c r="F60" s="49">
        <v>1.78723910637505E-3</v>
      </c>
      <c r="G60" s="31">
        <v>244700</v>
      </c>
    </row>
    <row r="61" spans="1:7" ht="15" customHeight="1" x14ac:dyDescent="0.3">
      <c r="A61" s="38" t="s">
        <v>764</v>
      </c>
      <c r="B61" s="37">
        <v>964000</v>
      </c>
      <c r="C61" s="37">
        <v>5</v>
      </c>
      <c r="D61" s="37">
        <v>3</v>
      </c>
      <c r="E61" s="39">
        <v>7313.82</v>
      </c>
      <c r="F61" s="51">
        <v>1.76021505777028E-3</v>
      </c>
      <c r="G61" s="37">
        <v>192800</v>
      </c>
    </row>
    <row r="62" spans="1:7" ht="15" customHeight="1" x14ac:dyDescent="0.3">
      <c r="A62" s="32" t="s">
        <v>3081</v>
      </c>
      <c r="B62" s="31">
        <v>945000</v>
      </c>
      <c r="C62" s="31">
        <v>5</v>
      </c>
      <c r="D62" s="31">
        <v>3</v>
      </c>
      <c r="E62" s="33">
        <v>4238</v>
      </c>
      <c r="F62" s="49">
        <v>1.7255220223992901E-3</v>
      </c>
      <c r="G62" s="31">
        <v>189000</v>
      </c>
    </row>
    <row r="63" spans="1:7" ht="15" customHeight="1" x14ac:dyDescent="0.3">
      <c r="A63" s="38" t="s">
        <v>556</v>
      </c>
      <c r="B63" s="37">
        <v>942040</v>
      </c>
      <c r="C63" s="37">
        <v>4</v>
      </c>
      <c r="D63" s="37">
        <v>2</v>
      </c>
      <c r="E63" s="39">
        <v>4642.8999999999996</v>
      </c>
      <c r="F63" s="51">
        <v>1.72011721267834E-3</v>
      </c>
      <c r="G63" s="37">
        <v>235510</v>
      </c>
    </row>
    <row r="64" spans="1:7" ht="15" customHeight="1" x14ac:dyDescent="0.3">
      <c r="A64" s="32" t="s">
        <v>2251</v>
      </c>
      <c r="B64" s="31">
        <v>942000</v>
      </c>
      <c r="C64" s="31">
        <v>5</v>
      </c>
      <c r="D64" s="31">
        <v>2</v>
      </c>
      <c r="E64" s="33">
        <v>3587</v>
      </c>
      <c r="F64" s="49">
        <v>1.72004417470913E-3</v>
      </c>
      <c r="G64" s="31">
        <v>188400</v>
      </c>
    </row>
    <row r="65" spans="1:7" ht="15" customHeight="1" x14ac:dyDescent="0.3">
      <c r="A65" s="38" t="s">
        <v>3415</v>
      </c>
      <c r="B65" s="37">
        <v>940800</v>
      </c>
      <c r="C65" s="37">
        <v>6</v>
      </c>
      <c r="D65" s="37">
        <v>4</v>
      </c>
      <c r="E65" s="39">
        <v>4269.3</v>
      </c>
      <c r="F65" s="51">
        <v>1.7178530356330699E-3</v>
      </c>
      <c r="G65" s="37">
        <v>156800</v>
      </c>
    </row>
    <row r="66" spans="1:7" ht="15" customHeight="1" x14ac:dyDescent="0.3">
      <c r="A66" s="32" t="s">
        <v>4708</v>
      </c>
      <c r="B66" s="31">
        <v>935000</v>
      </c>
      <c r="C66" s="31">
        <v>3</v>
      </c>
      <c r="D66" s="31">
        <v>1</v>
      </c>
      <c r="E66" s="33">
        <v>10789</v>
      </c>
      <c r="F66" s="49">
        <v>1.70726253009877E-3</v>
      </c>
      <c r="G66" s="31">
        <v>311666.66666666698</v>
      </c>
    </row>
    <row r="67" spans="1:7" ht="15" customHeight="1" x14ac:dyDescent="0.3">
      <c r="A67" s="38" t="s">
        <v>3374</v>
      </c>
      <c r="B67" s="37">
        <v>933200</v>
      </c>
      <c r="C67" s="37">
        <v>4</v>
      </c>
      <c r="D67" s="37">
        <v>3</v>
      </c>
      <c r="E67" s="39">
        <v>2853.8</v>
      </c>
      <c r="F67" s="51">
        <v>1.7039758214846699E-3</v>
      </c>
      <c r="G67" s="37">
        <v>233300</v>
      </c>
    </row>
    <row r="68" spans="1:7" ht="15" customHeight="1" x14ac:dyDescent="0.3">
      <c r="A68" s="32" t="s">
        <v>1643</v>
      </c>
      <c r="B68" s="31">
        <v>924000</v>
      </c>
      <c r="C68" s="31">
        <v>6</v>
      </c>
      <c r="D68" s="31">
        <v>1</v>
      </c>
      <c r="E68" s="33">
        <v>4400.8100000000004</v>
      </c>
      <c r="F68" s="49">
        <v>1.6871770885681901E-3</v>
      </c>
      <c r="G68" s="31">
        <v>154000</v>
      </c>
    </row>
    <row r="69" spans="1:7" ht="15" customHeight="1" x14ac:dyDescent="0.3">
      <c r="A69" s="38" t="s">
        <v>1613</v>
      </c>
      <c r="B69" s="37">
        <v>919780</v>
      </c>
      <c r="C69" s="37">
        <v>3</v>
      </c>
      <c r="D69" s="37">
        <v>2</v>
      </c>
      <c r="E69" s="39">
        <v>8929.6</v>
      </c>
      <c r="F69" s="51">
        <v>1.67947158281737E-3</v>
      </c>
      <c r="G69" s="37">
        <v>306593.33333333302</v>
      </c>
    </row>
    <row r="70" spans="1:7" ht="15" customHeight="1" x14ac:dyDescent="0.3">
      <c r="A70" s="32" t="s">
        <v>4385</v>
      </c>
      <c r="B70" s="31">
        <v>908600</v>
      </c>
      <c r="C70" s="31">
        <v>2</v>
      </c>
      <c r="D70" s="31">
        <v>2</v>
      </c>
      <c r="E70" s="33">
        <v>2982.68</v>
      </c>
      <c r="F70" s="49">
        <v>1.6590574704253901E-3</v>
      </c>
      <c r="G70" s="31">
        <v>454300</v>
      </c>
    </row>
    <row r="71" spans="1:7" ht="15" customHeight="1" x14ac:dyDescent="0.3">
      <c r="A71" s="38" t="s">
        <v>3753</v>
      </c>
      <c r="B71" s="37">
        <v>898400</v>
      </c>
      <c r="C71" s="37">
        <v>3</v>
      </c>
      <c r="D71" s="37">
        <v>1</v>
      </c>
      <c r="E71" s="39">
        <v>4033.8</v>
      </c>
      <c r="F71" s="51">
        <v>1.64043278827886E-3</v>
      </c>
      <c r="G71" s="37">
        <v>299466.66666666698</v>
      </c>
    </row>
    <row r="72" spans="1:7" ht="15" customHeight="1" x14ac:dyDescent="0.3">
      <c r="A72" s="32" t="s">
        <v>2851</v>
      </c>
      <c r="B72" s="31">
        <v>893060</v>
      </c>
      <c r="C72" s="31">
        <v>4</v>
      </c>
      <c r="D72" s="31">
        <v>2</v>
      </c>
      <c r="E72" s="33">
        <v>2136.9499999999998</v>
      </c>
      <c r="F72" s="49">
        <v>1.63068221939038E-3</v>
      </c>
      <c r="G72" s="31">
        <v>223265</v>
      </c>
    </row>
    <row r="73" spans="1:7" ht="15" customHeight="1" x14ac:dyDescent="0.3">
      <c r="A73" s="38" t="s">
        <v>131</v>
      </c>
      <c r="B73" s="37">
        <v>892000</v>
      </c>
      <c r="C73" s="37">
        <v>6</v>
      </c>
      <c r="D73" s="37">
        <v>1</v>
      </c>
      <c r="E73" s="39">
        <v>9621.2999999999993</v>
      </c>
      <c r="F73" s="51">
        <v>1.62874671320653E-3</v>
      </c>
      <c r="G73" s="37">
        <v>148666.66666666701</v>
      </c>
    </row>
    <row r="74" spans="1:7" ht="15" customHeight="1" x14ac:dyDescent="0.3">
      <c r="A74" s="32" t="s">
        <v>1771</v>
      </c>
      <c r="B74" s="31">
        <v>886120</v>
      </c>
      <c r="C74" s="31">
        <v>4</v>
      </c>
      <c r="D74" s="31">
        <v>3</v>
      </c>
      <c r="E74" s="33">
        <v>5315</v>
      </c>
      <c r="F74" s="49">
        <v>1.6180101317338201E-3</v>
      </c>
      <c r="G74" s="31">
        <v>221530</v>
      </c>
    </row>
    <row r="75" spans="1:7" ht="15" customHeight="1" x14ac:dyDescent="0.3">
      <c r="A75" s="38" t="s">
        <v>889</v>
      </c>
      <c r="B75" s="37">
        <v>874300</v>
      </c>
      <c r="C75" s="37">
        <v>5</v>
      </c>
      <c r="D75" s="37">
        <v>2</v>
      </c>
      <c r="E75" s="39">
        <v>4774</v>
      </c>
      <c r="F75" s="51">
        <v>1.5964274118345999E-3</v>
      </c>
      <c r="G75" s="37">
        <v>174860</v>
      </c>
    </row>
    <row r="76" spans="1:7" ht="15" customHeight="1" x14ac:dyDescent="0.3">
      <c r="A76" s="32" t="s">
        <v>2889</v>
      </c>
      <c r="B76" s="31">
        <v>858660</v>
      </c>
      <c r="C76" s="31">
        <v>4</v>
      </c>
      <c r="D76" s="31">
        <v>3</v>
      </c>
      <c r="E76" s="33">
        <v>6083</v>
      </c>
      <c r="F76" s="49">
        <v>1.5678695658765901E-3</v>
      </c>
      <c r="G76" s="31">
        <v>214665</v>
      </c>
    </row>
    <row r="77" spans="1:7" ht="15" customHeight="1" x14ac:dyDescent="0.3">
      <c r="A77" s="38" t="s">
        <v>1358</v>
      </c>
      <c r="B77" s="37">
        <v>857780</v>
      </c>
      <c r="C77" s="37">
        <v>5</v>
      </c>
      <c r="D77" s="37">
        <v>3</v>
      </c>
      <c r="E77" s="39">
        <v>3241</v>
      </c>
      <c r="F77" s="51">
        <v>1.5662627305541401E-3</v>
      </c>
      <c r="G77" s="37">
        <v>171556</v>
      </c>
    </row>
    <row r="78" spans="1:7" ht="15" customHeight="1" x14ac:dyDescent="0.3">
      <c r="A78" s="32" t="s">
        <v>3886</v>
      </c>
      <c r="B78" s="31">
        <v>844000</v>
      </c>
      <c r="C78" s="31">
        <v>4</v>
      </c>
      <c r="D78" s="31">
        <v>2</v>
      </c>
      <c r="E78" s="33">
        <v>7657</v>
      </c>
      <c r="F78" s="49">
        <v>1.5411011501640199E-3</v>
      </c>
      <c r="G78" s="31">
        <v>211000</v>
      </c>
    </row>
    <row r="79" spans="1:7" ht="15" customHeight="1" x14ac:dyDescent="0.3">
      <c r="A79" s="38" t="s">
        <v>99</v>
      </c>
      <c r="B79" s="37">
        <v>833300</v>
      </c>
      <c r="C79" s="37">
        <v>5</v>
      </c>
      <c r="D79" s="37">
        <v>1</v>
      </c>
      <c r="E79" s="39">
        <v>6039</v>
      </c>
      <c r="F79" s="51">
        <v>1.52156349340246E-3</v>
      </c>
      <c r="G79" s="37">
        <v>166660</v>
      </c>
    </row>
    <row r="80" spans="1:7" ht="15" customHeight="1" x14ac:dyDescent="0.3">
      <c r="A80" s="32" t="s">
        <v>1833</v>
      </c>
      <c r="B80" s="31">
        <v>832860</v>
      </c>
      <c r="C80" s="31">
        <v>3</v>
      </c>
      <c r="D80" s="31">
        <v>3</v>
      </c>
      <c r="E80" s="33">
        <v>6405</v>
      </c>
      <c r="F80" s="49">
        <v>1.52076007574124E-3</v>
      </c>
      <c r="G80" s="31">
        <v>277620</v>
      </c>
    </row>
    <row r="81" spans="1:7" ht="15" customHeight="1" x14ac:dyDescent="0.3">
      <c r="A81" s="38" t="s">
        <v>1665</v>
      </c>
      <c r="B81" s="37">
        <v>823000</v>
      </c>
      <c r="C81" s="37">
        <v>3</v>
      </c>
      <c r="D81" s="37">
        <v>1</v>
      </c>
      <c r="E81" s="39">
        <v>7569</v>
      </c>
      <c r="F81" s="51">
        <v>1.5027562163329299E-3</v>
      </c>
      <c r="G81" s="37">
        <v>274333.33333333302</v>
      </c>
    </row>
    <row r="82" spans="1:7" ht="15" customHeight="1" x14ac:dyDescent="0.3">
      <c r="A82" s="32" t="s">
        <v>3671</v>
      </c>
      <c r="B82" s="31">
        <v>816400</v>
      </c>
      <c r="C82" s="31">
        <v>4</v>
      </c>
      <c r="D82" s="31">
        <v>1</v>
      </c>
      <c r="E82" s="33">
        <v>3686</v>
      </c>
      <c r="F82" s="49">
        <v>1.49070495141458E-3</v>
      </c>
      <c r="G82" s="31">
        <v>204100</v>
      </c>
    </row>
    <row r="83" spans="1:7" ht="15" customHeight="1" x14ac:dyDescent="0.3">
      <c r="A83" s="38" t="s">
        <v>4395</v>
      </c>
      <c r="B83" s="37">
        <v>815400</v>
      </c>
      <c r="C83" s="37">
        <v>3</v>
      </c>
      <c r="D83" s="37">
        <v>2</v>
      </c>
      <c r="E83" s="39">
        <v>3803.3</v>
      </c>
      <c r="F83" s="51">
        <v>1.4888790021845299E-3</v>
      </c>
      <c r="G83" s="37">
        <v>271800</v>
      </c>
    </row>
    <row r="84" spans="1:7" ht="15" customHeight="1" x14ac:dyDescent="0.3">
      <c r="A84" s="32" t="s">
        <v>278</v>
      </c>
      <c r="B84" s="31">
        <v>815040</v>
      </c>
      <c r="C84" s="31">
        <v>4</v>
      </c>
      <c r="D84" s="31">
        <v>2</v>
      </c>
      <c r="E84" s="33">
        <v>2000</v>
      </c>
      <c r="F84" s="49">
        <v>1.4882216604617099E-3</v>
      </c>
      <c r="G84" s="31">
        <v>203760</v>
      </c>
    </row>
    <row r="85" spans="1:7" ht="15" customHeight="1" x14ac:dyDescent="0.3">
      <c r="A85" s="38" t="s">
        <v>940</v>
      </c>
      <c r="B85" s="37">
        <v>805520</v>
      </c>
      <c r="C85" s="37">
        <v>2</v>
      </c>
      <c r="D85" s="37">
        <v>2</v>
      </c>
      <c r="E85" s="39">
        <v>6966</v>
      </c>
      <c r="F85" s="51">
        <v>1.4708386237916101E-3</v>
      </c>
      <c r="G85" s="37">
        <v>402760</v>
      </c>
    </row>
    <row r="86" spans="1:7" ht="15" customHeight="1" x14ac:dyDescent="0.3">
      <c r="A86" s="32" t="s">
        <v>1415</v>
      </c>
      <c r="B86" s="31">
        <v>797000</v>
      </c>
      <c r="C86" s="31">
        <v>5</v>
      </c>
      <c r="D86" s="31">
        <v>3</v>
      </c>
      <c r="E86" s="33">
        <v>6557.0119999999997</v>
      </c>
      <c r="F86" s="49">
        <v>1.45528153635157E-3</v>
      </c>
      <c r="G86" s="31">
        <v>159400</v>
      </c>
    </row>
    <row r="87" spans="1:7" ht="15" customHeight="1" x14ac:dyDescent="0.3">
      <c r="A87" s="38" t="s">
        <v>96</v>
      </c>
      <c r="B87" s="37">
        <v>795660</v>
      </c>
      <c r="C87" s="37">
        <v>4</v>
      </c>
      <c r="D87" s="37">
        <v>3</v>
      </c>
      <c r="E87" s="39">
        <v>2197</v>
      </c>
      <c r="F87" s="51">
        <v>1.4528347643833E-3</v>
      </c>
      <c r="G87" s="37">
        <v>198915</v>
      </c>
    </row>
    <row r="88" spans="1:7" ht="15" customHeight="1" x14ac:dyDescent="0.3">
      <c r="A88" s="32" t="s">
        <v>4830</v>
      </c>
      <c r="B88" s="31">
        <v>781800</v>
      </c>
      <c r="C88" s="31">
        <v>3</v>
      </c>
      <c r="D88" s="31">
        <v>1</v>
      </c>
      <c r="E88" s="33">
        <v>4580</v>
      </c>
      <c r="F88" s="49">
        <v>1.42752710805478E-3</v>
      </c>
      <c r="G88" s="31">
        <v>260600</v>
      </c>
    </row>
    <row r="89" spans="1:7" ht="15" customHeight="1" x14ac:dyDescent="0.3">
      <c r="A89" s="38" t="s">
        <v>471</v>
      </c>
      <c r="B89" s="37">
        <v>778580</v>
      </c>
      <c r="C89" s="37">
        <v>4</v>
      </c>
      <c r="D89" s="37">
        <v>2</v>
      </c>
      <c r="E89" s="39">
        <v>6521.29</v>
      </c>
      <c r="F89" s="51">
        <v>1.4216475515340099E-3</v>
      </c>
      <c r="G89" s="37">
        <v>194645</v>
      </c>
    </row>
    <row r="90" spans="1:7" ht="15" customHeight="1" x14ac:dyDescent="0.3">
      <c r="A90" s="32" t="s">
        <v>3408</v>
      </c>
      <c r="B90" s="31">
        <v>771600</v>
      </c>
      <c r="C90" s="31">
        <v>2</v>
      </c>
      <c r="D90" s="31">
        <v>2</v>
      </c>
      <c r="E90" s="33">
        <v>2273.5</v>
      </c>
      <c r="F90" s="49">
        <v>1.4089024259082499E-3</v>
      </c>
      <c r="G90" s="31">
        <v>385800</v>
      </c>
    </row>
    <row r="91" spans="1:7" ht="15" customHeight="1" x14ac:dyDescent="0.3">
      <c r="A91" s="38" t="s">
        <v>2797</v>
      </c>
      <c r="B91" s="37">
        <v>758860</v>
      </c>
      <c r="C91" s="37">
        <v>3</v>
      </c>
      <c r="D91" s="37">
        <v>3</v>
      </c>
      <c r="E91" s="39">
        <v>4067.4</v>
      </c>
      <c r="F91" s="51">
        <v>1.38563983271738E-3</v>
      </c>
      <c r="G91" s="37">
        <v>252953.33333333299</v>
      </c>
    </row>
    <row r="92" spans="1:7" ht="15" customHeight="1" x14ac:dyDescent="0.3">
      <c r="A92" s="32" t="s">
        <v>818</v>
      </c>
      <c r="B92" s="31">
        <v>743860</v>
      </c>
      <c r="C92" s="31">
        <v>4</v>
      </c>
      <c r="D92" s="31">
        <v>4</v>
      </c>
      <c r="E92" s="33">
        <v>2738.41</v>
      </c>
      <c r="F92" s="49">
        <v>1.3582505942666E-3</v>
      </c>
      <c r="G92" s="31">
        <v>185965</v>
      </c>
    </row>
    <row r="93" spans="1:7" ht="15" customHeight="1" x14ac:dyDescent="0.3">
      <c r="A93" s="38" t="s">
        <v>686</v>
      </c>
      <c r="B93" s="37">
        <v>742780</v>
      </c>
      <c r="C93" s="37">
        <v>3</v>
      </c>
      <c r="D93" s="37">
        <v>2</v>
      </c>
      <c r="E93" s="39">
        <v>4311</v>
      </c>
      <c r="F93" s="51">
        <v>1.35627856909814E-3</v>
      </c>
      <c r="G93" s="37">
        <v>247593.33333333299</v>
      </c>
    </row>
    <row r="94" spans="1:7" ht="15" customHeight="1" x14ac:dyDescent="0.3">
      <c r="A94" s="32" t="s">
        <v>1724</v>
      </c>
      <c r="B94" s="31">
        <v>741780</v>
      </c>
      <c r="C94" s="31">
        <v>3</v>
      </c>
      <c r="D94" s="31">
        <v>1</v>
      </c>
      <c r="E94" s="33">
        <v>11047.42</v>
      </c>
      <c r="F94" s="49">
        <v>1.3544526198680899E-3</v>
      </c>
      <c r="G94" s="31">
        <v>247260</v>
      </c>
    </row>
    <row r="95" spans="1:7" ht="15" customHeight="1" x14ac:dyDescent="0.3">
      <c r="A95" s="38" t="s">
        <v>2280</v>
      </c>
      <c r="B95" s="37">
        <v>723860</v>
      </c>
      <c r="C95" s="37">
        <v>3</v>
      </c>
      <c r="D95" s="37">
        <v>2</v>
      </c>
      <c r="E95" s="39">
        <v>1803</v>
      </c>
      <c r="F95" s="51">
        <v>1.32173160966556E-3</v>
      </c>
      <c r="G95" s="37">
        <v>241286.66666666701</v>
      </c>
    </row>
    <row r="96" spans="1:7" ht="15" customHeight="1" x14ac:dyDescent="0.3">
      <c r="A96" s="32" t="s">
        <v>3732</v>
      </c>
      <c r="B96" s="31">
        <v>711400</v>
      </c>
      <c r="C96" s="31">
        <v>3</v>
      </c>
      <c r="D96" s="31">
        <v>3</v>
      </c>
      <c r="E96" s="33">
        <v>5115.32</v>
      </c>
      <c r="F96" s="49">
        <v>1.2989802822591101E-3</v>
      </c>
      <c r="G96" s="31">
        <v>237133.33333333299</v>
      </c>
    </row>
    <row r="97" spans="1:7" ht="15" customHeight="1" x14ac:dyDescent="0.3">
      <c r="A97" s="38" t="s">
        <v>4371</v>
      </c>
      <c r="B97" s="37">
        <v>705400</v>
      </c>
      <c r="C97" s="37">
        <v>3</v>
      </c>
      <c r="D97" s="37">
        <v>1</v>
      </c>
      <c r="E97" s="39">
        <v>3524</v>
      </c>
      <c r="F97" s="51">
        <v>1.2880245868787899E-3</v>
      </c>
      <c r="G97" s="37">
        <v>235133.33333333299</v>
      </c>
    </row>
    <row r="98" spans="1:7" ht="15" customHeight="1" x14ac:dyDescent="0.3">
      <c r="A98" s="32" t="s">
        <v>3382</v>
      </c>
      <c r="B98" s="31">
        <v>682800</v>
      </c>
      <c r="C98" s="31">
        <v>1</v>
      </c>
      <c r="D98" s="31">
        <v>1</v>
      </c>
      <c r="E98" s="33">
        <v>2300</v>
      </c>
      <c r="F98" s="49">
        <v>1.2467581342796099E-3</v>
      </c>
      <c r="G98" s="31">
        <v>682800</v>
      </c>
    </row>
    <row r="99" spans="1:7" ht="15" customHeight="1" x14ac:dyDescent="0.3">
      <c r="A99" s="38" t="s">
        <v>821</v>
      </c>
      <c r="B99" s="37">
        <v>679780</v>
      </c>
      <c r="C99" s="37">
        <v>3</v>
      </c>
      <c r="D99" s="37">
        <v>1</v>
      </c>
      <c r="E99" s="39">
        <v>5008.8999999999996</v>
      </c>
      <c r="F99" s="51">
        <v>1.24124376760486E-3</v>
      </c>
      <c r="G99" s="37">
        <v>226593.33333333299</v>
      </c>
    </row>
    <row r="100" spans="1:7" ht="15" customHeight="1" x14ac:dyDescent="0.3">
      <c r="A100" s="32" t="s">
        <v>1774</v>
      </c>
      <c r="B100" s="31">
        <v>674860</v>
      </c>
      <c r="C100" s="31">
        <v>3</v>
      </c>
      <c r="D100" s="31">
        <v>3</v>
      </c>
      <c r="E100" s="33">
        <v>3141</v>
      </c>
      <c r="F100" s="49">
        <v>1.2322600973929999E-3</v>
      </c>
      <c r="G100" s="31">
        <v>224953.33333333299</v>
      </c>
    </row>
    <row r="101" spans="1:7" ht="15" customHeight="1" x14ac:dyDescent="0.3">
      <c r="A101" s="38" t="s">
        <v>4860</v>
      </c>
      <c r="B101" s="37">
        <v>669000</v>
      </c>
      <c r="C101" s="37">
        <v>3</v>
      </c>
      <c r="D101" s="37">
        <v>1</v>
      </c>
      <c r="E101" s="39">
        <v>392086.73499999999</v>
      </c>
      <c r="F101" s="51">
        <v>1.22156003490489E-3</v>
      </c>
      <c r="G101" s="37">
        <v>223000</v>
      </c>
    </row>
    <row r="102" spans="1:7" ht="15" customHeight="1" x14ac:dyDescent="0.3">
      <c r="A102" s="32" t="s">
        <v>348</v>
      </c>
      <c r="B102" s="31">
        <v>666320</v>
      </c>
      <c r="C102" s="31">
        <v>3</v>
      </c>
      <c r="D102" s="31">
        <v>3</v>
      </c>
      <c r="E102" s="33">
        <v>6012</v>
      </c>
      <c r="F102" s="49">
        <v>1.2166664909683501E-3</v>
      </c>
      <c r="G102" s="31">
        <v>222106.66666666701</v>
      </c>
    </row>
    <row r="103" spans="1:7" ht="15" customHeight="1" x14ac:dyDescent="0.3">
      <c r="A103" s="38" t="s">
        <v>5029</v>
      </c>
      <c r="B103" s="37">
        <v>665000</v>
      </c>
      <c r="C103" s="37">
        <v>2</v>
      </c>
      <c r="D103" s="37">
        <v>1</v>
      </c>
      <c r="E103" s="39">
        <v>8537.1090000000004</v>
      </c>
      <c r="F103" s="51">
        <v>1.21425623798469E-3</v>
      </c>
      <c r="G103" s="37">
        <v>332500</v>
      </c>
    </row>
    <row r="104" spans="1:7" ht="15" customHeight="1" x14ac:dyDescent="0.3">
      <c r="A104" s="32" t="s">
        <v>5184</v>
      </c>
      <c r="B104" s="31">
        <v>663600</v>
      </c>
      <c r="C104" s="31">
        <v>2</v>
      </c>
      <c r="D104" s="31">
        <v>1</v>
      </c>
      <c r="E104" s="33">
        <v>5600</v>
      </c>
      <c r="F104" s="49">
        <v>1.21169990906261E-3</v>
      </c>
      <c r="G104" s="31">
        <v>331800</v>
      </c>
    </row>
    <row r="105" spans="1:7" ht="15" customHeight="1" x14ac:dyDescent="0.3">
      <c r="A105" s="38" t="s">
        <v>667</v>
      </c>
      <c r="B105" s="37">
        <v>662520</v>
      </c>
      <c r="C105" s="37">
        <v>2</v>
      </c>
      <c r="D105" s="37">
        <v>1</v>
      </c>
      <c r="E105" s="39">
        <v>7048</v>
      </c>
      <c r="F105" s="51">
        <v>1.20972788389416E-3</v>
      </c>
      <c r="G105" s="37">
        <v>331260</v>
      </c>
    </row>
    <row r="106" spans="1:7" ht="15" customHeight="1" x14ac:dyDescent="0.3">
      <c r="A106" s="32" t="s">
        <v>190</v>
      </c>
      <c r="B106" s="31">
        <v>661260</v>
      </c>
      <c r="C106" s="31">
        <v>4</v>
      </c>
      <c r="D106" s="31">
        <v>3</v>
      </c>
      <c r="E106" s="33">
        <v>3132</v>
      </c>
      <c r="F106" s="49">
        <v>1.2074271878642899E-3</v>
      </c>
      <c r="G106" s="31">
        <v>165315</v>
      </c>
    </row>
    <row r="107" spans="1:7" ht="15" customHeight="1" x14ac:dyDescent="0.3">
      <c r="A107" s="38" t="s">
        <v>2790</v>
      </c>
      <c r="B107" s="37">
        <v>661000</v>
      </c>
      <c r="C107" s="37">
        <v>3</v>
      </c>
      <c r="D107" s="37">
        <v>2</v>
      </c>
      <c r="E107" s="39">
        <v>5872.3249999999998</v>
      </c>
      <c r="F107" s="51">
        <v>1.2069524410644799E-3</v>
      </c>
      <c r="G107" s="37">
        <v>220333.33333333299</v>
      </c>
    </row>
    <row r="108" spans="1:7" ht="15" customHeight="1" x14ac:dyDescent="0.3">
      <c r="A108" s="32" t="s">
        <v>979</v>
      </c>
      <c r="B108" s="31">
        <v>652520</v>
      </c>
      <c r="C108" s="31">
        <v>2</v>
      </c>
      <c r="D108" s="31">
        <v>1</v>
      </c>
      <c r="E108" s="33">
        <v>5854</v>
      </c>
      <c r="F108" s="49">
        <v>1.1914683915936299E-3</v>
      </c>
      <c r="G108" s="31">
        <v>326260</v>
      </c>
    </row>
    <row r="109" spans="1:7" ht="15" customHeight="1" x14ac:dyDescent="0.3">
      <c r="A109" s="38" t="s">
        <v>1733</v>
      </c>
      <c r="B109" s="37">
        <v>647000</v>
      </c>
      <c r="C109" s="37">
        <v>3</v>
      </c>
      <c r="D109" s="37">
        <v>1</v>
      </c>
      <c r="E109" s="39">
        <v>8901</v>
      </c>
      <c r="F109" s="51">
        <v>1.18138915184375E-3</v>
      </c>
      <c r="G109" s="37">
        <v>215666.66666666701</v>
      </c>
    </row>
    <row r="110" spans="1:7" ht="15" customHeight="1" x14ac:dyDescent="0.3">
      <c r="A110" s="32" t="s">
        <v>3180</v>
      </c>
      <c r="B110" s="31">
        <v>627400</v>
      </c>
      <c r="C110" s="31">
        <v>3</v>
      </c>
      <c r="D110" s="31">
        <v>1</v>
      </c>
      <c r="E110" s="33">
        <v>3942</v>
      </c>
      <c r="F110" s="49">
        <v>1.14560054693472E-3</v>
      </c>
      <c r="G110" s="31">
        <v>209133.33333333299</v>
      </c>
    </row>
    <row r="111" spans="1:7" ht="15" customHeight="1" x14ac:dyDescent="0.3">
      <c r="A111" s="38" t="s">
        <v>3575</v>
      </c>
      <c r="B111" s="37">
        <v>627400</v>
      </c>
      <c r="C111" s="37">
        <v>3</v>
      </c>
      <c r="D111" s="37">
        <v>2</v>
      </c>
      <c r="E111" s="39">
        <v>20352</v>
      </c>
      <c r="F111" s="51">
        <v>1.14560054693472E-3</v>
      </c>
      <c r="G111" s="37">
        <v>209133.33333333299</v>
      </c>
    </row>
    <row r="112" spans="1:7" ht="15" customHeight="1" x14ac:dyDescent="0.3">
      <c r="A112" s="32" t="s">
        <v>3216</v>
      </c>
      <c r="B112" s="31">
        <v>621800</v>
      </c>
      <c r="C112" s="31">
        <v>3</v>
      </c>
      <c r="D112" s="31">
        <v>1</v>
      </c>
      <c r="E112" s="33">
        <v>3749.384</v>
      </c>
      <c r="F112" s="49">
        <v>1.1353752312464301E-3</v>
      </c>
      <c r="G112" s="31">
        <v>207266.66666666701</v>
      </c>
    </row>
    <row r="113" spans="1:7" ht="15" customHeight="1" x14ac:dyDescent="0.3">
      <c r="A113" s="38" t="s">
        <v>2711</v>
      </c>
      <c r="B113" s="37">
        <v>618860</v>
      </c>
      <c r="C113" s="37">
        <v>3</v>
      </c>
      <c r="D113" s="37">
        <v>2</v>
      </c>
      <c r="E113" s="39">
        <v>3449.8380000000002</v>
      </c>
      <c r="F113" s="51">
        <v>1.13000694051008E-3</v>
      </c>
      <c r="G113" s="37">
        <v>206286.66666666701</v>
      </c>
    </row>
    <row r="114" spans="1:7" ht="15" customHeight="1" x14ac:dyDescent="0.3">
      <c r="A114" s="32" t="s">
        <v>3178</v>
      </c>
      <c r="B114" s="31">
        <v>615600</v>
      </c>
      <c r="C114" s="31">
        <v>2</v>
      </c>
      <c r="D114" s="31">
        <v>1</v>
      </c>
      <c r="E114" s="33">
        <v>2382</v>
      </c>
      <c r="F114" s="49">
        <v>1.1240543460201099E-3</v>
      </c>
      <c r="G114" s="31">
        <v>307800</v>
      </c>
    </row>
    <row r="115" spans="1:7" ht="15" customHeight="1" x14ac:dyDescent="0.3">
      <c r="A115" s="38" t="s">
        <v>2886</v>
      </c>
      <c r="B115" s="37">
        <v>613000</v>
      </c>
      <c r="C115" s="37">
        <v>3</v>
      </c>
      <c r="D115" s="37">
        <v>2</v>
      </c>
      <c r="E115" s="39">
        <v>6640.732</v>
      </c>
      <c r="F115" s="51">
        <v>1.1193068780219701E-3</v>
      </c>
      <c r="G115" s="37">
        <v>204333.33333333299</v>
      </c>
    </row>
    <row r="116" spans="1:7" ht="15" customHeight="1" x14ac:dyDescent="0.3">
      <c r="A116" s="32" t="s">
        <v>4147</v>
      </c>
      <c r="B116" s="31">
        <v>599400</v>
      </c>
      <c r="C116" s="31">
        <v>3</v>
      </c>
      <c r="D116" s="31">
        <v>3</v>
      </c>
      <c r="E116" s="33">
        <v>706.2</v>
      </c>
      <c r="F116" s="49">
        <v>1.0944739684932601E-3</v>
      </c>
      <c r="G116" s="31">
        <v>199800</v>
      </c>
    </row>
    <row r="117" spans="1:7" ht="15" customHeight="1" x14ac:dyDescent="0.3">
      <c r="A117" s="38" t="s">
        <v>151</v>
      </c>
      <c r="B117" s="37">
        <v>594780</v>
      </c>
      <c r="C117" s="37">
        <v>3</v>
      </c>
      <c r="D117" s="37">
        <v>1</v>
      </c>
      <c r="E117" s="39">
        <v>3068</v>
      </c>
      <c r="F117" s="51">
        <v>1.0860380830504199E-3</v>
      </c>
      <c r="G117" s="37">
        <v>198260</v>
      </c>
    </row>
    <row r="118" spans="1:7" ht="15" customHeight="1" x14ac:dyDescent="0.3">
      <c r="A118" s="32" t="s">
        <v>529</v>
      </c>
      <c r="B118" s="31">
        <v>592580</v>
      </c>
      <c r="C118" s="31">
        <v>4</v>
      </c>
      <c r="D118" s="31">
        <v>3</v>
      </c>
      <c r="E118" s="33">
        <v>2378</v>
      </c>
      <c r="F118" s="49">
        <v>1.0820209947443101E-3</v>
      </c>
      <c r="G118" s="31">
        <v>148145</v>
      </c>
    </row>
    <row r="119" spans="1:7" ht="15" customHeight="1" x14ac:dyDescent="0.3">
      <c r="A119" s="38" t="s">
        <v>868</v>
      </c>
      <c r="B119" s="37">
        <v>589000</v>
      </c>
      <c r="C119" s="37">
        <v>3</v>
      </c>
      <c r="D119" s="37">
        <v>3</v>
      </c>
      <c r="E119" s="39">
        <v>2827.21</v>
      </c>
      <c r="F119" s="51">
        <v>1.07548409650072E-3</v>
      </c>
      <c r="G119" s="37">
        <v>196333.33333333299</v>
      </c>
    </row>
    <row r="120" spans="1:7" ht="15" customHeight="1" x14ac:dyDescent="0.3">
      <c r="A120" s="32" t="s">
        <v>2948</v>
      </c>
      <c r="B120" s="31">
        <v>586600</v>
      </c>
      <c r="C120" s="31">
        <v>2</v>
      </c>
      <c r="D120" s="31">
        <v>2</v>
      </c>
      <c r="E120" s="33">
        <v>7238.4</v>
      </c>
      <c r="F120" s="49">
        <v>1.0711018183485999E-3</v>
      </c>
      <c r="G120" s="31">
        <v>293300</v>
      </c>
    </row>
    <row r="121" spans="1:7" ht="15" customHeight="1" x14ac:dyDescent="0.3">
      <c r="A121" s="38" t="s">
        <v>359</v>
      </c>
      <c r="B121" s="37">
        <v>584780</v>
      </c>
      <c r="C121" s="37">
        <v>3</v>
      </c>
      <c r="D121" s="37">
        <v>3</v>
      </c>
      <c r="E121" s="39">
        <v>3762.59</v>
      </c>
      <c r="F121" s="51">
        <v>1.0677785907499001E-3</v>
      </c>
      <c r="G121" s="37">
        <v>194926.66666666701</v>
      </c>
    </row>
    <row r="122" spans="1:7" ht="15" customHeight="1" x14ac:dyDescent="0.3">
      <c r="A122" s="32" t="s">
        <v>2267</v>
      </c>
      <c r="B122" s="31">
        <v>578520</v>
      </c>
      <c r="C122" s="31">
        <v>2</v>
      </c>
      <c r="D122" s="31">
        <v>1</v>
      </c>
      <c r="E122" s="33">
        <v>2735.47</v>
      </c>
      <c r="F122" s="49">
        <v>1.0563481485697699E-3</v>
      </c>
      <c r="G122" s="31">
        <v>289260</v>
      </c>
    </row>
    <row r="123" spans="1:7" ht="15" customHeight="1" x14ac:dyDescent="0.3">
      <c r="A123" s="38" t="s">
        <v>5423</v>
      </c>
      <c r="B123" s="37">
        <v>567600</v>
      </c>
      <c r="C123" s="37">
        <v>2</v>
      </c>
      <c r="D123" s="37">
        <v>1</v>
      </c>
      <c r="E123" s="39">
        <v>695.87</v>
      </c>
      <c r="F123" s="51">
        <v>1.03640878297761E-3</v>
      </c>
      <c r="G123" s="37">
        <v>283800</v>
      </c>
    </row>
    <row r="124" spans="1:7" ht="15" customHeight="1" x14ac:dyDescent="0.3">
      <c r="A124" s="32" t="s">
        <v>3418</v>
      </c>
      <c r="B124" s="31">
        <v>558600</v>
      </c>
      <c r="C124" s="31">
        <v>2</v>
      </c>
      <c r="D124" s="31">
        <v>2</v>
      </c>
      <c r="E124" s="33">
        <v>2618.6</v>
      </c>
      <c r="F124" s="49">
        <v>1.0199752399071399E-3</v>
      </c>
      <c r="G124" s="31">
        <v>279300</v>
      </c>
    </row>
    <row r="125" spans="1:7" ht="15" customHeight="1" x14ac:dyDescent="0.3">
      <c r="A125" s="38" t="s">
        <v>4261</v>
      </c>
      <c r="B125" s="37">
        <v>557600</v>
      </c>
      <c r="C125" s="37">
        <v>2</v>
      </c>
      <c r="D125" s="37">
        <v>2</v>
      </c>
      <c r="E125" s="39">
        <v>6530.2</v>
      </c>
      <c r="F125" s="51">
        <v>1.0181492906770799E-3</v>
      </c>
      <c r="G125" s="37">
        <v>278800</v>
      </c>
    </row>
    <row r="126" spans="1:7" ht="15" customHeight="1" x14ac:dyDescent="0.3">
      <c r="A126" s="32" t="s">
        <v>1801</v>
      </c>
      <c r="B126" s="31">
        <v>549040</v>
      </c>
      <c r="C126" s="31">
        <v>4</v>
      </c>
      <c r="D126" s="31">
        <v>2</v>
      </c>
      <c r="E126" s="33">
        <v>862.62</v>
      </c>
      <c r="F126" s="49">
        <v>1.0025191652678401E-3</v>
      </c>
      <c r="G126" s="31">
        <v>137260</v>
      </c>
    </row>
    <row r="127" spans="1:7" ht="15" customHeight="1" x14ac:dyDescent="0.3">
      <c r="A127" s="38" t="s">
        <v>928</v>
      </c>
      <c r="B127" s="37">
        <v>549040</v>
      </c>
      <c r="C127" s="37">
        <v>4</v>
      </c>
      <c r="D127" s="37">
        <v>2</v>
      </c>
      <c r="E127" s="39">
        <v>740</v>
      </c>
      <c r="F127" s="51">
        <v>1.0025191652678401E-3</v>
      </c>
      <c r="G127" s="37">
        <v>137260</v>
      </c>
    </row>
    <row r="128" spans="1:7" ht="15" customHeight="1" x14ac:dyDescent="0.3">
      <c r="A128" s="32" t="s">
        <v>2549</v>
      </c>
      <c r="B128" s="31">
        <v>539260</v>
      </c>
      <c r="C128" s="31">
        <v>1</v>
      </c>
      <c r="D128" s="31">
        <v>1</v>
      </c>
      <c r="E128" s="33">
        <v>5271</v>
      </c>
      <c r="F128" s="49">
        <v>9.84661381797927E-4</v>
      </c>
      <c r="G128" s="31">
        <v>539260</v>
      </c>
    </row>
    <row r="129" spans="1:7" ht="15" customHeight="1" x14ac:dyDescent="0.3">
      <c r="A129" s="38" t="s">
        <v>5009</v>
      </c>
      <c r="B129" s="37">
        <v>536800</v>
      </c>
      <c r="C129" s="37">
        <v>2</v>
      </c>
      <c r="D129" s="37">
        <v>2</v>
      </c>
      <c r="E129" s="39">
        <v>1027</v>
      </c>
      <c r="F129" s="51">
        <v>9.8016954669199801E-4</v>
      </c>
      <c r="G129" s="37">
        <v>268400</v>
      </c>
    </row>
    <row r="130" spans="1:7" ht="15" customHeight="1" x14ac:dyDescent="0.3">
      <c r="A130" s="32" t="s">
        <v>5274</v>
      </c>
      <c r="B130" s="31">
        <v>534000</v>
      </c>
      <c r="C130" s="31">
        <v>2</v>
      </c>
      <c r="D130" s="31">
        <v>1</v>
      </c>
      <c r="E130" s="33">
        <v>2540</v>
      </c>
      <c r="F130" s="49">
        <v>9.7505688884785304E-4</v>
      </c>
      <c r="G130" s="31">
        <v>267000</v>
      </c>
    </row>
    <row r="131" spans="1:7" ht="15" customHeight="1" x14ac:dyDescent="0.3">
      <c r="A131" s="38" t="s">
        <v>3423</v>
      </c>
      <c r="B131" s="37">
        <v>531600</v>
      </c>
      <c r="C131" s="37">
        <v>2</v>
      </c>
      <c r="D131" s="37">
        <v>2</v>
      </c>
      <c r="E131" s="39">
        <v>1726</v>
      </c>
      <c r="F131" s="51">
        <v>9.7067461069572699E-4</v>
      </c>
      <c r="G131" s="37">
        <v>265800</v>
      </c>
    </row>
    <row r="132" spans="1:7" ht="15" customHeight="1" x14ac:dyDescent="0.3">
      <c r="A132" s="32" t="s">
        <v>4671</v>
      </c>
      <c r="B132" s="31">
        <v>530600</v>
      </c>
      <c r="C132" s="31">
        <v>2</v>
      </c>
      <c r="D132" s="31">
        <v>2</v>
      </c>
      <c r="E132" s="33">
        <v>912</v>
      </c>
      <c r="F132" s="49">
        <v>9.68848661465675E-4</v>
      </c>
      <c r="G132" s="31">
        <v>265300</v>
      </c>
    </row>
    <row r="133" spans="1:7" ht="15" customHeight="1" x14ac:dyDescent="0.3">
      <c r="A133" s="38" t="s">
        <v>194</v>
      </c>
      <c r="B133" s="37">
        <v>530060</v>
      </c>
      <c r="C133" s="37">
        <v>2</v>
      </c>
      <c r="D133" s="37">
        <v>2</v>
      </c>
      <c r="E133" s="39">
        <v>1105</v>
      </c>
      <c r="F133" s="51">
        <v>9.6786264888144705E-4</v>
      </c>
      <c r="G133" s="37">
        <v>265030</v>
      </c>
    </row>
    <row r="134" spans="1:7" ht="15" customHeight="1" x14ac:dyDescent="0.3">
      <c r="A134" s="32" t="s">
        <v>945</v>
      </c>
      <c r="B134" s="31">
        <v>522520</v>
      </c>
      <c r="C134" s="31">
        <v>2</v>
      </c>
      <c r="D134" s="31">
        <v>2</v>
      </c>
      <c r="E134" s="33">
        <v>2370</v>
      </c>
      <c r="F134" s="49">
        <v>9.54094991686854E-4</v>
      </c>
      <c r="G134" s="31">
        <v>261260</v>
      </c>
    </row>
    <row r="135" spans="1:7" ht="15" customHeight="1" x14ac:dyDescent="0.3">
      <c r="A135" s="38" t="s">
        <v>4202</v>
      </c>
      <c r="B135" s="37">
        <v>517400</v>
      </c>
      <c r="C135" s="37">
        <v>3</v>
      </c>
      <c r="D135" s="37">
        <v>1</v>
      </c>
      <c r="E135" s="39">
        <v>3628</v>
      </c>
      <c r="F135" s="51">
        <v>9.44746131628987E-4</v>
      </c>
      <c r="G135" s="37">
        <v>172466.66666666701</v>
      </c>
    </row>
    <row r="136" spans="1:7" ht="15" customHeight="1" x14ac:dyDescent="0.3">
      <c r="A136" s="32" t="s">
        <v>3431</v>
      </c>
      <c r="B136" s="31">
        <v>511600</v>
      </c>
      <c r="C136" s="31">
        <v>2</v>
      </c>
      <c r="D136" s="31">
        <v>1</v>
      </c>
      <c r="E136" s="33">
        <v>1383</v>
      </c>
      <c r="F136" s="49">
        <v>9.3415562609468401E-4</v>
      </c>
      <c r="G136" s="31">
        <v>255800</v>
      </c>
    </row>
    <row r="137" spans="1:7" ht="15" customHeight="1" x14ac:dyDescent="0.3">
      <c r="A137" s="38" t="s">
        <v>5207</v>
      </c>
      <c r="B137" s="37">
        <v>511600</v>
      </c>
      <c r="C137" s="37">
        <v>2</v>
      </c>
      <c r="D137" s="37">
        <v>1</v>
      </c>
      <c r="E137" s="39">
        <v>3350</v>
      </c>
      <c r="F137" s="51">
        <v>9.3415562609468401E-4</v>
      </c>
      <c r="G137" s="37">
        <v>255800</v>
      </c>
    </row>
    <row r="138" spans="1:7" ht="15" customHeight="1" x14ac:dyDescent="0.3">
      <c r="A138" s="32" t="s">
        <v>1897</v>
      </c>
      <c r="B138" s="31">
        <v>510860</v>
      </c>
      <c r="C138" s="31">
        <v>3</v>
      </c>
      <c r="D138" s="31">
        <v>2</v>
      </c>
      <c r="E138" s="33">
        <v>1479</v>
      </c>
      <c r="F138" s="49">
        <v>9.3280442366444605E-4</v>
      </c>
      <c r="G138" s="31">
        <v>170286.66666666701</v>
      </c>
    </row>
    <row r="139" spans="1:7" ht="15" customHeight="1" x14ac:dyDescent="0.3">
      <c r="A139" s="38" t="s">
        <v>2574</v>
      </c>
      <c r="B139" s="37">
        <v>508060</v>
      </c>
      <c r="C139" s="37">
        <v>3</v>
      </c>
      <c r="D139" s="37">
        <v>2</v>
      </c>
      <c r="E139" s="39">
        <v>3703</v>
      </c>
      <c r="F139" s="51">
        <v>9.2769176582029901E-4</v>
      </c>
      <c r="G139" s="37">
        <v>169353.33333333299</v>
      </c>
    </row>
    <row r="140" spans="1:7" ht="15" customHeight="1" x14ac:dyDescent="0.3">
      <c r="A140" s="32" t="s">
        <v>405</v>
      </c>
      <c r="B140" s="31">
        <v>507320</v>
      </c>
      <c r="C140" s="31">
        <v>3</v>
      </c>
      <c r="D140" s="31">
        <v>3</v>
      </c>
      <c r="E140" s="33">
        <v>2641</v>
      </c>
      <c r="F140" s="49">
        <v>9.2634056339006095E-4</v>
      </c>
      <c r="G140" s="31">
        <v>169106.66666666701</v>
      </c>
    </row>
    <row r="141" spans="1:7" ht="15" customHeight="1" x14ac:dyDescent="0.3">
      <c r="A141" s="38" t="s">
        <v>5056</v>
      </c>
      <c r="B141" s="37">
        <v>506000</v>
      </c>
      <c r="C141" s="37">
        <v>2</v>
      </c>
      <c r="D141" s="37">
        <v>1</v>
      </c>
      <c r="E141" s="39">
        <v>7570</v>
      </c>
      <c r="F141" s="51">
        <v>9.23930310406392E-4</v>
      </c>
      <c r="G141" s="37">
        <v>253000</v>
      </c>
    </row>
    <row r="142" spans="1:7" ht="15" customHeight="1" x14ac:dyDescent="0.3">
      <c r="A142" s="32" t="s">
        <v>2250</v>
      </c>
      <c r="B142" s="31">
        <v>503060</v>
      </c>
      <c r="C142" s="31">
        <v>2</v>
      </c>
      <c r="D142" s="31">
        <v>2</v>
      </c>
      <c r="E142" s="33">
        <v>1709.5</v>
      </c>
      <c r="F142" s="49">
        <v>9.1856201967003897E-4</v>
      </c>
      <c r="G142" s="31">
        <v>251530</v>
      </c>
    </row>
    <row r="143" spans="1:7" ht="15" customHeight="1" x14ac:dyDescent="0.3">
      <c r="A143" s="38" t="s">
        <v>3071</v>
      </c>
      <c r="B143" s="37">
        <v>501000</v>
      </c>
      <c r="C143" s="37">
        <v>3</v>
      </c>
      <c r="D143" s="37">
        <v>2</v>
      </c>
      <c r="E143" s="39">
        <v>3072.1</v>
      </c>
      <c r="F143" s="51">
        <v>9.1480056425613098E-4</v>
      </c>
      <c r="G143" s="37">
        <v>167000</v>
      </c>
    </row>
    <row r="144" spans="1:7" ht="15" customHeight="1" x14ac:dyDescent="0.3">
      <c r="A144" s="32" t="s">
        <v>4490</v>
      </c>
      <c r="B144" s="31">
        <v>498000</v>
      </c>
      <c r="C144" s="31">
        <v>2</v>
      </c>
      <c r="D144" s="31">
        <v>2</v>
      </c>
      <c r="E144" s="33">
        <v>5304</v>
      </c>
      <c r="F144" s="49">
        <v>9.0932271656597502E-4</v>
      </c>
      <c r="G144" s="31">
        <v>249000</v>
      </c>
    </row>
    <row r="145" spans="1:7" ht="15" customHeight="1" x14ac:dyDescent="0.3">
      <c r="A145" s="38" t="s">
        <v>2650</v>
      </c>
      <c r="B145" s="37">
        <v>495060</v>
      </c>
      <c r="C145" s="37">
        <v>2</v>
      </c>
      <c r="D145" s="37">
        <v>1</v>
      </c>
      <c r="E145" s="39">
        <v>1893</v>
      </c>
      <c r="F145" s="51">
        <v>9.03954425829622E-4</v>
      </c>
      <c r="G145" s="37">
        <v>247530</v>
      </c>
    </row>
    <row r="146" spans="1:7" ht="15" customHeight="1" x14ac:dyDescent="0.3">
      <c r="A146" s="32" t="s">
        <v>1177</v>
      </c>
      <c r="B146" s="31">
        <v>494520</v>
      </c>
      <c r="C146" s="31">
        <v>2</v>
      </c>
      <c r="D146" s="31">
        <v>1</v>
      </c>
      <c r="E146" s="33">
        <v>4554.32</v>
      </c>
      <c r="F146" s="49">
        <v>9.0296841324539296E-4</v>
      </c>
      <c r="G146" s="31">
        <v>247260</v>
      </c>
    </row>
    <row r="147" spans="1:7" ht="15" customHeight="1" x14ac:dyDescent="0.3">
      <c r="A147" s="38" t="s">
        <v>1276</v>
      </c>
      <c r="B147" s="37">
        <v>491780</v>
      </c>
      <c r="C147" s="37">
        <v>3</v>
      </c>
      <c r="D147" s="37">
        <v>2</v>
      </c>
      <c r="E147" s="39">
        <v>1374</v>
      </c>
      <c r="F147" s="51">
        <v>8.9796531235504995E-4</v>
      </c>
      <c r="G147" s="37">
        <v>163926.66666666701</v>
      </c>
    </row>
    <row r="148" spans="1:7" ht="15" customHeight="1" x14ac:dyDescent="0.3">
      <c r="A148" s="32" t="s">
        <v>1015</v>
      </c>
      <c r="B148" s="31">
        <v>491780</v>
      </c>
      <c r="C148" s="31">
        <v>3</v>
      </c>
      <c r="D148" s="31">
        <v>2</v>
      </c>
      <c r="E148" s="33">
        <v>4059</v>
      </c>
      <c r="F148" s="49">
        <v>8.9796531235504995E-4</v>
      </c>
      <c r="G148" s="31">
        <v>163926.66666666701</v>
      </c>
    </row>
    <row r="149" spans="1:7" ht="15" customHeight="1" x14ac:dyDescent="0.3">
      <c r="A149" s="38" t="s">
        <v>3298</v>
      </c>
      <c r="B149" s="37">
        <v>483800</v>
      </c>
      <c r="C149" s="37">
        <v>3</v>
      </c>
      <c r="D149" s="37">
        <v>2</v>
      </c>
      <c r="E149" s="39">
        <v>1063</v>
      </c>
      <c r="F149" s="51">
        <v>8.8339423749923395E-4</v>
      </c>
      <c r="G149" s="37">
        <v>161266.66666666701</v>
      </c>
    </row>
    <row r="150" spans="1:7" ht="15" customHeight="1" x14ac:dyDescent="0.3">
      <c r="A150" s="32" t="s">
        <v>4196</v>
      </c>
      <c r="B150" s="31">
        <v>483600</v>
      </c>
      <c r="C150" s="31">
        <v>2</v>
      </c>
      <c r="D150" s="31">
        <v>2</v>
      </c>
      <c r="E150" s="33">
        <v>3602.06</v>
      </c>
      <c r="F150" s="49">
        <v>8.8302904765322405E-4</v>
      </c>
      <c r="G150" s="31">
        <v>241800</v>
      </c>
    </row>
    <row r="151" spans="1:7" ht="15" customHeight="1" x14ac:dyDescent="0.3">
      <c r="A151" s="38" t="s">
        <v>4205</v>
      </c>
      <c r="B151" s="37">
        <v>478000</v>
      </c>
      <c r="C151" s="37">
        <v>2</v>
      </c>
      <c r="D151" s="37">
        <v>2</v>
      </c>
      <c r="E151" s="39">
        <v>2253.39</v>
      </c>
      <c r="F151" s="51">
        <v>8.7280373196493204E-4</v>
      </c>
      <c r="G151" s="37">
        <v>239000</v>
      </c>
    </row>
    <row r="152" spans="1:7" ht="15" customHeight="1" x14ac:dyDescent="0.3">
      <c r="A152" s="32" t="s">
        <v>3267</v>
      </c>
      <c r="B152" s="31">
        <v>477600</v>
      </c>
      <c r="C152" s="31">
        <v>2</v>
      </c>
      <c r="D152" s="31">
        <v>2</v>
      </c>
      <c r="E152" s="33">
        <v>893</v>
      </c>
      <c r="F152" s="49">
        <v>8.7207335227291105E-4</v>
      </c>
      <c r="G152" s="31">
        <v>238800</v>
      </c>
    </row>
    <row r="153" spans="1:7" ht="15" customHeight="1" x14ac:dyDescent="0.3">
      <c r="A153" s="38" t="s">
        <v>4603</v>
      </c>
      <c r="B153" s="37">
        <v>477600</v>
      </c>
      <c r="C153" s="37">
        <v>2</v>
      </c>
      <c r="D153" s="37">
        <v>1</v>
      </c>
      <c r="E153" s="39">
        <v>1654.04</v>
      </c>
      <c r="F153" s="51">
        <v>8.7207335227291105E-4</v>
      </c>
      <c r="G153" s="37">
        <v>238800</v>
      </c>
    </row>
    <row r="154" spans="1:7" ht="15" customHeight="1" x14ac:dyDescent="0.3">
      <c r="A154" s="32" t="s">
        <v>295</v>
      </c>
      <c r="B154" s="31">
        <v>476520</v>
      </c>
      <c r="C154" s="31">
        <v>2</v>
      </c>
      <c r="D154" s="31">
        <v>1</v>
      </c>
      <c r="E154" s="33">
        <v>2513</v>
      </c>
      <c r="F154" s="49">
        <v>8.7010132710445395E-4</v>
      </c>
      <c r="G154" s="31">
        <v>238260</v>
      </c>
    </row>
    <row r="155" spans="1:7" ht="15" customHeight="1" x14ac:dyDescent="0.3">
      <c r="A155" s="38" t="s">
        <v>3478</v>
      </c>
      <c r="B155" s="37">
        <v>474800</v>
      </c>
      <c r="C155" s="37">
        <v>2</v>
      </c>
      <c r="D155" s="37">
        <v>2</v>
      </c>
      <c r="E155" s="39">
        <v>4179.3999999999996</v>
      </c>
      <c r="F155" s="51">
        <v>8.6696069442876499E-4</v>
      </c>
      <c r="G155" s="37">
        <v>237400</v>
      </c>
    </row>
    <row r="156" spans="1:7" ht="15" customHeight="1" x14ac:dyDescent="0.3">
      <c r="A156" s="32" t="s">
        <v>875</v>
      </c>
      <c r="B156" s="31">
        <v>467000</v>
      </c>
      <c r="C156" s="31">
        <v>2</v>
      </c>
      <c r="D156" s="31">
        <v>1</v>
      </c>
      <c r="E156" s="33">
        <v>2901.5</v>
      </c>
      <c r="F156" s="49">
        <v>8.5271829043435802E-4</v>
      </c>
      <c r="G156" s="31">
        <v>233500</v>
      </c>
    </row>
    <row r="157" spans="1:7" ht="15" customHeight="1" x14ac:dyDescent="0.3">
      <c r="A157" s="38" t="s">
        <v>1446</v>
      </c>
      <c r="B157" s="37">
        <v>466520</v>
      </c>
      <c r="C157" s="37">
        <v>2</v>
      </c>
      <c r="D157" s="37">
        <v>2</v>
      </c>
      <c r="E157" s="39">
        <v>2780</v>
      </c>
      <c r="F157" s="51">
        <v>8.51841834803933E-4</v>
      </c>
      <c r="G157" s="37">
        <v>233260</v>
      </c>
    </row>
    <row r="158" spans="1:7" ht="15" customHeight="1" x14ac:dyDescent="0.3">
      <c r="A158" s="32" t="s">
        <v>1659</v>
      </c>
      <c r="B158" s="31">
        <v>466520</v>
      </c>
      <c r="C158" s="31">
        <v>2</v>
      </c>
      <c r="D158" s="31">
        <v>1</v>
      </c>
      <c r="E158" s="33">
        <v>1541.76</v>
      </c>
      <c r="F158" s="49">
        <v>8.51841834803933E-4</v>
      </c>
      <c r="G158" s="31">
        <v>233260</v>
      </c>
    </row>
    <row r="159" spans="1:7" ht="15" customHeight="1" x14ac:dyDescent="0.3">
      <c r="A159" s="38" t="s">
        <v>5321</v>
      </c>
      <c r="B159" s="37">
        <v>464000</v>
      </c>
      <c r="C159" s="37">
        <v>1</v>
      </c>
      <c r="D159" s="37">
        <v>1</v>
      </c>
      <c r="E159" s="39">
        <v>983</v>
      </c>
      <c r="F159" s="51">
        <v>8.4724044274420097E-4</v>
      </c>
      <c r="G159" s="37">
        <v>464000</v>
      </c>
    </row>
    <row r="160" spans="1:7" ht="15" customHeight="1" x14ac:dyDescent="0.3">
      <c r="A160" s="32" t="s">
        <v>2951</v>
      </c>
      <c r="B160" s="31">
        <v>463400</v>
      </c>
      <c r="C160" s="31">
        <v>3</v>
      </c>
      <c r="D160" s="31">
        <v>2</v>
      </c>
      <c r="E160" s="33">
        <v>2242.5</v>
      </c>
      <c r="F160" s="49">
        <v>8.4614487320616998E-4</v>
      </c>
      <c r="G160" s="31">
        <v>154466.66666666701</v>
      </c>
    </row>
    <row r="161" spans="1:7" ht="15" customHeight="1" x14ac:dyDescent="0.3">
      <c r="A161" s="38" t="s">
        <v>5201</v>
      </c>
      <c r="B161" s="37">
        <v>455600</v>
      </c>
      <c r="C161" s="37">
        <v>2</v>
      </c>
      <c r="D161" s="37">
        <v>1</v>
      </c>
      <c r="E161" s="39">
        <v>238000</v>
      </c>
      <c r="F161" s="51">
        <v>8.3190246921176301E-4</v>
      </c>
      <c r="G161" s="37">
        <v>227800</v>
      </c>
    </row>
    <row r="162" spans="1:7" ht="15" customHeight="1" x14ac:dyDescent="0.3">
      <c r="A162" s="32" t="s">
        <v>5198</v>
      </c>
      <c r="B162" s="31">
        <v>455600</v>
      </c>
      <c r="C162" s="31">
        <v>2</v>
      </c>
      <c r="D162" s="31">
        <v>1</v>
      </c>
      <c r="E162" s="33">
        <v>8960</v>
      </c>
      <c r="F162" s="49">
        <v>8.3190246921176301E-4</v>
      </c>
      <c r="G162" s="31">
        <v>227800</v>
      </c>
    </row>
    <row r="163" spans="1:7" ht="15" customHeight="1" x14ac:dyDescent="0.3">
      <c r="A163" s="38" t="s">
        <v>5179</v>
      </c>
      <c r="B163" s="37">
        <v>455600</v>
      </c>
      <c r="C163" s="37">
        <v>2</v>
      </c>
      <c r="D163" s="37">
        <v>1</v>
      </c>
      <c r="E163" s="39">
        <v>806</v>
      </c>
      <c r="F163" s="51">
        <v>8.3190246921176301E-4</v>
      </c>
      <c r="G163" s="37">
        <v>227800</v>
      </c>
    </row>
    <row r="164" spans="1:7" ht="15" customHeight="1" x14ac:dyDescent="0.3">
      <c r="A164" s="32" t="s">
        <v>541</v>
      </c>
      <c r="B164" s="31">
        <v>447060</v>
      </c>
      <c r="C164" s="31">
        <v>2</v>
      </c>
      <c r="D164" s="31">
        <v>2</v>
      </c>
      <c r="E164" s="33">
        <v>2306</v>
      </c>
      <c r="F164" s="49">
        <v>8.1630886278711797E-4</v>
      </c>
      <c r="G164" s="31">
        <v>223530</v>
      </c>
    </row>
    <row r="165" spans="1:7" ht="15" customHeight="1" x14ac:dyDescent="0.3">
      <c r="A165" s="38" t="s">
        <v>4188</v>
      </c>
      <c r="B165" s="37">
        <v>439800</v>
      </c>
      <c r="C165" s="37">
        <v>1</v>
      </c>
      <c r="D165" s="37">
        <v>1</v>
      </c>
      <c r="E165" s="39">
        <v>1490</v>
      </c>
      <c r="F165" s="51">
        <v>8.0305247137693896E-4</v>
      </c>
      <c r="G165" s="37">
        <v>439800</v>
      </c>
    </row>
    <row r="166" spans="1:7" ht="15" customHeight="1" x14ac:dyDescent="0.3">
      <c r="A166" s="32" t="s">
        <v>5482</v>
      </c>
      <c r="B166" s="31">
        <v>439800</v>
      </c>
      <c r="C166" s="31">
        <v>1</v>
      </c>
      <c r="D166" s="31">
        <v>1</v>
      </c>
      <c r="E166" s="33">
        <v>5510.4</v>
      </c>
      <c r="F166" s="49">
        <v>8.0305247137693896E-4</v>
      </c>
      <c r="G166" s="31">
        <v>439800</v>
      </c>
    </row>
    <row r="167" spans="1:7" ht="15" customHeight="1" x14ac:dyDescent="0.3">
      <c r="A167" s="38" t="s">
        <v>2095</v>
      </c>
      <c r="B167" s="37">
        <v>438520</v>
      </c>
      <c r="C167" s="37">
        <v>2</v>
      </c>
      <c r="D167" s="37">
        <v>1</v>
      </c>
      <c r="E167" s="39">
        <v>3594</v>
      </c>
      <c r="F167" s="51">
        <v>8.0071525636247196E-4</v>
      </c>
      <c r="G167" s="37">
        <v>219260</v>
      </c>
    </row>
    <row r="168" spans="1:7" ht="15" customHeight="1" x14ac:dyDescent="0.3">
      <c r="A168" s="32" t="s">
        <v>1654</v>
      </c>
      <c r="B168" s="31">
        <v>437780</v>
      </c>
      <c r="C168" s="31">
        <v>3</v>
      </c>
      <c r="D168" s="31">
        <v>1</v>
      </c>
      <c r="E168" s="33">
        <v>426</v>
      </c>
      <c r="F168" s="49">
        <v>7.99364053932234E-4</v>
      </c>
      <c r="G168" s="31">
        <v>145926.66666666701</v>
      </c>
    </row>
    <row r="169" spans="1:7" ht="15" customHeight="1" x14ac:dyDescent="0.3">
      <c r="A169" s="38" t="s">
        <v>3787</v>
      </c>
      <c r="B169" s="37">
        <v>437000</v>
      </c>
      <c r="C169" s="37">
        <v>1</v>
      </c>
      <c r="D169" s="37">
        <v>1</v>
      </c>
      <c r="E169" s="39">
        <v>2070</v>
      </c>
      <c r="F169" s="51">
        <v>7.97939813532793E-4</v>
      </c>
      <c r="G169" s="37">
        <v>437000</v>
      </c>
    </row>
    <row r="170" spans="1:7" ht="15" customHeight="1" x14ac:dyDescent="0.3">
      <c r="A170" s="32" t="s">
        <v>4050</v>
      </c>
      <c r="B170" s="31">
        <v>437000</v>
      </c>
      <c r="C170" s="31">
        <v>1</v>
      </c>
      <c r="D170" s="31">
        <v>1</v>
      </c>
      <c r="E170" s="33">
        <v>9718</v>
      </c>
      <c r="F170" s="49">
        <v>7.97939813532793E-4</v>
      </c>
      <c r="G170" s="31">
        <v>437000</v>
      </c>
    </row>
    <row r="171" spans="1:7" ht="15" customHeight="1" x14ac:dyDescent="0.3">
      <c r="A171" s="38" t="s">
        <v>1018</v>
      </c>
      <c r="B171" s="37">
        <v>433000</v>
      </c>
      <c r="C171" s="37">
        <v>3</v>
      </c>
      <c r="D171" s="37">
        <v>2</v>
      </c>
      <c r="E171" s="39">
        <v>995</v>
      </c>
      <c r="F171" s="51">
        <v>7.9063601661258495E-4</v>
      </c>
      <c r="G171" s="37">
        <v>144333.33333333299</v>
      </c>
    </row>
    <row r="172" spans="1:7" ht="15" customHeight="1" x14ac:dyDescent="0.3">
      <c r="A172" s="32" t="s">
        <v>2498</v>
      </c>
      <c r="B172" s="31">
        <v>431000</v>
      </c>
      <c r="C172" s="31">
        <v>3</v>
      </c>
      <c r="D172" s="31">
        <v>2</v>
      </c>
      <c r="E172" s="33">
        <v>1923</v>
      </c>
      <c r="F172" s="49">
        <v>7.8698411815248E-4</v>
      </c>
      <c r="G172" s="31">
        <v>143666.66666666701</v>
      </c>
    </row>
    <row r="173" spans="1:7" ht="15" customHeight="1" x14ac:dyDescent="0.3">
      <c r="A173" s="38" t="s">
        <v>5067</v>
      </c>
      <c r="B173" s="37">
        <v>429600</v>
      </c>
      <c r="C173" s="37">
        <v>2</v>
      </c>
      <c r="D173" s="37">
        <v>1</v>
      </c>
      <c r="E173" s="39">
        <v>1560</v>
      </c>
      <c r="F173" s="51">
        <v>7.8442778923040702E-4</v>
      </c>
      <c r="G173" s="37">
        <v>214800</v>
      </c>
    </row>
    <row r="174" spans="1:7" ht="15" customHeight="1" x14ac:dyDescent="0.3">
      <c r="A174" s="32" t="s">
        <v>3604</v>
      </c>
      <c r="B174" s="31">
        <v>429000</v>
      </c>
      <c r="C174" s="31">
        <v>3</v>
      </c>
      <c r="D174" s="31">
        <v>1</v>
      </c>
      <c r="E174" s="33">
        <v>682</v>
      </c>
      <c r="F174" s="49">
        <v>7.8333221969237603E-4</v>
      </c>
      <c r="G174" s="31">
        <v>143000</v>
      </c>
    </row>
    <row r="175" spans="1:7" ht="15" customHeight="1" x14ac:dyDescent="0.3">
      <c r="A175" s="38" t="s">
        <v>2260</v>
      </c>
      <c r="B175" s="37">
        <v>428860</v>
      </c>
      <c r="C175" s="37">
        <v>3</v>
      </c>
      <c r="D175" s="37">
        <v>2</v>
      </c>
      <c r="E175" s="39">
        <v>591</v>
      </c>
      <c r="F175" s="51">
        <v>7.8307658680016896E-4</v>
      </c>
      <c r="G175" s="37">
        <v>142953.33333333299</v>
      </c>
    </row>
    <row r="176" spans="1:7" ht="15" customHeight="1" x14ac:dyDescent="0.3">
      <c r="A176" s="32" t="s">
        <v>1762</v>
      </c>
      <c r="B176" s="31">
        <v>426000</v>
      </c>
      <c r="C176" s="31">
        <v>2</v>
      </c>
      <c r="D176" s="31">
        <v>1</v>
      </c>
      <c r="E176" s="33">
        <v>4517</v>
      </c>
      <c r="F176" s="49">
        <v>7.7785437200221898E-4</v>
      </c>
      <c r="G176" s="31">
        <v>213000</v>
      </c>
    </row>
    <row r="177" spans="1:7" ht="15" customHeight="1" x14ac:dyDescent="0.3">
      <c r="A177" s="38" t="s">
        <v>987</v>
      </c>
      <c r="B177" s="37">
        <v>416800</v>
      </c>
      <c r="C177" s="37">
        <v>2</v>
      </c>
      <c r="D177" s="37">
        <v>2</v>
      </c>
      <c r="E177" s="39">
        <v>3338</v>
      </c>
      <c r="F177" s="51">
        <v>7.6105563908574001E-4</v>
      </c>
      <c r="G177" s="37">
        <v>208400</v>
      </c>
    </row>
    <row r="178" spans="1:7" ht="15" customHeight="1" x14ac:dyDescent="0.3">
      <c r="A178" s="32" t="s">
        <v>2938</v>
      </c>
      <c r="B178" s="31">
        <v>416000</v>
      </c>
      <c r="C178" s="31">
        <v>2</v>
      </c>
      <c r="D178" s="31">
        <v>1</v>
      </c>
      <c r="E178" s="33">
        <v>935</v>
      </c>
      <c r="F178" s="49">
        <v>7.5959487970169803E-4</v>
      </c>
      <c r="G178" s="31">
        <v>208000</v>
      </c>
    </row>
    <row r="179" spans="1:7" ht="15" customHeight="1" x14ac:dyDescent="0.3">
      <c r="A179" s="38" t="s">
        <v>2697</v>
      </c>
      <c r="B179" s="37">
        <v>416000</v>
      </c>
      <c r="C179" s="37">
        <v>2</v>
      </c>
      <c r="D179" s="37">
        <v>2</v>
      </c>
      <c r="E179" s="39">
        <v>2220</v>
      </c>
      <c r="F179" s="51">
        <v>7.5959487970169803E-4</v>
      </c>
      <c r="G179" s="37">
        <v>208000</v>
      </c>
    </row>
    <row r="180" spans="1:7" ht="15" customHeight="1" x14ac:dyDescent="0.3">
      <c r="A180" s="32" t="s">
        <v>4358</v>
      </c>
      <c r="B180" s="31">
        <v>412800</v>
      </c>
      <c r="C180" s="31">
        <v>1</v>
      </c>
      <c r="D180" s="31">
        <v>1</v>
      </c>
      <c r="E180" s="33">
        <v>1095.46</v>
      </c>
      <c r="F180" s="49">
        <v>7.5375184216553098E-4</v>
      </c>
      <c r="G180" s="31">
        <v>412800</v>
      </c>
    </row>
    <row r="181" spans="1:7" ht="15" customHeight="1" x14ac:dyDescent="0.3">
      <c r="A181" s="38" t="s">
        <v>934</v>
      </c>
      <c r="B181" s="37">
        <v>412520</v>
      </c>
      <c r="C181" s="37">
        <v>2</v>
      </c>
      <c r="D181" s="37">
        <v>1</v>
      </c>
      <c r="E181" s="39">
        <v>834</v>
      </c>
      <c r="F181" s="51">
        <v>7.5324057638111598E-4</v>
      </c>
      <c r="G181" s="37">
        <v>206260</v>
      </c>
    </row>
    <row r="182" spans="1:7" ht="15" customHeight="1" x14ac:dyDescent="0.3">
      <c r="A182" s="32" t="s">
        <v>107</v>
      </c>
      <c r="B182" s="31">
        <v>408780</v>
      </c>
      <c r="C182" s="31">
        <v>3</v>
      </c>
      <c r="D182" s="31">
        <v>1</v>
      </c>
      <c r="E182" s="33">
        <v>2725</v>
      </c>
      <c r="F182" s="49">
        <v>7.4641152626072097E-4</v>
      </c>
      <c r="G182" s="31">
        <v>136260</v>
      </c>
    </row>
    <row r="183" spans="1:7" ht="15" customHeight="1" x14ac:dyDescent="0.3">
      <c r="A183" s="38" t="s">
        <v>182</v>
      </c>
      <c r="B183" s="37">
        <v>408000</v>
      </c>
      <c r="C183" s="37">
        <v>2</v>
      </c>
      <c r="D183" s="37">
        <v>1</v>
      </c>
      <c r="E183" s="39">
        <v>4039.88</v>
      </c>
      <c r="F183" s="51">
        <v>7.4498728586128095E-4</v>
      </c>
      <c r="G183" s="37">
        <v>204000</v>
      </c>
    </row>
    <row r="184" spans="1:7" ht="15" customHeight="1" x14ac:dyDescent="0.3">
      <c r="A184" s="32" t="s">
        <v>3647</v>
      </c>
      <c r="B184" s="31">
        <v>401600</v>
      </c>
      <c r="C184" s="31">
        <v>2</v>
      </c>
      <c r="D184" s="31">
        <v>1</v>
      </c>
      <c r="E184" s="33">
        <v>841</v>
      </c>
      <c r="F184" s="49">
        <v>7.3330121078894696E-4</v>
      </c>
      <c r="G184" s="31">
        <v>200800</v>
      </c>
    </row>
    <row r="185" spans="1:7" ht="15" customHeight="1" x14ac:dyDescent="0.3">
      <c r="A185" s="38" t="s">
        <v>3928</v>
      </c>
      <c r="B185" s="37">
        <v>399600</v>
      </c>
      <c r="C185" s="37">
        <v>2</v>
      </c>
      <c r="D185" s="37">
        <v>2</v>
      </c>
      <c r="E185" s="39">
        <v>518.70000000000005</v>
      </c>
      <c r="F185" s="51">
        <v>7.2964931232884201E-4</v>
      </c>
      <c r="G185" s="37">
        <v>199800</v>
      </c>
    </row>
    <row r="186" spans="1:7" ht="15" customHeight="1" x14ac:dyDescent="0.3">
      <c r="A186" s="32" t="s">
        <v>3507</v>
      </c>
      <c r="B186" s="31">
        <v>399600</v>
      </c>
      <c r="C186" s="31">
        <v>2</v>
      </c>
      <c r="D186" s="31">
        <v>1</v>
      </c>
      <c r="E186" s="33">
        <v>1767</v>
      </c>
      <c r="F186" s="49">
        <v>7.2964931232884201E-4</v>
      </c>
      <c r="G186" s="31">
        <v>199800</v>
      </c>
    </row>
    <row r="187" spans="1:7" ht="15" customHeight="1" x14ac:dyDescent="0.3">
      <c r="A187" s="38" t="s">
        <v>5204</v>
      </c>
      <c r="B187" s="37">
        <v>394000</v>
      </c>
      <c r="C187" s="37">
        <v>2</v>
      </c>
      <c r="D187" s="37">
        <v>1</v>
      </c>
      <c r="E187" s="39">
        <v>5688</v>
      </c>
      <c r="F187" s="51">
        <v>7.1942399664055E-4</v>
      </c>
      <c r="G187" s="37">
        <v>197000</v>
      </c>
    </row>
    <row r="188" spans="1:7" ht="15" customHeight="1" x14ac:dyDescent="0.3">
      <c r="A188" s="32" t="s">
        <v>2770</v>
      </c>
      <c r="B188" s="31">
        <v>393060</v>
      </c>
      <c r="C188" s="31">
        <v>2</v>
      </c>
      <c r="D188" s="31">
        <v>2</v>
      </c>
      <c r="E188" s="33">
        <v>1275</v>
      </c>
      <c r="F188" s="49">
        <v>7.1770760436430095E-4</v>
      </c>
      <c r="G188" s="31">
        <v>196530</v>
      </c>
    </row>
    <row r="189" spans="1:7" ht="15" customHeight="1" x14ac:dyDescent="0.3">
      <c r="A189" s="38" t="s">
        <v>1939</v>
      </c>
      <c r="B189" s="37">
        <v>392000</v>
      </c>
      <c r="C189" s="37">
        <v>2</v>
      </c>
      <c r="D189" s="37">
        <v>1</v>
      </c>
      <c r="E189" s="39">
        <v>3161</v>
      </c>
      <c r="F189" s="51">
        <v>7.1577209818044602E-4</v>
      </c>
      <c r="G189" s="37">
        <v>196000</v>
      </c>
    </row>
    <row r="190" spans="1:7" ht="15" customHeight="1" x14ac:dyDescent="0.3">
      <c r="A190" s="32" t="s">
        <v>776</v>
      </c>
      <c r="B190" s="31">
        <v>391520</v>
      </c>
      <c r="C190" s="31">
        <v>2</v>
      </c>
      <c r="D190" s="31">
        <v>1</v>
      </c>
      <c r="E190" s="33">
        <v>2488</v>
      </c>
      <c r="F190" s="49">
        <v>7.1489564255002101E-4</v>
      </c>
      <c r="G190" s="31">
        <v>195760</v>
      </c>
    </row>
    <row r="191" spans="1:7" ht="15" customHeight="1" x14ac:dyDescent="0.3">
      <c r="A191" s="38" t="s">
        <v>1538</v>
      </c>
      <c r="B191" s="37">
        <v>391260</v>
      </c>
      <c r="C191" s="37">
        <v>3</v>
      </c>
      <c r="D191" s="37">
        <v>2</v>
      </c>
      <c r="E191" s="39">
        <v>986</v>
      </c>
      <c r="F191" s="51">
        <v>7.1442089575020698E-4</v>
      </c>
      <c r="G191" s="37">
        <v>130420</v>
      </c>
    </row>
    <row r="192" spans="1:7" ht="15" customHeight="1" x14ac:dyDescent="0.3">
      <c r="A192" s="32" t="s">
        <v>5390</v>
      </c>
      <c r="B192" s="31">
        <v>385800</v>
      </c>
      <c r="C192" s="31">
        <v>1</v>
      </c>
      <c r="D192" s="31">
        <v>1</v>
      </c>
      <c r="E192" s="33">
        <v>1404</v>
      </c>
      <c r="F192" s="49">
        <v>7.0445121295412301E-4</v>
      </c>
      <c r="G192" s="31">
        <v>385800</v>
      </c>
    </row>
    <row r="193" spans="1:7" ht="15" customHeight="1" x14ac:dyDescent="0.3">
      <c r="A193" s="38" t="s">
        <v>4792</v>
      </c>
      <c r="B193" s="37">
        <v>385800</v>
      </c>
      <c r="C193" s="37">
        <v>1</v>
      </c>
      <c r="D193" s="37">
        <v>1</v>
      </c>
      <c r="E193" s="39">
        <v>2466</v>
      </c>
      <c r="F193" s="51">
        <v>7.0445121295412301E-4</v>
      </c>
      <c r="G193" s="37">
        <v>385800</v>
      </c>
    </row>
    <row r="194" spans="1:7" ht="15" customHeight="1" x14ac:dyDescent="0.3">
      <c r="A194" s="32" t="s">
        <v>5376</v>
      </c>
      <c r="B194" s="31">
        <v>385800</v>
      </c>
      <c r="C194" s="31">
        <v>1</v>
      </c>
      <c r="D194" s="31">
        <v>1</v>
      </c>
      <c r="E194" s="33">
        <v>1238</v>
      </c>
      <c r="F194" s="49">
        <v>7.0445121295412301E-4</v>
      </c>
      <c r="G194" s="31">
        <v>385800</v>
      </c>
    </row>
    <row r="195" spans="1:7" ht="15" customHeight="1" x14ac:dyDescent="0.3">
      <c r="A195" s="38" t="s">
        <v>4978</v>
      </c>
      <c r="B195" s="37">
        <v>385800</v>
      </c>
      <c r="C195" s="37">
        <v>1</v>
      </c>
      <c r="D195" s="37">
        <v>1</v>
      </c>
      <c r="E195" s="39">
        <v>3560</v>
      </c>
      <c r="F195" s="51">
        <v>7.0445121295412301E-4</v>
      </c>
      <c r="G195" s="37">
        <v>385800</v>
      </c>
    </row>
    <row r="196" spans="1:7" ht="15" customHeight="1" x14ac:dyDescent="0.3">
      <c r="A196" s="32" t="s">
        <v>3437</v>
      </c>
      <c r="B196" s="31">
        <v>385800</v>
      </c>
      <c r="C196" s="31">
        <v>1</v>
      </c>
      <c r="D196" s="31">
        <v>1</v>
      </c>
      <c r="E196" s="33">
        <v>3600</v>
      </c>
      <c r="F196" s="49">
        <v>7.0445121295412301E-4</v>
      </c>
      <c r="G196" s="31">
        <v>385800</v>
      </c>
    </row>
    <row r="197" spans="1:7" ht="15" customHeight="1" x14ac:dyDescent="0.3">
      <c r="A197" s="38" t="s">
        <v>5354</v>
      </c>
      <c r="B197" s="37">
        <v>385800</v>
      </c>
      <c r="C197" s="37">
        <v>1</v>
      </c>
      <c r="D197" s="37">
        <v>1</v>
      </c>
      <c r="E197" s="39">
        <v>519</v>
      </c>
      <c r="F197" s="51">
        <v>7.0445121295412301E-4</v>
      </c>
      <c r="G197" s="37">
        <v>385800</v>
      </c>
    </row>
    <row r="198" spans="1:7" ht="15" customHeight="1" x14ac:dyDescent="0.3">
      <c r="A198" s="32" t="s">
        <v>4955</v>
      </c>
      <c r="B198" s="31">
        <v>385800</v>
      </c>
      <c r="C198" s="31">
        <v>1</v>
      </c>
      <c r="D198" s="31">
        <v>1</v>
      </c>
      <c r="E198" s="33">
        <v>903.5</v>
      </c>
      <c r="F198" s="49">
        <v>7.0445121295412301E-4</v>
      </c>
      <c r="G198" s="31">
        <v>385800</v>
      </c>
    </row>
    <row r="199" spans="1:7" ht="15" customHeight="1" x14ac:dyDescent="0.3">
      <c r="A199" s="38" t="s">
        <v>5367</v>
      </c>
      <c r="B199" s="37">
        <v>385800</v>
      </c>
      <c r="C199" s="37">
        <v>1</v>
      </c>
      <c r="D199" s="37">
        <v>1</v>
      </c>
      <c r="E199" s="39">
        <v>4861.2</v>
      </c>
      <c r="F199" s="51">
        <v>7.0445121295412301E-4</v>
      </c>
      <c r="G199" s="37">
        <v>385800</v>
      </c>
    </row>
    <row r="200" spans="1:7" ht="15" customHeight="1" x14ac:dyDescent="0.3">
      <c r="A200" s="32" t="s">
        <v>4214</v>
      </c>
      <c r="B200" s="31">
        <v>385800</v>
      </c>
      <c r="C200" s="31">
        <v>1</v>
      </c>
      <c r="D200" s="31">
        <v>1</v>
      </c>
      <c r="E200" s="33">
        <v>3890</v>
      </c>
      <c r="F200" s="49">
        <v>7.0445121295412301E-4</v>
      </c>
      <c r="G200" s="31">
        <v>385800</v>
      </c>
    </row>
    <row r="201" spans="1:7" ht="15" customHeight="1" x14ac:dyDescent="0.3">
      <c r="A201" s="38" t="s">
        <v>5455</v>
      </c>
      <c r="B201" s="37">
        <v>385800</v>
      </c>
      <c r="C201" s="37">
        <v>1</v>
      </c>
      <c r="D201" s="37">
        <v>1</v>
      </c>
      <c r="E201" s="39">
        <v>1331</v>
      </c>
      <c r="F201" s="51">
        <v>7.0445121295412301E-4</v>
      </c>
      <c r="G201" s="37">
        <v>385800</v>
      </c>
    </row>
    <row r="202" spans="1:7" ht="15" customHeight="1" x14ac:dyDescent="0.3">
      <c r="A202" s="32" t="s">
        <v>3258</v>
      </c>
      <c r="B202" s="31">
        <v>385800</v>
      </c>
      <c r="C202" s="31">
        <v>1</v>
      </c>
      <c r="D202" s="31">
        <v>1</v>
      </c>
      <c r="E202" s="33">
        <v>2747</v>
      </c>
      <c r="F202" s="49">
        <v>7.0445121295412301E-4</v>
      </c>
      <c r="G202" s="31">
        <v>385800</v>
      </c>
    </row>
    <row r="203" spans="1:7" ht="15" customHeight="1" x14ac:dyDescent="0.3">
      <c r="A203" s="38" t="s">
        <v>2981</v>
      </c>
      <c r="B203" s="37">
        <v>385800</v>
      </c>
      <c r="C203" s="37">
        <v>1</v>
      </c>
      <c r="D203" s="37">
        <v>1</v>
      </c>
      <c r="E203" s="39">
        <v>2552.88</v>
      </c>
      <c r="F203" s="51">
        <v>7.0445121295412301E-4</v>
      </c>
      <c r="G203" s="37">
        <v>385800</v>
      </c>
    </row>
    <row r="204" spans="1:7" ht="15" customHeight="1" x14ac:dyDescent="0.3">
      <c r="A204" s="32" t="s">
        <v>4583</v>
      </c>
      <c r="B204" s="31">
        <v>385800</v>
      </c>
      <c r="C204" s="31">
        <v>1</v>
      </c>
      <c r="D204" s="31">
        <v>1</v>
      </c>
      <c r="E204" s="33">
        <v>2598.9989999999998</v>
      </c>
      <c r="F204" s="49">
        <v>7.0445121295412301E-4</v>
      </c>
      <c r="G204" s="31">
        <v>385800</v>
      </c>
    </row>
    <row r="205" spans="1:7" ht="15" customHeight="1" x14ac:dyDescent="0.3">
      <c r="A205" s="38" t="s">
        <v>2027</v>
      </c>
      <c r="B205" s="37">
        <v>384520</v>
      </c>
      <c r="C205" s="37">
        <v>2</v>
      </c>
      <c r="D205" s="37">
        <v>1</v>
      </c>
      <c r="E205" s="39">
        <v>364</v>
      </c>
      <c r="F205" s="51">
        <v>7.0211399793965602E-4</v>
      </c>
      <c r="G205" s="37">
        <v>192260</v>
      </c>
    </row>
    <row r="206" spans="1:7" ht="15" customHeight="1" x14ac:dyDescent="0.3">
      <c r="A206" s="32" t="s">
        <v>4992</v>
      </c>
      <c r="B206" s="31">
        <v>383000</v>
      </c>
      <c r="C206" s="31">
        <v>1</v>
      </c>
      <c r="D206" s="31">
        <v>1</v>
      </c>
      <c r="E206" s="33">
        <v>5312.8</v>
      </c>
      <c r="F206" s="49">
        <v>6.9933855510997695E-4</v>
      </c>
      <c r="G206" s="31">
        <v>383000</v>
      </c>
    </row>
    <row r="207" spans="1:7" ht="15" customHeight="1" x14ac:dyDescent="0.3">
      <c r="A207" s="38" t="s">
        <v>4039</v>
      </c>
      <c r="B207" s="37">
        <v>383000</v>
      </c>
      <c r="C207" s="37">
        <v>1</v>
      </c>
      <c r="D207" s="37">
        <v>1</v>
      </c>
      <c r="E207" s="39">
        <v>8390</v>
      </c>
      <c r="F207" s="51">
        <v>6.9933855510997695E-4</v>
      </c>
      <c r="G207" s="37">
        <v>383000</v>
      </c>
    </row>
    <row r="208" spans="1:7" ht="15" customHeight="1" x14ac:dyDescent="0.3">
      <c r="A208" s="32" t="s">
        <v>5473</v>
      </c>
      <c r="B208" s="31">
        <v>383000</v>
      </c>
      <c r="C208" s="31">
        <v>1</v>
      </c>
      <c r="D208" s="31">
        <v>1</v>
      </c>
      <c r="E208" s="33">
        <v>6570</v>
      </c>
      <c r="F208" s="49">
        <v>6.9933855510997695E-4</v>
      </c>
      <c r="G208" s="31">
        <v>383000</v>
      </c>
    </row>
    <row r="209" spans="1:7" ht="15" customHeight="1" x14ac:dyDescent="0.3">
      <c r="A209" s="38" t="s">
        <v>5039</v>
      </c>
      <c r="B209" s="37">
        <v>383000</v>
      </c>
      <c r="C209" s="37">
        <v>1</v>
      </c>
      <c r="D209" s="37">
        <v>1</v>
      </c>
      <c r="E209" s="39">
        <v>4724</v>
      </c>
      <c r="F209" s="51">
        <v>6.9933855510997695E-4</v>
      </c>
      <c r="G209" s="37">
        <v>383000</v>
      </c>
    </row>
    <row r="210" spans="1:7" ht="15" customHeight="1" x14ac:dyDescent="0.3">
      <c r="A210" s="32" t="s">
        <v>5295</v>
      </c>
      <c r="B210" s="31">
        <v>383000</v>
      </c>
      <c r="C210" s="31">
        <v>1</v>
      </c>
      <c r="D210" s="31">
        <v>1</v>
      </c>
      <c r="E210" s="33">
        <v>1692</v>
      </c>
      <c r="F210" s="49">
        <v>6.9933855510997695E-4</v>
      </c>
      <c r="G210" s="31">
        <v>383000</v>
      </c>
    </row>
    <row r="211" spans="1:7" ht="15" customHeight="1" x14ac:dyDescent="0.3">
      <c r="A211" s="38" t="s">
        <v>5318</v>
      </c>
      <c r="B211" s="37">
        <v>383000</v>
      </c>
      <c r="C211" s="37">
        <v>1</v>
      </c>
      <c r="D211" s="37">
        <v>1</v>
      </c>
      <c r="E211" s="39">
        <v>128.11000000000001</v>
      </c>
      <c r="F211" s="51">
        <v>6.9933855510997695E-4</v>
      </c>
      <c r="G211" s="37">
        <v>383000</v>
      </c>
    </row>
    <row r="212" spans="1:7" ht="15" customHeight="1" x14ac:dyDescent="0.3">
      <c r="A212" s="32" t="s">
        <v>1165</v>
      </c>
      <c r="B212" s="31">
        <v>377260</v>
      </c>
      <c r="C212" s="31">
        <v>1</v>
      </c>
      <c r="D212" s="31">
        <v>1</v>
      </c>
      <c r="E212" s="33">
        <v>3919</v>
      </c>
      <c r="F212" s="49">
        <v>6.88857606529477E-4</v>
      </c>
      <c r="G212" s="31">
        <v>377260</v>
      </c>
    </row>
    <row r="213" spans="1:7" ht="15" customHeight="1" x14ac:dyDescent="0.3">
      <c r="A213" s="38" t="s">
        <v>2837</v>
      </c>
      <c r="B213" s="37">
        <v>377260</v>
      </c>
      <c r="C213" s="37">
        <v>1</v>
      </c>
      <c r="D213" s="37">
        <v>1</v>
      </c>
      <c r="E213" s="39">
        <v>4737</v>
      </c>
      <c r="F213" s="51">
        <v>6.88857606529477E-4</v>
      </c>
      <c r="G213" s="37">
        <v>377260</v>
      </c>
    </row>
    <row r="214" spans="1:7" ht="15" customHeight="1" x14ac:dyDescent="0.3">
      <c r="A214" s="32" t="s">
        <v>1977</v>
      </c>
      <c r="B214" s="31">
        <v>377260</v>
      </c>
      <c r="C214" s="31">
        <v>1</v>
      </c>
      <c r="D214" s="31">
        <v>1</v>
      </c>
      <c r="E214" s="33">
        <v>1901.85</v>
      </c>
      <c r="F214" s="49">
        <v>6.88857606529477E-4</v>
      </c>
      <c r="G214" s="31">
        <v>377260</v>
      </c>
    </row>
    <row r="215" spans="1:7" ht="15" customHeight="1" x14ac:dyDescent="0.3">
      <c r="A215" s="38" t="s">
        <v>1407</v>
      </c>
      <c r="B215" s="37">
        <v>377260</v>
      </c>
      <c r="C215" s="37">
        <v>1</v>
      </c>
      <c r="D215" s="37">
        <v>1</v>
      </c>
      <c r="E215" s="39">
        <v>1277</v>
      </c>
      <c r="F215" s="51">
        <v>6.88857606529477E-4</v>
      </c>
      <c r="G215" s="37">
        <v>377260</v>
      </c>
    </row>
    <row r="216" spans="1:7" ht="15" customHeight="1" x14ac:dyDescent="0.3">
      <c r="A216" s="32" t="s">
        <v>1487</v>
      </c>
      <c r="B216" s="31">
        <v>377260</v>
      </c>
      <c r="C216" s="31">
        <v>1</v>
      </c>
      <c r="D216" s="31">
        <v>1</v>
      </c>
      <c r="E216" s="33">
        <v>7570</v>
      </c>
      <c r="F216" s="49">
        <v>6.88857606529477E-4</v>
      </c>
      <c r="G216" s="31">
        <v>377260</v>
      </c>
    </row>
    <row r="217" spans="1:7" ht="15" customHeight="1" x14ac:dyDescent="0.3">
      <c r="A217" s="38" t="s">
        <v>2630</v>
      </c>
      <c r="B217" s="37">
        <v>377260</v>
      </c>
      <c r="C217" s="37">
        <v>1</v>
      </c>
      <c r="D217" s="37">
        <v>1</v>
      </c>
      <c r="E217" s="39">
        <v>914.5</v>
      </c>
      <c r="F217" s="51">
        <v>6.88857606529477E-4</v>
      </c>
      <c r="G217" s="37">
        <v>377260</v>
      </c>
    </row>
    <row r="218" spans="1:7" ht="15" customHeight="1" x14ac:dyDescent="0.3">
      <c r="A218" s="32" t="s">
        <v>2115</v>
      </c>
      <c r="B218" s="31">
        <v>377260</v>
      </c>
      <c r="C218" s="31">
        <v>1</v>
      </c>
      <c r="D218" s="31">
        <v>1</v>
      </c>
      <c r="E218" s="33">
        <v>4790.34</v>
      </c>
      <c r="F218" s="49">
        <v>6.88857606529477E-4</v>
      </c>
      <c r="G218" s="31">
        <v>377260</v>
      </c>
    </row>
    <row r="219" spans="1:7" ht="15" customHeight="1" x14ac:dyDescent="0.3">
      <c r="A219" s="38" t="s">
        <v>2701</v>
      </c>
      <c r="B219" s="37">
        <v>377260</v>
      </c>
      <c r="C219" s="37">
        <v>1</v>
      </c>
      <c r="D219" s="37">
        <v>1</v>
      </c>
      <c r="E219" s="39">
        <v>644</v>
      </c>
      <c r="F219" s="51">
        <v>6.88857606529477E-4</v>
      </c>
      <c r="G219" s="37">
        <v>377260</v>
      </c>
    </row>
    <row r="220" spans="1:7" ht="15" customHeight="1" x14ac:dyDescent="0.3">
      <c r="A220" s="32" t="s">
        <v>2215</v>
      </c>
      <c r="B220" s="31">
        <v>377260</v>
      </c>
      <c r="C220" s="31">
        <v>1</v>
      </c>
      <c r="D220" s="31">
        <v>1</v>
      </c>
      <c r="E220" s="33">
        <v>1195</v>
      </c>
      <c r="F220" s="49">
        <v>6.88857606529477E-4</v>
      </c>
      <c r="G220" s="31">
        <v>377260</v>
      </c>
    </row>
    <row r="221" spans="1:7" ht="15" customHeight="1" x14ac:dyDescent="0.3">
      <c r="A221" s="38" t="s">
        <v>1543</v>
      </c>
      <c r="B221" s="37">
        <v>377260</v>
      </c>
      <c r="C221" s="37">
        <v>1</v>
      </c>
      <c r="D221" s="37">
        <v>1</v>
      </c>
      <c r="E221" s="39">
        <v>1000</v>
      </c>
      <c r="F221" s="51">
        <v>6.88857606529477E-4</v>
      </c>
      <c r="G221" s="37">
        <v>377260</v>
      </c>
    </row>
    <row r="222" spans="1:7" ht="15" customHeight="1" x14ac:dyDescent="0.3">
      <c r="A222" s="32" t="s">
        <v>2682</v>
      </c>
      <c r="B222" s="31">
        <v>377260</v>
      </c>
      <c r="C222" s="31">
        <v>1</v>
      </c>
      <c r="D222" s="31">
        <v>1</v>
      </c>
      <c r="E222" s="33">
        <v>3841.9670000000001</v>
      </c>
      <c r="F222" s="49">
        <v>6.88857606529477E-4</v>
      </c>
      <c r="G222" s="31">
        <v>377260</v>
      </c>
    </row>
    <row r="223" spans="1:7" ht="15" customHeight="1" x14ac:dyDescent="0.3">
      <c r="A223" s="38" t="s">
        <v>2485</v>
      </c>
      <c r="B223" s="37">
        <v>377260</v>
      </c>
      <c r="C223" s="37">
        <v>1</v>
      </c>
      <c r="D223" s="37">
        <v>1</v>
      </c>
      <c r="E223" s="39">
        <v>3592.3</v>
      </c>
      <c r="F223" s="51">
        <v>6.88857606529477E-4</v>
      </c>
      <c r="G223" s="37">
        <v>377260</v>
      </c>
    </row>
    <row r="224" spans="1:7" ht="15" customHeight="1" x14ac:dyDescent="0.3">
      <c r="A224" s="32" t="s">
        <v>2513</v>
      </c>
      <c r="B224" s="31">
        <v>377260</v>
      </c>
      <c r="C224" s="31">
        <v>1</v>
      </c>
      <c r="D224" s="31">
        <v>1</v>
      </c>
      <c r="E224" s="33">
        <v>1851.85</v>
      </c>
      <c r="F224" s="49">
        <v>6.88857606529477E-4</v>
      </c>
      <c r="G224" s="31">
        <v>377260</v>
      </c>
    </row>
    <row r="225" spans="1:7" ht="15" customHeight="1" x14ac:dyDescent="0.3">
      <c r="A225" s="38" t="s">
        <v>3063</v>
      </c>
      <c r="B225" s="37">
        <v>377260</v>
      </c>
      <c r="C225" s="37">
        <v>1</v>
      </c>
      <c r="D225" s="37">
        <v>1</v>
      </c>
      <c r="E225" s="39">
        <v>1100</v>
      </c>
      <c r="F225" s="51">
        <v>6.88857606529477E-4</v>
      </c>
      <c r="G225" s="37">
        <v>377260</v>
      </c>
    </row>
    <row r="226" spans="1:7" ht="15" customHeight="1" x14ac:dyDescent="0.3">
      <c r="A226" s="32" t="s">
        <v>1822</v>
      </c>
      <c r="B226" s="31">
        <v>377260</v>
      </c>
      <c r="C226" s="31">
        <v>1</v>
      </c>
      <c r="D226" s="31">
        <v>1</v>
      </c>
      <c r="E226" s="33">
        <v>10</v>
      </c>
      <c r="F226" s="49">
        <v>6.88857606529477E-4</v>
      </c>
      <c r="G226" s="31">
        <v>377260</v>
      </c>
    </row>
    <row r="227" spans="1:7" ht="15" customHeight="1" x14ac:dyDescent="0.3">
      <c r="A227" s="38" t="s">
        <v>2158</v>
      </c>
      <c r="B227" s="37">
        <v>377260</v>
      </c>
      <c r="C227" s="37">
        <v>1</v>
      </c>
      <c r="D227" s="37">
        <v>1</v>
      </c>
      <c r="E227" s="39">
        <v>4071</v>
      </c>
      <c r="F227" s="51">
        <v>6.88857606529477E-4</v>
      </c>
      <c r="G227" s="37">
        <v>377260</v>
      </c>
    </row>
    <row r="228" spans="1:7" ht="15" customHeight="1" x14ac:dyDescent="0.3">
      <c r="A228" s="32" t="s">
        <v>1219</v>
      </c>
      <c r="B228" s="31">
        <v>374260</v>
      </c>
      <c r="C228" s="31">
        <v>2</v>
      </c>
      <c r="D228" s="31">
        <v>1</v>
      </c>
      <c r="E228" s="33">
        <v>404</v>
      </c>
      <c r="F228" s="49">
        <v>6.8337975883932104E-4</v>
      </c>
      <c r="G228" s="31">
        <v>187130</v>
      </c>
    </row>
    <row r="229" spans="1:7" ht="15" customHeight="1" x14ac:dyDescent="0.3">
      <c r="A229" s="38" t="s">
        <v>3566</v>
      </c>
      <c r="B229" s="37">
        <v>373600</v>
      </c>
      <c r="C229" s="37">
        <v>2</v>
      </c>
      <c r="D229" s="37">
        <v>1</v>
      </c>
      <c r="E229" s="39">
        <v>1255</v>
      </c>
      <c r="F229" s="51">
        <v>6.8217463234748602E-4</v>
      </c>
      <c r="G229" s="37">
        <v>186800</v>
      </c>
    </row>
    <row r="230" spans="1:7" ht="15" customHeight="1" x14ac:dyDescent="0.3">
      <c r="A230" s="32" t="s">
        <v>4658</v>
      </c>
      <c r="B230" s="31">
        <v>373600</v>
      </c>
      <c r="C230" s="31">
        <v>2</v>
      </c>
      <c r="D230" s="31">
        <v>2</v>
      </c>
      <c r="E230" s="33">
        <v>4838.6499999999996</v>
      </c>
      <c r="F230" s="49">
        <v>6.8217463234748602E-4</v>
      </c>
      <c r="G230" s="31">
        <v>186800</v>
      </c>
    </row>
    <row r="231" spans="1:7" ht="15" customHeight="1" x14ac:dyDescent="0.3">
      <c r="A231" s="38" t="s">
        <v>410</v>
      </c>
      <c r="B231" s="37">
        <v>372520</v>
      </c>
      <c r="C231" s="37">
        <v>2</v>
      </c>
      <c r="D231" s="37">
        <v>1</v>
      </c>
      <c r="E231" s="39">
        <v>4987</v>
      </c>
      <c r="F231" s="51">
        <v>6.8020260717903001E-4</v>
      </c>
      <c r="G231" s="37">
        <v>186260</v>
      </c>
    </row>
    <row r="232" spans="1:7" ht="15" customHeight="1" x14ac:dyDescent="0.3">
      <c r="A232" s="32" t="s">
        <v>3206</v>
      </c>
      <c r="B232" s="31">
        <v>371600</v>
      </c>
      <c r="C232" s="31">
        <v>2</v>
      </c>
      <c r="D232" s="31">
        <v>2</v>
      </c>
      <c r="E232" s="33">
        <v>2287</v>
      </c>
      <c r="F232" s="49">
        <v>6.7852273388738205E-4</v>
      </c>
      <c r="G232" s="31">
        <v>185800</v>
      </c>
    </row>
    <row r="233" spans="1:7" ht="15" customHeight="1" x14ac:dyDescent="0.3">
      <c r="A233" s="38" t="s">
        <v>1593</v>
      </c>
      <c r="B233" s="37">
        <v>367000</v>
      </c>
      <c r="C233" s="37">
        <v>1</v>
      </c>
      <c r="D233" s="37">
        <v>1</v>
      </c>
      <c r="E233" s="39">
        <v>3790</v>
      </c>
      <c r="F233" s="51">
        <v>6.7012336742914202E-4</v>
      </c>
      <c r="G233" s="37">
        <v>367000</v>
      </c>
    </row>
    <row r="234" spans="1:7" ht="15" customHeight="1" x14ac:dyDescent="0.3">
      <c r="A234" s="32" t="s">
        <v>515</v>
      </c>
      <c r="B234" s="31">
        <v>365520</v>
      </c>
      <c r="C234" s="31">
        <v>2</v>
      </c>
      <c r="D234" s="31">
        <v>2</v>
      </c>
      <c r="E234" s="33">
        <v>2533</v>
      </c>
      <c r="F234" s="49">
        <v>6.6742096256866502E-4</v>
      </c>
      <c r="G234" s="31">
        <v>182760</v>
      </c>
    </row>
    <row r="235" spans="1:7" ht="15" customHeight="1" x14ac:dyDescent="0.3">
      <c r="A235" s="38" t="s">
        <v>620</v>
      </c>
      <c r="B235" s="37">
        <v>365520</v>
      </c>
      <c r="C235" s="37">
        <v>2</v>
      </c>
      <c r="D235" s="37">
        <v>2</v>
      </c>
      <c r="E235" s="39">
        <v>3506.6</v>
      </c>
      <c r="F235" s="51">
        <v>6.6742096256866502E-4</v>
      </c>
      <c r="G235" s="37">
        <v>182760</v>
      </c>
    </row>
    <row r="236" spans="1:7" ht="15" customHeight="1" x14ac:dyDescent="0.3">
      <c r="A236" s="32" t="s">
        <v>788</v>
      </c>
      <c r="B236" s="31">
        <v>365520</v>
      </c>
      <c r="C236" s="31">
        <v>2</v>
      </c>
      <c r="D236" s="31">
        <v>1</v>
      </c>
      <c r="E236" s="33">
        <v>588</v>
      </c>
      <c r="F236" s="49">
        <v>6.6742096256866502E-4</v>
      </c>
      <c r="G236" s="31">
        <v>182760</v>
      </c>
    </row>
    <row r="237" spans="1:7" ht="15" customHeight="1" x14ac:dyDescent="0.3">
      <c r="A237" s="38" t="s">
        <v>2832</v>
      </c>
      <c r="B237" s="37">
        <v>365060</v>
      </c>
      <c r="C237" s="37">
        <v>2</v>
      </c>
      <c r="D237" s="37">
        <v>1</v>
      </c>
      <c r="E237" s="39">
        <v>895</v>
      </c>
      <c r="F237" s="51">
        <v>6.6658102592284099E-4</v>
      </c>
      <c r="G237" s="37">
        <v>182530</v>
      </c>
    </row>
    <row r="238" spans="1:7" ht="15" customHeight="1" x14ac:dyDescent="0.3">
      <c r="A238" s="32" t="s">
        <v>88</v>
      </c>
      <c r="B238" s="31">
        <v>360260</v>
      </c>
      <c r="C238" s="31">
        <v>3</v>
      </c>
      <c r="D238" s="31">
        <v>1</v>
      </c>
      <c r="E238" s="33">
        <v>1102.06</v>
      </c>
      <c r="F238" s="49">
        <v>6.5781646961859095E-4</v>
      </c>
      <c r="G238" s="31">
        <v>120086.66666666701</v>
      </c>
    </row>
    <row r="239" spans="1:7" ht="15" customHeight="1" x14ac:dyDescent="0.3">
      <c r="A239" s="38" t="s">
        <v>2993</v>
      </c>
      <c r="B239" s="37">
        <v>360260</v>
      </c>
      <c r="C239" s="37">
        <v>2</v>
      </c>
      <c r="D239" s="37">
        <v>1</v>
      </c>
      <c r="E239" s="39">
        <v>1386.4</v>
      </c>
      <c r="F239" s="51">
        <v>6.5781646961859095E-4</v>
      </c>
      <c r="G239" s="37">
        <v>180130</v>
      </c>
    </row>
    <row r="240" spans="1:7" ht="15" customHeight="1" x14ac:dyDescent="0.3">
      <c r="A240" s="32" t="s">
        <v>4286</v>
      </c>
      <c r="B240" s="31">
        <v>358800</v>
      </c>
      <c r="C240" s="31">
        <v>1</v>
      </c>
      <c r="D240" s="31">
        <v>1</v>
      </c>
      <c r="E240" s="33">
        <v>3200</v>
      </c>
      <c r="F240" s="49">
        <v>6.5515058374271396E-4</v>
      </c>
      <c r="G240" s="31">
        <v>358800</v>
      </c>
    </row>
    <row r="241" spans="1:7" ht="15" customHeight="1" x14ac:dyDescent="0.3">
      <c r="A241" s="38" t="s">
        <v>4680</v>
      </c>
      <c r="B241" s="37">
        <v>358800</v>
      </c>
      <c r="C241" s="37">
        <v>1</v>
      </c>
      <c r="D241" s="37">
        <v>1</v>
      </c>
      <c r="E241" s="39">
        <v>5400</v>
      </c>
      <c r="F241" s="51">
        <v>6.5515058374271396E-4</v>
      </c>
      <c r="G241" s="37">
        <v>358800</v>
      </c>
    </row>
    <row r="242" spans="1:7" ht="15" customHeight="1" x14ac:dyDescent="0.3">
      <c r="A242" s="32" t="s">
        <v>5314</v>
      </c>
      <c r="B242" s="31">
        <v>358800</v>
      </c>
      <c r="C242" s="31">
        <v>1</v>
      </c>
      <c r="D242" s="31">
        <v>1</v>
      </c>
      <c r="E242" s="33">
        <v>1951</v>
      </c>
      <c r="F242" s="49">
        <v>6.5515058374271396E-4</v>
      </c>
      <c r="G242" s="31">
        <v>358800</v>
      </c>
    </row>
    <row r="243" spans="1:7" ht="15" customHeight="1" x14ac:dyDescent="0.3">
      <c r="A243" s="38" t="s">
        <v>3491</v>
      </c>
      <c r="B243" s="37">
        <v>358800</v>
      </c>
      <c r="C243" s="37">
        <v>1</v>
      </c>
      <c r="D243" s="37">
        <v>1</v>
      </c>
      <c r="E243" s="39">
        <v>3690</v>
      </c>
      <c r="F243" s="51">
        <v>6.5515058374271396E-4</v>
      </c>
      <c r="G243" s="37">
        <v>358800</v>
      </c>
    </row>
    <row r="244" spans="1:7" ht="15" customHeight="1" x14ac:dyDescent="0.3">
      <c r="A244" s="32" t="s">
        <v>3804</v>
      </c>
      <c r="B244" s="31">
        <v>358800</v>
      </c>
      <c r="C244" s="31">
        <v>1</v>
      </c>
      <c r="D244" s="31">
        <v>1</v>
      </c>
      <c r="E244" s="33">
        <v>2788</v>
      </c>
      <c r="F244" s="49">
        <v>6.5515058374271396E-4</v>
      </c>
      <c r="G244" s="31">
        <v>358800</v>
      </c>
    </row>
    <row r="245" spans="1:7" ht="15" customHeight="1" x14ac:dyDescent="0.3">
      <c r="A245" s="38" t="s">
        <v>5032</v>
      </c>
      <c r="B245" s="37">
        <v>358800</v>
      </c>
      <c r="C245" s="37">
        <v>1</v>
      </c>
      <c r="D245" s="37">
        <v>1</v>
      </c>
      <c r="E245" s="39">
        <v>3690</v>
      </c>
      <c r="F245" s="51">
        <v>6.5515058374271396E-4</v>
      </c>
      <c r="G245" s="37">
        <v>358800</v>
      </c>
    </row>
    <row r="246" spans="1:7" ht="15" customHeight="1" x14ac:dyDescent="0.3">
      <c r="A246" s="32" t="s">
        <v>3875</v>
      </c>
      <c r="B246" s="31">
        <v>358800</v>
      </c>
      <c r="C246" s="31">
        <v>1</v>
      </c>
      <c r="D246" s="31">
        <v>1</v>
      </c>
      <c r="E246" s="33">
        <v>1377</v>
      </c>
      <c r="F246" s="49">
        <v>6.5515058374271396E-4</v>
      </c>
      <c r="G246" s="31">
        <v>358800</v>
      </c>
    </row>
    <row r="247" spans="1:7" ht="15" customHeight="1" x14ac:dyDescent="0.3">
      <c r="A247" s="38" t="s">
        <v>138</v>
      </c>
      <c r="B247" s="37">
        <v>358260</v>
      </c>
      <c r="C247" s="37">
        <v>1</v>
      </c>
      <c r="D247" s="37">
        <v>1</v>
      </c>
      <c r="E247" s="39">
        <v>2093</v>
      </c>
      <c r="F247" s="51">
        <v>6.5416457115848601E-4</v>
      </c>
      <c r="G247" s="37">
        <v>358260</v>
      </c>
    </row>
    <row r="248" spans="1:7" ht="15" customHeight="1" x14ac:dyDescent="0.3">
      <c r="A248" s="32" t="s">
        <v>236</v>
      </c>
      <c r="B248" s="31">
        <v>358260</v>
      </c>
      <c r="C248" s="31">
        <v>1</v>
      </c>
      <c r="D248" s="31">
        <v>1</v>
      </c>
      <c r="E248" s="33">
        <v>4492</v>
      </c>
      <c r="F248" s="49">
        <v>6.5416457115848601E-4</v>
      </c>
      <c r="G248" s="31">
        <v>358260</v>
      </c>
    </row>
    <row r="249" spans="1:7" ht="15" customHeight="1" x14ac:dyDescent="0.3">
      <c r="A249" s="38" t="s">
        <v>83</v>
      </c>
      <c r="B249" s="37">
        <v>358260</v>
      </c>
      <c r="C249" s="37">
        <v>1</v>
      </c>
      <c r="D249" s="37">
        <v>1</v>
      </c>
      <c r="E249" s="39">
        <v>4315.2</v>
      </c>
      <c r="F249" s="51">
        <v>6.5416457115848601E-4</v>
      </c>
      <c r="G249" s="37">
        <v>358260</v>
      </c>
    </row>
    <row r="250" spans="1:7" ht="15" customHeight="1" x14ac:dyDescent="0.3">
      <c r="A250" s="32" t="s">
        <v>710</v>
      </c>
      <c r="B250" s="31">
        <v>358260</v>
      </c>
      <c r="C250" s="31">
        <v>1</v>
      </c>
      <c r="D250" s="31">
        <v>1</v>
      </c>
      <c r="E250" s="33">
        <v>810</v>
      </c>
      <c r="F250" s="49">
        <v>6.5416457115848601E-4</v>
      </c>
      <c r="G250" s="31">
        <v>358260</v>
      </c>
    </row>
    <row r="251" spans="1:7" ht="15" customHeight="1" x14ac:dyDescent="0.3">
      <c r="A251" s="38" t="s">
        <v>5359</v>
      </c>
      <c r="B251" s="37">
        <v>358000</v>
      </c>
      <c r="C251" s="37">
        <v>1</v>
      </c>
      <c r="D251" s="37">
        <v>1</v>
      </c>
      <c r="E251" s="39">
        <v>3151.33</v>
      </c>
      <c r="F251" s="51">
        <v>6.5368982435867295E-4</v>
      </c>
      <c r="G251" s="37">
        <v>358000</v>
      </c>
    </row>
    <row r="252" spans="1:7" ht="15" customHeight="1" x14ac:dyDescent="0.3">
      <c r="A252" s="32" t="s">
        <v>4547</v>
      </c>
      <c r="B252" s="31">
        <v>356800</v>
      </c>
      <c r="C252" s="31">
        <v>1</v>
      </c>
      <c r="D252" s="31">
        <v>1</v>
      </c>
      <c r="E252" s="33">
        <v>1564</v>
      </c>
      <c r="F252" s="49">
        <v>6.5149868528260998E-4</v>
      </c>
      <c r="G252" s="31">
        <v>356800</v>
      </c>
    </row>
    <row r="253" spans="1:7" ht="15" customHeight="1" x14ac:dyDescent="0.3">
      <c r="A253" s="38" t="s">
        <v>999</v>
      </c>
      <c r="B253" s="37">
        <v>356520</v>
      </c>
      <c r="C253" s="37">
        <v>2</v>
      </c>
      <c r="D253" s="37">
        <v>1</v>
      </c>
      <c r="E253" s="39">
        <v>622</v>
      </c>
      <c r="F253" s="51">
        <v>6.5098741949819498E-4</v>
      </c>
      <c r="G253" s="37">
        <v>178260</v>
      </c>
    </row>
    <row r="254" spans="1:7" ht="15" customHeight="1" x14ac:dyDescent="0.3">
      <c r="A254" s="32" t="s">
        <v>1847</v>
      </c>
      <c r="B254" s="31">
        <v>356520</v>
      </c>
      <c r="C254" s="31">
        <v>2</v>
      </c>
      <c r="D254" s="31">
        <v>1</v>
      </c>
      <c r="E254" s="33">
        <v>520</v>
      </c>
      <c r="F254" s="49">
        <v>6.5098741949819498E-4</v>
      </c>
      <c r="G254" s="31">
        <v>178260</v>
      </c>
    </row>
    <row r="255" spans="1:7" ht="15" customHeight="1" x14ac:dyDescent="0.3">
      <c r="A255" s="38" t="s">
        <v>1052</v>
      </c>
      <c r="B255" s="37">
        <v>356520</v>
      </c>
      <c r="C255" s="37">
        <v>2</v>
      </c>
      <c r="D255" s="37">
        <v>1</v>
      </c>
      <c r="E255" s="39">
        <v>718</v>
      </c>
      <c r="F255" s="51">
        <v>6.5098741949819498E-4</v>
      </c>
      <c r="G255" s="37">
        <v>178260</v>
      </c>
    </row>
    <row r="256" spans="1:7" ht="15" customHeight="1" x14ac:dyDescent="0.3">
      <c r="A256" s="32" t="s">
        <v>5407</v>
      </c>
      <c r="B256" s="31">
        <v>356000</v>
      </c>
      <c r="C256" s="31">
        <v>1</v>
      </c>
      <c r="D256" s="31">
        <v>1</v>
      </c>
      <c r="E256" s="33">
        <v>2180</v>
      </c>
      <c r="F256" s="49">
        <v>6.50037925898568E-4</v>
      </c>
      <c r="G256" s="31">
        <v>356000</v>
      </c>
    </row>
    <row r="257" spans="1:7" ht="15" customHeight="1" x14ac:dyDescent="0.3">
      <c r="A257" s="38" t="s">
        <v>4177</v>
      </c>
      <c r="B257" s="37">
        <v>356000</v>
      </c>
      <c r="C257" s="37">
        <v>1</v>
      </c>
      <c r="D257" s="37">
        <v>1</v>
      </c>
      <c r="E257" s="39">
        <v>742</v>
      </c>
      <c r="F257" s="51">
        <v>6.50037925898568E-4</v>
      </c>
      <c r="G257" s="37">
        <v>356000</v>
      </c>
    </row>
    <row r="258" spans="1:7" ht="15" customHeight="1" x14ac:dyDescent="0.3">
      <c r="A258" s="32" t="s">
        <v>4025</v>
      </c>
      <c r="B258" s="31">
        <v>356000</v>
      </c>
      <c r="C258" s="31">
        <v>1</v>
      </c>
      <c r="D258" s="31">
        <v>1</v>
      </c>
      <c r="E258" s="33">
        <v>3580</v>
      </c>
      <c r="F258" s="49">
        <v>6.50037925898568E-4</v>
      </c>
      <c r="G258" s="31">
        <v>356000</v>
      </c>
    </row>
    <row r="259" spans="1:7" ht="15" customHeight="1" x14ac:dyDescent="0.3">
      <c r="A259" s="38" t="s">
        <v>4464</v>
      </c>
      <c r="B259" s="37">
        <v>356000</v>
      </c>
      <c r="C259" s="37">
        <v>1</v>
      </c>
      <c r="D259" s="37">
        <v>1</v>
      </c>
      <c r="E259" s="39">
        <v>4330.2</v>
      </c>
      <c r="F259" s="51">
        <v>6.50037925898568E-4</v>
      </c>
      <c r="G259" s="37">
        <v>356000</v>
      </c>
    </row>
    <row r="260" spans="1:7" ht="15" customHeight="1" x14ac:dyDescent="0.3">
      <c r="A260" s="32" t="s">
        <v>1190</v>
      </c>
      <c r="B260" s="31">
        <v>354520</v>
      </c>
      <c r="C260" s="31">
        <v>2</v>
      </c>
      <c r="D260" s="31">
        <v>2</v>
      </c>
      <c r="E260" s="33">
        <v>1088</v>
      </c>
      <c r="F260" s="49">
        <v>6.47335521038091E-4</v>
      </c>
      <c r="G260" s="31">
        <v>177260</v>
      </c>
    </row>
    <row r="261" spans="1:7" ht="15" customHeight="1" x14ac:dyDescent="0.3">
      <c r="A261" s="38" t="s">
        <v>1646</v>
      </c>
      <c r="B261" s="37">
        <v>350260</v>
      </c>
      <c r="C261" s="37">
        <v>1</v>
      </c>
      <c r="D261" s="37">
        <v>1</v>
      </c>
      <c r="E261" s="39">
        <v>4344.28</v>
      </c>
      <c r="F261" s="51">
        <v>6.3955697731806903E-4</v>
      </c>
      <c r="G261" s="37">
        <v>350260</v>
      </c>
    </row>
    <row r="262" spans="1:7" ht="15" customHeight="1" x14ac:dyDescent="0.3">
      <c r="A262" s="32" t="s">
        <v>3078</v>
      </c>
      <c r="B262" s="31">
        <v>350260</v>
      </c>
      <c r="C262" s="31">
        <v>1</v>
      </c>
      <c r="D262" s="31">
        <v>1</v>
      </c>
      <c r="E262" s="33">
        <v>1538.999</v>
      </c>
      <c r="F262" s="49">
        <v>6.3955697731806903E-4</v>
      </c>
      <c r="G262" s="31">
        <v>350260</v>
      </c>
    </row>
    <row r="263" spans="1:7" ht="15" customHeight="1" x14ac:dyDescent="0.3">
      <c r="A263" s="38" t="s">
        <v>1815</v>
      </c>
      <c r="B263" s="37">
        <v>350260</v>
      </c>
      <c r="C263" s="37">
        <v>1</v>
      </c>
      <c r="D263" s="37">
        <v>1</v>
      </c>
      <c r="E263" s="39">
        <v>4500</v>
      </c>
      <c r="F263" s="51">
        <v>6.3955697731806903E-4</v>
      </c>
      <c r="G263" s="37">
        <v>350260</v>
      </c>
    </row>
    <row r="264" spans="1:7" ht="15" customHeight="1" x14ac:dyDescent="0.3">
      <c r="A264" s="32" t="s">
        <v>2786</v>
      </c>
      <c r="B264" s="31">
        <v>350260</v>
      </c>
      <c r="C264" s="31">
        <v>1</v>
      </c>
      <c r="D264" s="31">
        <v>1</v>
      </c>
      <c r="E264" s="33">
        <v>2149</v>
      </c>
      <c r="F264" s="49">
        <v>6.3955697731806903E-4</v>
      </c>
      <c r="G264" s="31">
        <v>350260</v>
      </c>
    </row>
    <row r="265" spans="1:7" ht="15" customHeight="1" x14ac:dyDescent="0.3">
      <c r="A265" s="38" t="s">
        <v>1786</v>
      </c>
      <c r="B265" s="37">
        <v>350260</v>
      </c>
      <c r="C265" s="37">
        <v>1</v>
      </c>
      <c r="D265" s="37">
        <v>1</v>
      </c>
      <c r="E265" s="39">
        <v>970</v>
      </c>
      <c r="F265" s="51">
        <v>6.3955697731806903E-4</v>
      </c>
      <c r="G265" s="37">
        <v>350260</v>
      </c>
    </row>
    <row r="266" spans="1:7" ht="15" customHeight="1" x14ac:dyDescent="0.3">
      <c r="A266" s="32" t="s">
        <v>2767</v>
      </c>
      <c r="B266" s="31">
        <v>350260</v>
      </c>
      <c r="C266" s="31">
        <v>1</v>
      </c>
      <c r="D266" s="31">
        <v>1</v>
      </c>
      <c r="E266" s="33">
        <v>675</v>
      </c>
      <c r="F266" s="49">
        <v>6.3955697731806903E-4</v>
      </c>
      <c r="G266" s="31">
        <v>350260</v>
      </c>
    </row>
    <row r="267" spans="1:7" ht="15" customHeight="1" x14ac:dyDescent="0.3">
      <c r="A267" s="38" t="s">
        <v>2801</v>
      </c>
      <c r="B267" s="37">
        <v>350260</v>
      </c>
      <c r="C267" s="37">
        <v>1</v>
      </c>
      <c r="D267" s="37">
        <v>1</v>
      </c>
      <c r="E267" s="39">
        <v>1542</v>
      </c>
      <c r="F267" s="51">
        <v>6.3955697731806903E-4</v>
      </c>
      <c r="G267" s="37">
        <v>350260</v>
      </c>
    </row>
    <row r="268" spans="1:7" ht="15" customHeight="1" x14ac:dyDescent="0.3">
      <c r="A268" s="32" t="s">
        <v>489</v>
      </c>
      <c r="B268" s="31">
        <v>348000</v>
      </c>
      <c r="C268" s="31">
        <v>1</v>
      </c>
      <c r="D268" s="31">
        <v>1</v>
      </c>
      <c r="E268" s="33">
        <v>3177.5</v>
      </c>
      <c r="F268" s="49">
        <v>6.3543033205815103E-4</v>
      </c>
      <c r="G268" s="31">
        <v>348000</v>
      </c>
    </row>
    <row r="269" spans="1:7" ht="15" customHeight="1" x14ac:dyDescent="0.3">
      <c r="A269" s="38" t="s">
        <v>164</v>
      </c>
      <c r="B269" s="37">
        <v>348000</v>
      </c>
      <c r="C269" s="37">
        <v>1</v>
      </c>
      <c r="D269" s="37">
        <v>1</v>
      </c>
      <c r="E269" s="39">
        <v>3399</v>
      </c>
      <c r="F269" s="51">
        <v>6.3543033205815103E-4</v>
      </c>
      <c r="G269" s="37">
        <v>348000</v>
      </c>
    </row>
    <row r="270" spans="1:7" ht="15" customHeight="1" x14ac:dyDescent="0.3">
      <c r="A270" s="32" t="s">
        <v>133</v>
      </c>
      <c r="B270" s="31">
        <v>346520</v>
      </c>
      <c r="C270" s="31">
        <v>2</v>
      </c>
      <c r="D270" s="31">
        <v>1</v>
      </c>
      <c r="E270" s="33">
        <v>1832</v>
      </c>
      <c r="F270" s="49">
        <v>6.3272792719767403E-4</v>
      </c>
      <c r="G270" s="31">
        <v>173260</v>
      </c>
    </row>
    <row r="271" spans="1:7" ht="15" customHeight="1" x14ac:dyDescent="0.3">
      <c r="A271" s="38" t="s">
        <v>175</v>
      </c>
      <c r="B271" s="37">
        <v>346520</v>
      </c>
      <c r="C271" s="37">
        <v>2</v>
      </c>
      <c r="D271" s="37">
        <v>1</v>
      </c>
      <c r="E271" s="39">
        <v>2666</v>
      </c>
      <c r="F271" s="51">
        <v>6.3272792719767403E-4</v>
      </c>
      <c r="G271" s="37">
        <v>173260</v>
      </c>
    </row>
    <row r="272" spans="1:7" ht="15" customHeight="1" x14ac:dyDescent="0.3">
      <c r="A272" s="32" t="s">
        <v>4077</v>
      </c>
      <c r="B272" s="31">
        <v>345600</v>
      </c>
      <c r="C272" s="31">
        <v>2</v>
      </c>
      <c r="D272" s="31">
        <v>2</v>
      </c>
      <c r="E272" s="33">
        <v>546</v>
      </c>
      <c r="F272" s="49">
        <v>6.3104805390602596E-4</v>
      </c>
      <c r="G272" s="31">
        <v>172800</v>
      </c>
    </row>
    <row r="273" spans="1:7" ht="15" customHeight="1" x14ac:dyDescent="0.3">
      <c r="A273" s="38" t="s">
        <v>4442</v>
      </c>
      <c r="B273" s="37">
        <v>345600</v>
      </c>
      <c r="C273" s="37">
        <v>2</v>
      </c>
      <c r="D273" s="37">
        <v>1</v>
      </c>
      <c r="E273" s="39">
        <v>485</v>
      </c>
      <c r="F273" s="51">
        <v>6.3104805390602596E-4</v>
      </c>
      <c r="G273" s="37">
        <v>172800</v>
      </c>
    </row>
    <row r="274" spans="1:7" ht="15" customHeight="1" x14ac:dyDescent="0.3">
      <c r="A274" s="32" t="s">
        <v>3904</v>
      </c>
      <c r="B274" s="31">
        <v>345600</v>
      </c>
      <c r="C274" s="31">
        <v>2</v>
      </c>
      <c r="D274" s="31">
        <v>2</v>
      </c>
      <c r="E274" s="33">
        <v>1142.5</v>
      </c>
      <c r="F274" s="49">
        <v>6.3104805390602596E-4</v>
      </c>
      <c r="G274" s="31">
        <v>172800</v>
      </c>
    </row>
    <row r="275" spans="1:7" ht="15" customHeight="1" x14ac:dyDescent="0.3">
      <c r="A275" s="38" t="s">
        <v>4009</v>
      </c>
      <c r="B275" s="37">
        <v>345600</v>
      </c>
      <c r="C275" s="37">
        <v>2</v>
      </c>
      <c r="D275" s="37">
        <v>1</v>
      </c>
      <c r="E275" s="39">
        <v>1023.57</v>
      </c>
      <c r="F275" s="51">
        <v>6.3104805390602596E-4</v>
      </c>
      <c r="G275" s="37">
        <v>172800</v>
      </c>
    </row>
    <row r="276" spans="1:7" ht="15" customHeight="1" x14ac:dyDescent="0.3">
      <c r="A276" s="32" t="s">
        <v>3465</v>
      </c>
      <c r="B276" s="31">
        <v>345600</v>
      </c>
      <c r="C276" s="31">
        <v>2</v>
      </c>
      <c r="D276" s="31">
        <v>2</v>
      </c>
      <c r="E276" s="33">
        <v>440.42</v>
      </c>
      <c r="F276" s="49">
        <v>6.3104805390602596E-4</v>
      </c>
      <c r="G276" s="31">
        <v>172800</v>
      </c>
    </row>
    <row r="277" spans="1:7" ht="15" customHeight="1" x14ac:dyDescent="0.3">
      <c r="A277" s="38" t="s">
        <v>232</v>
      </c>
      <c r="B277" s="37">
        <v>344520</v>
      </c>
      <c r="C277" s="37">
        <v>2</v>
      </c>
      <c r="D277" s="37">
        <v>1</v>
      </c>
      <c r="E277" s="39">
        <v>3115.2</v>
      </c>
      <c r="F277" s="51">
        <v>6.2907602873756995E-4</v>
      </c>
      <c r="G277" s="37">
        <v>172260</v>
      </c>
    </row>
    <row r="278" spans="1:7" ht="15" customHeight="1" x14ac:dyDescent="0.3">
      <c r="A278" s="32" t="s">
        <v>2046</v>
      </c>
      <c r="B278" s="31">
        <v>344000</v>
      </c>
      <c r="C278" s="31">
        <v>2</v>
      </c>
      <c r="D278" s="31">
        <v>1</v>
      </c>
      <c r="E278" s="33">
        <v>766</v>
      </c>
      <c r="F278" s="49">
        <v>6.28126535137942E-4</v>
      </c>
      <c r="G278" s="31">
        <v>172000</v>
      </c>
    </row>
    <row r="279" spans="1:7" ht="15" customHeight="1" x14ac:dyDescent="0.3">
      <c r="A279" s="38" t="s">
        <v>3675</v>
      </c>
      <c r="B279" s="37">
        <v>343600</v>
      </c>
      <c r="C279" s="37">
        <v>2</v>
      </c>
      <c r="D279" s="37">
        <v>1</v>
      </c>
      <c r="E279" s="39">
        <v>1402.5</v>
      </c>
      <c r="F279" s="51">
        <v>6.2739615544592198E-4</v>
      </c>
      <c r="G279" s="37">
        <v>171800</v>
      </c>
    </row>
    <row r="280" spans="1:7" ht="15" customHeight="1" x14ac:dyDescent="0.3">
      <c r="A280" s="32" t="s">
        <v>5149</v>
      </c>
      <c r="B280" s="31">
        <v>343600</v>
      </c>
      <c r="C280" s="31">
        <v>2</v>
      </c>
      <c r="D280" s="31">
        <v>1</v>
      </c>
      <c r="E280" s="33">
        <v>708.68</v>
      </c>
      <c r="F280" s="49">
        <v>6.2739615544592198E-4</v>
      </c>
      <c r="G280" s="31">
        <v>171800</v>
      </c>
    </row>
    <row r="281" spans="1:7" ht="15" customHeight="1" x14ac:dyDescent="0.3">
      <c r="A281" s="38" t="s">
        <v>3865</v>
      </c>
      <c r="B281" s="37">
        <v>343600</v>
      </c>
      <c r="C281" s="37">
        <v>2</v>
      </c>
      <c r="D281" s="37">
        <v>2</v>
      </c>
      <c r="E281" s="39">
        <v>1412.5</v>
      </c>
      <c r="F281" s="51">
        <v>6.2739615544592198E-4</v>
      </c>
      <c r="G281" s="37">
        <v>171800</v>
      </c>
    </row>
    <row r="282" spans="1:7" ht="15" customHeight="1" x14ac:dyDescent="0.3">
      <c r="A282" s="32" t="s">
        <v>2999</v>
      </c>
      <c r="B282" s="31">
        <v>338000</v>
      </c>
      <c r="C282" s="31">
        <v>2</v>
      </c>
      <c r="D282" s="31">
        <v>1</v>
      </c>
      <c r="E282" s="33">
        <v>4.5819999999999999</v>
      </c>
      <c r="F282" s="49">
        <v>6.17170839757629E-4</v>
      </c>
      <c r="G282" s="31">
        <v>169000</v>
      </c>
    </row>
    <row r="283" spans="1:7" ht="15" customHeight="1" x14ac:dyDescent="0.3">
      <c r="A283" s="38" t="s">
        <v>5175</v>
      </c>
      <c r="B283" s="37">
        <v>338000</v>
      </c>
      <c r="C283" s="37">
        <v>2</v>
      </c>
      <c r="D283" s="37">
        <v>1</v>
      </c>
      <c r="E283" s="39">
        <v>502</v>
      </c>
      <c r="F283" s="51">
        <v>6.17170839757629E-4</v>
      </c>
      <c r="G283" s="37">
        <v>169000</v>
      </c>
    </row>
    <row r="284" spans="1:7" ht="15" customHeight="1" x14ac:dyDescent="0.3">
      <c r="A284" s="32" t="s">
        <v>4753</v>
      </c>
      <c r="B284" s="31">
        <v>338000</v>
      </c>
      <c r="C284" s="31">
        <v>2</v>
      </c>
      <c r="D284" s="31">
        <v>1</v>
      </c>
      <c r="E284" s="33">
        <v>378</v>
      </c>
      <c r="F284" s="49">
        <v>6.17170839757629E-4</v>
      </c>
      <c r="G284" s="31">
        <v>169000</v>
      </c>
    </row>
    <row r="285" spans="1:7" ht="15" customHeight="1" x14ac:dyDescent="0.3">
      <c r="A285" s="38" t="s">
        <v>4741</v>
      </c>
      <c r="B285" s="37">
        <v>338000</v>
      </c>
      <c r="C285" s="37">
        <v>2</v>
      </c>
      <c r="D285" s="37">
        <v>1</v>
      </c>
      <c r="E285" s="39">
        <v>378</v>
      </c>
      <c r="F285" s="51">
        <v>6.17170839757629E-4</v>
      </c>
      <c r="G285" s="37">
        <v>169000</v>
      </c>
    </row>
    <row r="286" spans="1:7" ht="15" customHeight="1" x14ac:dyDescent="0.3">
      <c r="A286" s="32" t="s">
        <v>2723</v>
      </c>
      <c r="B286" s="31">
        <v>337060</v>
      </c>
      <c r="C286" s="31">
        <v>2</v>
      </c>
      <c r="D286" s="31">
        <v>2</v>
      </c>
      <c r="E286" s="33">
        <v>943.15</v>
      </c>
      <c r="F286" s="49">
        <v>6.1545444748137995E-4</v>
      </c>
      <c r="G286" s="31">
        <v>168530</v>
      </c>
    </row>
    <row r="287" spans="1:7" ht="15" customHeight="1" x14ac:dyDescent="0.3">
      <c r="A287" s="38" t="s">
        <v>2187</v>
      </c>
      <c r="B287" s="37">
        <v>335060</v>
      </c>
      <c r="C287" s="37">
        <v>2</v>
      </c>
      <c r="D287" s="37">
        <v>2</v>
      </c>
      <c r="E287" s="39">
        <v>3440</v>
      </c>
      <c r="F287" s="51">
        <v>6.1180254902127597E-4</v>
      </c>
      <c r="G287" s="37">
        <v>167530</v>
      </c>
    </row>
    <row r="288" spans="1:7" ht="15" customHeight="1" x14ac:dyDescent="0.3">
      <c r="A288" s="32" t="s">
        <v>5445</v>
      </c>
      <c r="B288" s="31">
        <v>331800</v>
      </c>
      <c r="C288" s="31">
        <v>1</v>
      </c>
      <c r="D288" s="31">
        <v>1</v>
      </c>
      <c r="E288" s="33">
        <v>600</v>
      </c>
      <c r="F288" s="49">
        <v>6.0584995453130599E-4</v>
      </c>
      <c r="G288" s="31">
        <v>331800</v>
      </c>
    </row>
    <row r="289" spans="1:7" ht="15" customHeight="1" x14ac:dyDescent="0.3">
      <c r="A289" s="38" t="s">
        <v>5286</v>
      </c>
      <c r="B289" s="37">
        <v>331800</v>
      </c>
      <c r="C289" s="37">
        <v>1</v>
      </c>
      <c r="D289" s="37">
        <v>1</v>
      </c>
      <c r="E289" s="39">
        <v>500</v>
      </c>
      <c r="F289" s="51">
        <v>6.0584995453130599E-4</v>
      </c>
      <c r="G289" s="37">
        <v>331800</v>
      </c>
    </row>
    <row r="290" spans="1:7" ht="15" customHeight="1" x14ac:dyDescent="0.3">
      <c r="A290" s="32" t="s">
        <v>5479</v>
      </c>
      <c r="B290" s="31">
        <v>331800</v>
      </c>
      <c r="C290" s="31">
        <v>1</v>
      </c>
      <c r="D290" s="31">
        <v>1</v>
      </c>
      <c r="E290" s="33">
        <v>952</v>
      </c>
      <c r="F290" s="49">
        <v>6.0584995453130599E-4</v>
      </c>
      <c r="G290" s="31">
        <v>331800</v>
      </c>
    </row>
    <row r="291" spans="1:7" ht="15" customHeight="1" x14ac:dyDescent="0.3">
      <c r="A291" s="38" t="s">
        <v>3697</v>
      </c>
      <c r="B291" s="37">
        <v>331800</v>
      </c>
      <c r="C291" s="37">
        <v>1</v>
      </c>
      <c r="D291" s="37">
        <v>1</v>
      </c>
      <c r="E291" s="39">
        <v>1638</v>
      </c>
      <c r="F291" s="51">
        <v>6.0584995453130599E-4</v>
      </c>
      <c r="G291" s="37">
        <v>331800</v>
      </c>
    </row>
    <row r="292" spans="1:7" ht="15" customHeight="1" x14ac:dyDescent="0.3">
      <c r="A292" s="32" t="s">
        <v>4957</v>
      </c>
      <c r="B292" s="31">
        <v>331800</v>
      </c>
      <c r="C292" s="31">
        <v>1</v>
      </c>
      <c r="D292" s="31">
        <v>1</v>
      </c>
      <c r="E292" s="33">
        <v>4658.16</v>
      </c>
      <c r="F292" s="49">
        <v>6.0584995453130599E-4</v>
      </c>
      <c r="G292" s="31">
        <v>331800</v>
      </c>
    </row>
    <row r="293" spans="1:7" ht="15" customHeight="1" x14ac:dyDescent="0.3">
      <c r="A293" s="38" t="s">
        <v>3601</v>
      </c>
      <c r="B293" s="37">
        <v>331800</v>
      </c>
      <c r="C293" s="37">
        <v>1</v>
      </c>
      <c r="D293" s="37">
        <v>1</v>
      </c>
      <c r="E293" s="39">
        <v>3484</v>
      </c>
      <c r="F293" s="51">
        <v>6.0584995453130599E-4</v>
      </c>
      <c r="G293" s="37">
        <v>331800</v>
      </c>
    </row>
    <row r="294" spans="1:7" ht="15" customHeight="1" x14ac:dyDescent="0.3">
      <c r="A294" s="32" t="s">
        <v>3145</v>
      </c>
      <c r="B294" s="31">
        <v>331800</v>
      </c>
      <c r="C294" s="31">
        <v>1</v>
      </c>
      <c r="D294" s="31">
        <v>1</v>
      </c>
      <c r="E294" s="33">
        <v>1565</v>
      </c>
      <c r="F294" s="49">
        <v>6.0584995453130599E-4</v>
      </c>
      <c r="G294" s="31">
        <v>331800</v>
      </c>
    </row>
    <row r="295" spans="1:7" ht="15" customHeight="1" x14ac:dyDescent="0.3">
      <c r="A295" s="38" t="s">
        <v>3778</v>
      </c>
      <c r="B295" s="37">
        <v>331800</v>
      </c>
      <c r="C295" s="37">
        <v>1</v>
      </c>
      <c r="D295" s="37">
        <v>1</v>
      </c>
      <c r="E295" s="39">
        <v>965</v>
      </c>
      <c r="F295" s="51">
        <v>6.0584995453130599E-4</v>
      </c>
      <c r="G295" s="37">
        <v>331800</v>
      </c>
    </row>
    <row r="296" spans="1:7" ht="15" customHeight="1" x14ac:dyDescent="0.3">
      <c r="A296" s="32" t="s">
        <v>5221</v>
      </c>
      <c r="B296" s="31">
        <v>331800</v>
      </c>
      <c r="C296" s="31">
        <v>1</v>
      </c>
      <c r="D296" s="31">
        <v>1</v>
      </c>
      <c r="E296" s="33">
        <v>754</v>
      </c>
      <c r="F296" s="49">
        <v>6.0584995453130599E-4</v>
      </c>
      <c r="G296" s="31">
        <v>331800</v>
      </c>
    </row>
    <row r="297" spans="1:7" ht="15" customHeight="1" x14ac:dyDescent="0.3">
      <c r="A297" s="38" t="s">
        <v>5404</v>
      </c>
      <c r="B297" s="37">
        <v>331800</v>
      </c>
      <c r="C297" s="37">
        <v>1</v>
      </c>
      <c r="D297" s="37">
        <v>1</v>
      </c>
      <c r="E297" s="39">
        <v>1345</v>
      </c>
      <c r="F297" s="51">
        <v>6.0584995453130599E-4</v>
      </c>
      <c r="G297" s="37">
        <v>331800</v>
      </c>
    </row>
    <row r="298" spans="1:7" ht="15" customHeight="1" x14ac:dyDescent="0.3">
      <c r="A298" s="32" t="s">
        <v>5213</v>
      </c>
      <c r="B298" s="31">
        <v>331800</v>
      </c>
      <c r="C298" s="31">
        <v>1</v>
      </c>
      <c r="D298" s="31">
        <v>1</v>
      </c>
      <c r="E298" s="33">
        <v>1037</v>
      </c>
      <c r="F298" s="49">
        <v>6.0584995453130599E-4</v>
      </c>
      <c r="G298" s="31">
        <v>331800</v>
      </c>
    </row>
    <row r="299" spans="1:7" ht="15" customHeight="1" x14ac:dyDescent="0.3">
      <c r="A299" s="38" t="s">
        <v>4586</v>
      </c>
      <c r="B299" s="37">
        <v>331800</v>
      </c>
      <c r="C299" s="37">
        <v>1</v>
      </c>
      <c r="D299" s="37">
        <v>1</v>
      </c>
      <c r="E299" s="39">
        <v>708</v>
      </c>
      <c r="F299" s="51">
        <v>6.0584995453130599E-4</v>
      </c>
      <c r="G299" s="37">
        <v>331800</v>
      </c>
    </row>
    <row r="300" spans="1:7" ht="15" customHeight="1" x14ac:dyDescent="0.3">
      <c r="A300" s="32" t="s">
        <v>5098</v>
      </c>
      <c r="B300" s="31">
        <v>331800</v>
      </c>
      <c r="C300" s="31">
        <v>1</v>
      </c>
      <c r="D300" s="31">
        <v>1</v>
      </c>
      <c r="E300" s="33">
        <v>4024</v>
      </c>
      <c r="F300" s="49">
        <v>6.0584995453130599E-4</v>
      </c>
      <c r="G300" s="31">
        <v>331800</v>
      </c>
    </row>
    <row r="301" spans="1:7" ht="15" customHeight="1" x14ac:dyDescent="0.3">
      <c r="A301" s="38" t="s">
        <v>641</v>
      </c>
      <c r="B301" s="37">
        <v>331260</v>
      </c>
      <c r="C301" s="37">
        <v>1</v>
      </c>
      <c r="D301" s="37">
        <v>1</v>
      </c>
      <c r="E301" s="39">
        <v>2974</v>
      </c>
      <c r="F301" s="51">
        <v>6.0486394194707803E-4</v>
      </c>
      <c r="G301" s="37">
        <v>331260</v>
      </c>
    </row>
    <row r="302" spans="1:7" ht="15" customHeight="1" x14ac:dyDescent="0.3">
      <c r="A302" s="32" t="s">
        <v>252</v>
      </c>
      <c r="B302" s="31">
        <v>331260</v>
      </c>
      <c r="C302" s="31">
        <v>1</v>
      </c>
      <c r="D302" s="31">
        <v>1</v>
      </c>
      <c r="E302" s="33">
        <v>700</v>
      </c>
      <c r="F302" s="49">
        <v>6.0486394194707803E-4</v>
      </c>
      <c r="G302" s="31">
        <v>331260</v>
      </c>
    </row>
    <row r="303" spans="1:7" ht="15" customHeight="1" x14ac:dyDescent="0.3">
      <c r="A303" s="38" t="s">
        <v>645</v>
      </c>
      <c r="B303" s="37">
        <v>331260</v>
      </c>
      <c r="C303" s="37">
        <v>1</v>
      </c>
      <c r="D303" s="37">
        <v>1</v>
      </c>
      <c r="E303" s="39">
        <v>1040</v>
      </c>
      <c r="F303" s="51">
        <v>6.0486394194707803E-4</v>
      </c>
      <c r="G303" s="37">
        <v>331260</v>
      </c>
    </row>
    <row r="304" spans="1:7" ht="15" customHeight="1" x14ac:dyDescent="0.3">
      <c r="A304" s="32" t="s">
        <v>633</v>
      </c>
      <c r="B304" s="31">
        <v>331260</v>
      </c>
      <c r="C304" s="31">
        <v>1</v>
      </c>
      <c r="D304" s="31">
        <v>1</v>
      </c>
      <c r="E304" s="33">
        <v>1044</v>
      </c>
      <c r="F304" s="49">
        <v>6.0486394194707803E-4</v>
      </c>
      <c r="G304" s="31">
        <v>331260</v>
      </c>
    </row>
    <row r="305" spans="1:7" ht="15" customHeight="1" x14ac:dyDescent="0.3">
      <c r="A305" s="38" t="s">
        <v>143</v>
      </c>
      <c r="B305" s="37">
        <v>331260</v>
      </c>
      <c r="C305" s="37">
        <v>1</v>
      </c>
      <c r="D305" s="37">
        <v>1</v>
      </c>
      <c r="E305" s="39">
        <v>3157.942</v>
      </c>
      <c r="F305" s="51">
        <v>6.0486394194707803E-4</v>
      </c>
      <c r="G305" s="37">
        <v>331260</v>
      </c>
    </row>
    <row r="306" spans="1:7" ht="15" customHeight="1" x14ac:dyDescent="0.3">
      <c r="A306" s="32" t="s">
        <v>4170</v>
      </c>
      <c r="B306" s="31">
        <v>329000</v>
      </c>
      <c r="C306" s="31">
        <v>1</v>
      </c>
      <c r="D306" s="31">
        <v>1</v>
      </c>
      <c r="E306" s="33">
        <v>4218.6000000000004</v>
      </c>
      <c r="F306" s="49">
        <v>6.0073729668716003E-4</v>
      </c>
      <c r="G306" s="31">
        <v>329000</v>
      </c>
    </row>
    <row r="307" spans="1:7" ht="15" customHeight="1" x14ac:dyDescent="0.3">
      <c r="A307" s="38" t="s">
        <v>3528</v>
      </c>
      <c r="B307" s="37">
        <v>329000</v>
      </c>
      <c r="C307" s="37">
        <v>1</v>
      </c>
      <c r="D307" s="37">
        <v>1</v>
      </c>
      <c r="E307" s="39">
        <v>1512</v>
      </c>
      <c r="F307" s="51">
        <v>6.0073729668716003E-4</v>
      </c>
      <c r="G307" s="37">
        <v>329000</v>
      </c>
    </row>
    <row r="308" spans="1:7" ht="15" customHeight="1" x14ac:dyDescent="0.3">
      <c r="A308" s="32" t="s">
        <v>5373</v>
      </c>
      <c r="B308" s="31">
        <v>329000</v>
      </c>
      <c r="C308" s="31">
        <v>1</v>
      </c>
      <c r="D308" s="31">
        <v>1</v>
      </c>
      <c r="E308" s="33">
        <v>538</v>
      </c>
      <c r="F308" s="49">
        <v>6.0073729668716003E-4</v>
      </c>
      <c r="G308" s="31">
        <v>329000</v>
      </c>
    </row>
    <row r="309" spans="1:7" ht="15" customHeight="1" x14ac:dyDescent="0.3">
      <c r="A309" s="38" t="s">
        <v>4734</v>
      </c>
      <c r="B309" s="37">
        <v>329000</v>
      </c>
      <c r="C309" s="37">
        <v>1</v>
      </c>
      <c r="D309" s="37">
        <v>1</v>
      </c>
      <c r="E309" s="39">
        <v>723</v>
      </c>
      <c r="F309" s="51">
        <v>6.0073729668716003E-4</v>
      </c>
      <c r="G309" s="37">
        <v>329000</v>
      </c>
    </row>
    <row r="310" spans="1:7" ht="15" customHeight="1" x14ac:dyDescent="0.3">
      <c r="A310" s="32" t="s">
        <v>4597</v>
      </c>
      <c r="B310" s="31">
        <v>329000</v>
      </c>
      <c r="C310" s="31">
        <v>1</v>
      </c>
      <c r="D310" s="31">
        <v>1</v>
      </c>
      <c r="E310" s="33">
        <v>3365</v>
      </c>
      <c r="F310" s="49">
        <v>6.0073729668716003E-4</v>
      </c>
      <c r="G310" s="31">
        <v>329000</v>
      </c>
    </row>
    <row r="311" spans="1:7" ht="15" customHeight="1" x14ac:dyDescent="0.3">
      <c r="A311" s="38" t="s">
        <v>5104</v>
      </c>
      <c r="B311" s="37">
        <v>329000</v>
      </c>
      <c r="C311" s="37">
        <v>1</v>
      </c>
      <c r="D311" s="37">
        <v>1</v>
      </c>
      <c r="E311" s="39">
        <v>2988</v>
      </c>
      <c r="F311" s="51">
        <v>6.0073729668716003E-4</v>
      </c>
      <c r="G311" s="37">
        <v>329000</v>
      </c>
    </row>
    <row r="312" spans="1:7" ht="15" customHeight="1" x14ac:dyDescent="0.3">
      <c r="A312" s="32" t="s">
        <v>2292</v>
      </c>
      <c r="B312" s="31">
        <v>328520</v>
      </c>
      <c r="C312" s="31">
        <v>2</v>
      </c>
      <c r="D312" s="31">
        <v>1</v>
      </c>
      <c r="E312" s="33">
        <v>1932</v>
      </c>
      <c r="F312" s="49">
        <v>5.9986084105673502E-4</v>
      </c>
      <c r="G312" s="31">
        <v>164260</v>
      </c>
    </row>
    <row r="313" spans="1:7" ht="15" customHeight="1" x14ac:dyDescent="0.3">
      <c r="A313" s="38" t="s">
        <v>1882</v>
      </c>
      <c r="B313" s="37">
        <v>328520</v>
      </c>
      <c r="C313" s="37">
        <v>2</v>
      </c>
      <c r="D313" s="37">
        <v>2</v>
      </c>
      <c r="E313" s="39">
        <v>1743</v>
      </c>
      <c r="F313" s="51">
        <v>5.9986084105673502E-4</v>
      </c>
      <c r="G313" s="37">
        <v>164260</v>
      </c>
    </row>
    <row r="314" spans="1:7" ht="15" customHeight="1" x14ac:dyDescent="0.3">
      <c r="A314" s="32" t="s">
        <v>1413</v>
      </c>
      <c r="B314" s="31">
        <v>326520</v>
      </c>
      <c r="C314" s="31">
        <v>2</v>
      </c>
      <c r="D314" s="31">
        <v>2</v>
      </c>
      <c r="E314" s="33">
        <v>1500</v>
      </c>
      <c r="F314" s="49">
        <v>5.9620894259663105E-4</v>
      </c>
      <c r="G314" s="31">
        <v>163260</v>
      </c>
    </row>
    <row r="315" spans="1:7" ht="15" customHeight="1" x14ac:dyDescent="0.3">
      <c r="A315" s="38" t="s">
        <v>80</v>
      </c>
      <c r="B315" s="37">
        <v>326000</v>
      </c>
      <c r="C315" s="37">
        <v>2</v>
      </c>
      <c r="D315" s="37">
        <v>1</v>
      </c>
      <c r="E315" s="39">
        <v>1330</v>
      </c>
      <c r="F315" s="51">
        <v>5.9525944899700397E-4</v>
      </c>
      <c r="G315" s="37">
        <v>163000</v>
      </c>
    </row>
    <row r="316" spans="1:7" ht="15" customHeight="1" x14ac:dyDescent="0.3">
      <c r="A316" s="32" t="s">
        <v>275</v>
      </c>
      <c r="B316" s="31">
        <v>324000</v>
      </c>
      <c r="C316" s="31">
        <v>3</v>
      </c>
      <c r="D316" s="31">
        <v>1</v>
      </c>
      <c r="E316" s="33">
        <v>249</v>
      </c>
      <c r="F316" s="49">
        <v>5.9160755053689902E-4</v>
      </c>
      <c r="G316" s="31">
        <v>108000</v>
      </c>
    </row>
    <row r="317" spans="1:7" ht="15" customHeight="1" x14ac:dyDescent="0.3">
      <c r="A317" s="38" t="s">
        <v>2899</v>
      </c>
      <c r="B317" s="37">
        <v>323260</v>
      </c>
      <c r="C317" s="37">
        <v>1</v>
      </c>
      <c r="D317" s="37">
        <v>1</v>
      </c>
      <c r="E317" s="39">
        <v>6800</v>
      </c>
      <c r="F317" s="51">
        <v>5.9025634810666095E-4</v>
      </c>
      <c r="G317" s="37">
        <v>323260</v>
      </c>
    </row>
    <row r="318" spans="1:7" ht="15" customHeight="1" x14ac:dyDescent="0.3">
      <c r="A318" s="32" t="s">
        <v>2823</v>
      </c>
      <c r="B318" s="31">
        <v>323260</v>
      </c>
      <c r="C318" s="31">
        <v>1</v>
      </c>
      <c r="D318" s="31">
        <v>1</v>
      </c>
      <c r="E318" s="33">
        <v>803</v>
      </c>
      <c r="F318" s="49">
        <v>5.9025634810666095E-4</v>
      </c>
      <c r="G318" s="31">
        <v>323260</v>
      </c>
    </row>
    <row r="319" spans="1:7" ht="15" customHeight="1" x14ac:dyDescent="0.3">
      <c r="A319" s="38" t="s">
        <v>1038</v>
      </c>
      <c r="B319" s="37">
        <v>323260</v>
      </c>
      <c r="C319" s="37">
        <v>1</v>
      </c>
      <c r="D319" s="37">
        <v>1</v>
      </c>
      <c r="E319" s="39">
        <v>3075</v>
      </c>
      <c r="F319" s="51">
        <v>5.9025634810666095E-4</v>
      </c>
      <c r="G319" s="37">
        <v>323260</v>
      </c>
    </row>
    <row r="320" spans="1:7" ht="15" customHeight="1" x14ac:dyDescent="0.3">
      <c r="A320" s="32" t="s">
        <v>916</v>
      </c>
      <c r="B320" s="31">
        <v>323260</v>
      </c>
      <c r="C320" s="31">
        <v>1</v>
      </c>
      <c r="D320" s="31">
        <v>1</v>
      </c>
      <c r="E320" s="33">
        <v>2293</v>
      </c>
      <c r="F320" s="49">
        <v>5.9025634810666095E-4</v>
      </c>
      <c r="G320" s="31">
        <v>323260</v>
      </c>
    </row>
    <row r="321" spans="1:7" ht="15" customHeight="1" x14ac:dyDescent="0.3">
      <c r="A321" s="38" t="s">
        <v>2657</v>
      </c>
      <c r="B321" s="37">
        <v>323260</v>
      </c>
      <c r="C321" s="37">
        <v>1</v>
      </c>
      <c r="D321" s="37">
        <v>1</v>
      </c>
      <c r="E321" s="39">
        <v>6074</v>
      </c>
      <c r="F321" s="51">
        <v>5.9025634810666095E-4</v>
      </c>
      <c r="G321" s="37">
        <v>323260</v>
      </c>
    </row>
    <row r="322" spans="1:7" ht="15" customHeight="1" x14ac:dyDescent="0.3">
      <c r="A322" s="32" t="s">
        <v>2777</v>
      </c>
      <c r="B322" s="31">
        <v>323260</v>
      </c>
      <c r="C322" s="31">
        <v>1</v>
      </c>
      <c r="D322" s="31">
        <v>1</v>
      </c>
      <c r="E322" s="33">
        <v>2600</v>
      </c>
      <c r="F322" s="49">
        <v>5.9025634810666095E-4</v>
      </c>
      <c r="G322" s="31">
        <v>323260</v>
      </c>
    </row>
    <row r="323" spans="1:7" ht="15" customHeight="1" x14ac:dyDescent="0.3">
      <c r="A323" s="38" t="s">
        <v>1993</v>
      </c>
      <c r="B323" s="37">
        <v>323260</v>
      </c>
      <c r="C323" s="37">
        <v>1</v>
      </c>
      <c r="D323" s="37">
        <v>1</v>
      </c>
      <c r="E323" s="39">
        <v>4250</v>
      </c>
      <c r="F323" s="51">
        <v>5.9025634810666095E-4</v>
      </c>
      <c r="G323" s="37">
        <v>323260</v>
      </c>
    </row>
    <row r="324" spans="1:7" ht="15" customHeight="1" x14ac:dyDescent="0.3">
      <c r="A324" s="32" t="s">
        <v>1601</v>
      </c>
      <c r="B324" s="31">
        <v>323260</v>
      </c>
      <c r="C324" s="31">
        <v>1</v>
      </c>
      <c r="D324" s="31">
        <v>1</v>
      </c>
      <c r="E324" s="33">
        <v>1199</v>
      </c>
      <c r="F324" s="49">
        <v>5.9025634810666095E-4</v>
      </c>
      <c r="G324" s="31">
        <v>323260</v>
      </c>
    </row>
    <row r="325" spans="1:7" ht="15" customHeight="1" x14ac:dyDescent="0.3">
      <c r="A325" s="38" t="s">
        <v>4156</v>
      </c>
      <c r="B325" s="37">
        <v>321000</v>
      </c>
      <c r="C325" s="37">
        <v>1</v>
      </c>
      <c r="D325" s="37">
        <v>1</v>
      </c>
      <c r="E325" s="39">
        <v>4003</v>
      </c>
      <c r="F325" s="51">
        <v>5.8612970284674295E-4</v>
      </c>
      <c r="G325" s="37">
        <v>321000</v>
      </c>
    </row>
    <row r="326" spans="1:7" ht="15" customHeight="1" x14ac:dyDescent="0.3">
      <c r="A326" s="32" t="s">
        <v>117</v>
      </c>
      <c r="B326" s="31">
        <v>318520</v>
      </c>
      <c r="C326" s="31">
        <v>2</v>
      </c>
      <c r="D326" s="31">
        <v>1</v>
      </c>
      <c r="E326" s="33">
        <v>4470</v>
      </c>
      <c r="F326" s="49">
        <v>5.8160134875621299E-4</v>
      </c>
      <c r="G326" s="31">
        <v>159260</v>
      </c>
    </row>
    <row r="327" spans="1:7" ht="15" customHeight="1" x14ac:dyDescent="0.3">
      <c r="A327" s="38" t="s">
        <v>3837</v>
      </c>
      <c r="B327" s="37">
        <v>317600</v>
      </c>
      <c r="C327" s="37">
        <v>2</v>
      </c>
      <c r="D327" s="37">
        <v>2</v>
      </c>
      <c r="E327" s="39">
        <v>379</v>
      </c>
      <c r="F327" s="51">
        <v>5.79921475464566E-4</v>
      </c>
      <c r="G327" s="37">
        <v>158800</v>
      </c>
    </row>
    <row r="328" spans="1:7" ht="15" customHeight="1" x14ac:dyDescent="0.3">
      <c r="A328" s="32" t="s">
        <v>657</v>
      </c>
      <c r="B328" s="31">
        <v>316060</v>
      </c>
      <c r="C328" s="31">
        <v>2</v>
      </c>
      <c r="D328" s="31">
        <v>2</v>
      </c>
      <c r="E328" s="33">
        <v>2233</v>
      </c>
      <c r="F328" s="49">
        <v>5.7710951365028498E-4</v>
      </c>
      <c r="G328" s="31">
        <v>158030</v>
      </c>
    </row>
    <row r="329" spans="1:7" ht="15" customHeight="1" x14ac:dyDescent="0.3">
      <c r="A329" s="38" t="s">
        <v>5246</v>
      </c>
      <c r="B329" s="37">
        <v>311800</v>
      </c>
      <c r="C329" s="37">
        <v>1</v>
      </c>
      <c r="D329" s="37">
        <v>1</v>
      </c>
      <c r="E329" s="39">
        <v>2000.999</v>
      </c>
      <c r="F329" s="51">
        <v>5.69330969930263E-4</v>
      </c>
      <c r="G329" s="37">
        <v>311800</v>
      </c>
    </row>
    <row r="330" spans="1:7" ht="15" customHeight="1" x14ac:dyDescent="0.3">
      <c r="A330" s="32" t="s">
        <v>5382</v>
      </c>
      <c r="B330" s="31">
        <v>311800</v>
      </c>
      <c r="C330" s="31">
        <v>1</v>
      </c>
      <c r="D330" s="31">
        <v>1</v>
      </c>
      <c r="E330" s="33">
        <v>725.5</v>
      </c>
      <c r="F330" s="49">
        <v>5.69330969930263E-4</v>
      </c>
      <c r="G330" s="31">
        <v>311800</v>
      </c>
    </row>
    <row r="331" spans="1:7" ht="15" customHeight="1" x14ac:dyDescent="0.3">
      <c r="A331" s="38" t="s">
        <v>4896</v>
      </c>
      <c r="B331" s="37">
        <v>311800</v>
      </c>
      <c r="C331" s="37">
        <v>1</v>
      </c>
      <c r="D331" s="37">
        <v>1</v>
      </c>
      <c r="E331" s="39">
        <v>1824</v>
      </c>
      <c r="F331" s="51">
        <v>5.69330969930263E-4</v>
      </c>
      <c r="G331" s="37">
        <v>311800</v>
      </c>
    </row>
    <row r="332" spans="1:7" ht="15" customHeight="1" x14ac:dyDescent="0.3">
      <c r="A332" s="32" t="s">
        <v>4181</v>
      </c>
      <c r="B332" s="31">
        <v>311800</v>
      </c>
      <c r="C332" s="31">
        <v>1</v>
      </c>
      <c r="D332" s="31">
        <v>1</v>
      </c>
      <c r="E332" s="33">
        <v>835</v>
      </c>
      <c r="F332" s="49">
        <v>5.69330969930263E-4</v>
      </c>
      <c r="G332" s="31">
        <v>311800</v>
      </c>
    </row>
    <row r="333" spans="1:7" ht="15" customHeight="1" x14ac:dyDescent="0.3">
      <c r="A333" s="38" t="s">
        <v>5413</v>
      </c>
      <c r="B333" s="37">
        <v>311800</v>
      </c>
      <c r="C333" s="37">
        <v>1</v>
      </c>
      <c r="D333" s="37">
        <v>1</v>
      </c>
      <c r="E333" s="39">
        <v>350</v>
      </c>
      <c r="F333" s="51">
        <v>5.69330969930263E-4</v>
      </c>
      <c r="G333" s="37">
        <v>311800</v>
      </c>
    </row>
    <row r="334" spans="1:7" ht="15" customHeight="1" x14ac:dyDescent="0.3">
      <c r="A334" s="32" t="s">
        <v>3852</v>
      </c>
      <c r="B334" s="31">
        <v>311800</v>
      </c>
      <c r="C334" s="31">
        <v>1</v>
      </c>
      <c r="D334" s="31">
        <v>1</v>
      </c>
      <c r="E334" s="33">
        <v>854</v>
      </c>
      <c r="F334" s="49">
        <v>5.69330969930263E-4</v>
      </c>
      <c r="G334" s="31">
        <v>311800</v>
      </c>
    </row>
    <row r="335" spans="1:7" ht="15" customHeight="1" x14ac:dyDescent="0.3">
      <c r="A335" s="38" t="s">
        <v>5143</v>
      </c>
      <c r="B335" s="37">
        <v>311800</v>
      </c>
      <c r="C335" s="37">
        <v>1</v>
      </c>
      <c r="D335" s="37">
        <v>1</v>
      </c>
      <c r="E335" s="39">
        <v>696</v>
      </c>
      <c r="F335" s="51">
        <v>5.69330969930263E-4</v>
      </c>
      <c r="G335" s="37">
        <v>311800</v>
      </c>
    </row>
    <row r="336" spans="1:7" ht="15" customHeight="1" x14ac:dyDescent="0.3">
      <c r="A336" s="32" t="s">
        <v>3878</v>
      </c>
      <c r="B336" s="31">
        <v>311800</v>
      </c>
      <c r="C336" s="31">
        <v>1</v>
      </c>
      <c r="D336" s="31">
        <v>1</v>
      </c>
      <c r="E336" s="33">
        <v>393</v>
      </c>
      <c r="F336" s="49">
        <v>5.69330969930263E-4</v>
      </c>
      <c r="G336" s="31">
        <v>311800</v>
      </c>
    </row>
    <row r="337" spans="1:7" ht="15" customHeight="1" x14ac:dyDescent="0.3">
      <c r="A337" s="38" t="s">
        <v>4941</v>
      </c>
      <c r="B337" s="37">
        <v>311800</v>
      </c>
      <c r="C337" s="37">
        <v>1</v>
      </c>
      <c r="D337" s="37">
        <v>1</v>
      </c>
      <c r="E337" s="39">
        <v>3619</v>
      </c>
      <c r="F337" s="51">
        <v>5.69330969930263E-4</v>
      </c>
      <c r="G337" s="37">
        <v>311800</v>
      </c>
    </row>
    <row r="338" spans="1:7" ht="15" customHeight="1" x14ac:dyDescent="0.3">
      <c r="A338" s="32" t="s">
        <v>5135</v>
      </c>
      <c r="B338" s="31">
        <v>311800</v>
      </c>
      <c r="C338" s="31">
        <v>1</v>
      </c>
      <c r="D338" s="31">
        <v>1</v>
      </c>
      <c r="E338" s="33">
        <v>462</v>
      </c>
      <c r="F338" s="49">
        <v>5.69330969930263E-4</v>
      </c>
      <c r="G338" s="31">
        <v>311800</v>
      </c>
    </row>
    <row r="339" spans="1:7" ht="15" customHeight="1" x14ac:dyDescent="0.3">
      <c r="A339" s="38" t="s">
        <v>5486</v>
      </c>
      <c r="B339" s="37">
        <v>311800</v>
      </c>
      <c r="C339" s="37">
        <v>1</v>
      </c>
      <c r="D339" s="37">
        <v>1</v>
      </c>
      <c r="E339" s="39">
        <v>320</v>
      </c>
      <c r="F339" s="51">
        <v>5.69330969930263E-4</v>
      </c>
      <c r="G339" s="37">
        <v>311800</v>
      </c>
    </row>
    <row r="340" spans="1:7" ht="15" customHeight="1" x14ac:dyDescent="0.3">
      <c r="A340" s="32" t="s">
        <v>3621</v>
      </c>
      <c r="B340" s="31">
        <v>311800</v>
      </c>
      <c r="C340" s="31">
        <v>1</v>
      </c>
      <c r="D340" s="31">
        <v>1</v>
      </c>
      <c r="E340" s="33">
        <v>1997.65</v>
      </c>
      <c r="F340" s="49">
        <v>5.69330969930263E-4</v>
      </c>
      <c r="G340" s="31">
        <v>311800</v>
      </c>
    </row>
    <row r="341" spans="1:7" ht="15" customHeight="1" x14ac:dyDescent="0.3">
      <c r="A341" s="38" t="s">
        <v>4851</v>
      </c>
      <c r="B341" s="37">
        <v>311800</v>
      </c>
      <c r="C341" s="37">
        <v>1</v>
      </c>
      <c r="D341" s="37">
        <v>1</v>
      </c>
      <c r="E341" s="39">
        <v>5099</v>
      </c>
      <c r="F341" s="51">
        <v>5.69330969930263E-4</v>
      </c>
      <c r="G341" s="37">
        <v>311800</v>
      </c>
    </row>
    <row r="342" spans="1:7" ht="15" customHeight="1" x14ac:dyDescent="0.3">
      <c r="A342" s="32" t="s">
        <v>4843</v>
      </c>
      <c r="B342" s="31">
        <v>311800</v>
      </c>
      <c r="C342" s="31">
        <v>1</v>
      </c>
      <c r="D342" s="31">
        <v>1</v>
      </c>
      <c r="E342" s="33">
        <v>1650</v>
      </c>
      <c r="F342" s="49">
        <v>5.69330969930263E-4</v>
      </c>
      <c r="G342" s="31">
        <v>311800</v>
      </c>
    </row>
    <row r="343" spans="1:7" ht="15" customHeight="1" x14ac:dyDescent="0.3">
      <c r="A343" s="38" t="s">
        <v>3087</v>
      </c>
      <c r="B343" s="37">
        <v>311800</v>
      </c>
      <c r="C343" s="37">
        <v>1</v>
      </c>
      <c r="D343" s="37">
        <v>1</v>
      </c>
      <c r="E343" s="39">
        <v>650</v>
      </c>
      <c r="F343" s="51">
        <v>5.69330969930263E-4</v>
      </c>
      <c r="G343" s="37">
        <v>311800</v>
      </c>
    </row>
    <row r="344" spans="1:7" ht="15" customHeight="1" x14ac:dyDescent="0.3">
      <c r="A344" s="32" t="s">
        <v>845</v>
      </c>
      <c r="B344" s="31">
        <v>309520</v>
      </c>
      <c r="C344" s="31">
        <v>2</v>
      </c>
      <c r="D344" s="31">
        <v>1</v>
      </c>
      <c r="E344" s="33">
        <v>426</v>
      </c>
      <c r="F344" s="49">
        <v>5.6516780568574402E-4</v>
      </c>
      <c r="G344" s="31">
        <v>154760</v>
      </c>
    </row>
    <row r="345" spans="1:7" ht="15" customHeight="1" x14ac:dyDescent="0.3">
      <c r="A345" s="38" t="s">
        <v>680</v>
      </c>
      <c r="B345" s="37">
        <v>309520</v>
      </c>
      <c r="C345" s="37">
        <v>2</v>
      </c>
      <c r="D345" s="37">
        <v>1</v>
      </c>
      <c r="E345" s="39">
        <v>1047</v>
      </c>
      <c r="F345" s="51">
        <v>5.6516780568574402E-4</v>
      </c>
      <c r="G345" s="37">
        <v>154760</v>
      </c>
    </row>
    <row r="346" spans="1:7" ht="15" customHeight="1" x14ac:dyDescent="0.3">
      <c r="A346" s="32" t="s">
        <v>4756</v>
      </c>
      <c r="B346" s="31">
        <v>309000</v>
      </c>
      <c r="C346" s="31">
        <v>1</v>
      </c>
      <c r="D346" s="31">
        <v>1</v>
      </c>
      <c r="E346" s="33">
        <v>3274</v>
      </c>
      <c r="F346" s="49">
        <v>5.6421831208611705E-4</v>
      </c>
      <c r="G346" s="31">
        <v>309000</v>
      </c>
    </row>
    <row r="347" spans="1:7" ht="15" customHeight="1" x14ac:dyDescent="0.3">
      <c r="A347" s="38" t="s">
        <v>5070</v>
      </c>
      <c r="B347" s="37">
        <v>309000</v>
      </c>
      <c r="C347" s="37">
        <v>1</v>
      </c>
      <c r="D347" s="37">
        <v>1</v>
      </c>
      <c r="E347" s="39">
        <v>324</v>
      </c>
      <c r="F347" s="51">
        <v>5.6421831208611705E-4</v>
      </c>
      <c r="G347" s="37">
        <v>309000</v>
      </c>
    </row>
    <row r="348" spans="1:7" ht="15" customHeight="1" x14ac:dyDescent="0.3">
      <c r="A348" s="32" t="s">
        <v>4748</v>
      </c>
      <c r="B348" s="31">
        <v>309000</v>
      </c>
      <c r="C348" s="31">
        <v>1</v>
      </c>
      <c r="D348" s="31">
        <v>1</v>
      </c>
      <c r="E348" s="33">
        <v>3274</v>
      </c>
      <c r="F348" s="49">
        <v>5.6421831208611705E-4</v>
      </c>
      <c r="G348" s="31">
        <v>309000</v>
      </c>
    </row>
    <row r="349" spans="1:7" ht="15" customHeight="1" x14ac:dyDescent="0.3">
      <c r="A349" s="38" t="s">
        <v>3285</v>
      </c>
      <c r="B349" s="37">
        <v>309000</v>
      </c>
      <c r="C349" s="37">
        <v>1</v>
      </c>
      <c r="D349" s="37">
        <v>1</v>
      </c>
      <c r="E349" s="39">
        <v>4005</v>
      </c>
      <c r="F349" s="51">
        <v>5.6421831208611705E-4</v>
      </c>
      <c r="G349" s="37">
        <v>309000</v>
      </c>
    </row>
    <row r="350" spans="1:7" ht="15" customHeight="1" x14ac:dyDescent="0.3">
      <c r="A350" s="32" t="s">
        <v>4809</v>
      </c>
      <c r="B350" s="31">
        <v>309000</v>
      </c>
      <c r="C350" s="31">
        <v>1</v>
      </c>
      <c r="D350" s="31">
        <v>1</v>
      </c>
      <c r="E350" s="33">
        <v>6200</v>
      </c>
      <c r="F350" s="49">
        <v>5.6421831208611705E-4</v>
      </c>
      <c r="G350" s="31">
        <v>309000</v>
      </c>
    </row>
    <row r="351" spans="1:7" ht="15" customHeight="1" x14ac:dyDescent="0.3">
      <c r="A351" s="38" t="s">
        <v>5345</v>
      </c>
      <c r="B351" s="37">
        <v>309000</v>
      </c>
      <c r="C351" s="37">
        <v>1</v>
      </c>
      <c r="D351" s="37">
        <v>1</v>
      </c>
      <c r="E351" s="39">
        <v>1542</v>
      </c>
      <c r="F351" s="51">
        <v>5.6421831208611705E-4</v>
      </c>
      <c r="G351" s="37">
        <v>309000</v>
      </c>
    </row>
    <row r="352" spans="1:7" ht="15" customHeight="1" x14ac:dyDescent="0.3">
      <c r="A352" s="32" t="s">
        <v>3720</v>
      </c>
      <c r="B352" s="31">
        <v>309000</v>
      </c>
      <c r="C352" s="31">
        <v>1</v>
      </c>
      <c r="D352" s="31">
        <v>1</v>
      </c>
      <c r="E352" s="33">
        <v>3646</v>
      </c>
      <c r="F352" s="49">
        <v>5.6421831208611705E-4</v>
      </c>
      <c r="G352" s="31">
        <v>309000</v>
      </c>
    </row>
    <row r="353" spans="1:7" ht="15" customHeight="1" x14ac:dyDescent="0.3">
      <c r="A353" s="38" t="s">
        <v>5491</v>
      </c>
      <c r="B353" s="37">
        <v>309000</v>
      </c>
      <c r="C353" s="37">
        <v>1</v>
      </c>
      <c r="D353" s="37">
        <v>1</v>
      </c>
      <c r="E353" s="39">
        <v>3108</v>
      </c>
      <c r="F353" s="51">
        <v>5.6421831208611705E-4</v>
      </c>
      <c r="G353" s="37">
        <v>309000</v>
      </c>
    </row>
    <row r="354" spans="1:7" ht="15" customHeight="1" x14ac:dyDescent="0.3">
      <c r="A354" s="32" t="s">
        <v>4306</v>
      </c>
      <c r="B354" s="31">
        <v>306000</v>
      </c>
      <c r="C354" s="31">
        <v>1</v>
      </c>
      <c r="D354" s="31">
        <v>1</v>
      </c>
      <c r="E354" s="33">
        <v>1030</v>
      </c>
      <c r="F354" s="49">
        <v>5.5874046439596001E-4</v>
      </c>
      <c r="G354" s="31">
        <v>306000</v>
      </c>
    </row>
    <row r="355" spans="1:7" ht="15" customHeight="1" x14ac:dyDescent="0.3">
      <c r="A355" s="38" t="s">
        <v>753</v>
      </c>
      <c r="B355" s="37">
        <v>304260</v>
      </c>
      <c r="C355" s="37">
        <v>1</v>
      </c>
      <c r="D355" s="37">
        <v>1</v>
      </c>
      <c r="E355" s="39">
        <v>850</v>
      </c>
      <c r="F355" s="51">
        <v>5.5556331273566995E-4</v>
      </c>
      <c r="G355" s="37">
        <v>304260</v>
      </c>
    </row>
    <row r="356" spans="1:7" ht="15" customHeight="1" x14ac:dyDescent="0.3">
      <c r="A356" s="32" t="s">
        <v>748</v>
      </c>
      <c r="B356" s="31">
        <v>304260</v>
      </c>
      <c r="C356" s="31">
        <v>1</v>
      </c>
      <c r="D356" s="31">
        <v>1</v>
      </c>
      <c r="E356" s="33">
        <v>644</v>
      </c>
      <c r="F356" s="49">
        <v>5.5556331273566995E-4</v>
      </c>
      <c r="G356" s="31">
        <v>304260</v>
      </c>
    </row>
    <row r="357" spans="1:7" ht="15" customHeight="1" x14ac:dyDescent="0.3">
      <c r="A357" s="38" t="s">
        <v>186</v>
      </c>
      <c r="B357" s="37">
        <v>304260</v>
      </c>
      <c r="C357" s="37">
        <v>1</v>
      </c>
      <c r="D357" s="37">
        <v>1</v>
      </c>
      <c r="E357" s="39">
        <v>1782</v>
      </c>
      <c r="F357" s="51">
        <v>5.5556331273566995E-4</v>
      </c>
      <c r="G357" s="37">
        <v>304260</v>
      </c>
    </row>
    <row r="358" spans="1:7" ht="15" customHeight="1" x14ac:dyDescent="0.3">
      <c r="A358" s="32" t="s">
        <v>2098</v>
      </c>
      <c r="B358" s="31">
        <v>303260</v>
      </c>
      <c r="C358" s="31">
        <v>1</v>
      </c>
      <c r="D358" s="31">
        <v>1</v>
      </c>
      <c r="E358" s="33">
        <v>653.17999999999995</v>
      </c>
      <c r="F358" s="49">
        <v>5.5373736350561797E-4</v>
      </c>
      <c r="G358" s="31">
        <v>303260</v>
      </c>
    </row>
    <row r="359" spans="1:7" ht="15" customHeight="1" x14ac:dyDescent="0.3">
      <c r="A359" s="38" t="s">
        <v>2734</v>
      </c>
      <c r="B359" s="37">
        <v>303260</v>
      </c>
      <c r="C359" s="37">
        <v>1</v>
      </c>
      <c r="D359" s="37">
        <v>1</v>
      </c>
      <c r="E359" s="39">
        <v>775</v>
      </c>
      <c r="F359" s="51">
        <v>5.5373736350561797E-4</v>
      </c>
      <c r="G359" s="37">
        <v>303260</v>
      </c>
    </row>
    <row r="360" spans="1:7" ht="15" customHeight="1" x14ac:dyDescent="0.3">
      <c r="A360" s="32" t="s">
        <v>2080</v>
      </c>
      <c r="B360" s="31">
        <v>303260</v>
      </c>
      <c r="C360" s="31">
        <v>1</v>
      </c>
      <c r="D360" s="31">
        <v>1</v>
      </c>
      <c r="E360" s="33">
        <v>1532.11</v>
      </c>
      <c r="F360" s="49">
        <v>5.5373736350561797E-4</v>
      </c>
      <c r="G360" s="31">
        <v>303260</v>
      </c>
    </row>
    <row r="361" spans="1:7" ht="15" customHeight="1" x14ac:dyDescent="0.3">
      <c r="A361" s="38" t="s">
        <v>1836</v>
      </c>
      <c r="B361" s="37">
        <v>303260</v>
      </c>
      <c r="C361" s="37">
        <v>1</v>
      </c>
      <c r="D361" s="37">
        <v>1</v>
      </c>
      <c r="E361" s="39">
        <v>1157</v>
      </c>
      <c r="F361" s="51">
        <v>5.5373736350561797E-4</v>
      </c>
      <c r="G361" s="37">
        <v>303260</v>
      </c>
    </row>
    <row r="362" spans="1:7" ht="15" customHeight="1" x14ac:dyDescent="0.3">
      <c r="A362" s="32" t="s">
        <v>2596</v>
      </c>
      <c r="B362" s="31">
        <v>303260</v>
      </c>
      <c r="C362" s="31">
        <v>1</v>
      </c>
      <c r="D362" s="31">
        <v>1</v>
      </c>
      <c r="E362" s="33">
        <v>1286</v>
      </c>
      <c r="F362" s="49">
        <v>5.5373736350561797E-4</v>
      </c>
      <c r="G362" s="31">
        <v>303260</v>
      </c>
    </row>
    <row r="363" spans="1:7" ht="15" customHeight="1" x14ac:dyDescent="0.3">
      <c r="A363" s="38" t="s">
        <v>1926</v>
      </c>
      <c r="B363" s="37">
        <v>303260</v>
      </c>
      <c r="C363" s="37">
        <v>1</v>
      </c>
      <c r="D363" s="37">
        <v>1</v>
      </c>
      <c r="E363" s="39">
        <v>7362</v>
      </c>
      <c r="F363" s="51">
        <v>5.5373736350561797E-4</v>
      </c>
      <c r="G363" s="37">
        <v>303260</v>
      </c>
    </row>
    <row r="364" spans="1:7" ht="15" customHeight="1" x14ac:dyDescent="0.3">
      <c r="A364" s="32" t="s">
        <v>2617</v>
      </c>
      <c r="B364" s="31">
        <v>303260</v>
      </c>
      <c r="C364" s="31">
        <v>1</v>
      </c>
      <c r="D364" s="31">
        <v>1</v>
      </c>
      <c r="E364" s="33">
        <v>453</v>
      </c>
      <c r="F364" s="49">
        <v>5.5373736350561797E-4</v>
      </c>
      <c r="G364" s="31">
        <v>303260</v>
      </c>
    </row>
    <row r="365" spans="1:7" ht="15" customHeight="1" x14ac:dyDescent="0.3">
      <c r="A365" s="38" t="s">
        <v>1535</v>
      </c>
      <c r="B365" s="37">
        <v>303260</v>
      </c>
      <c r="C365" s="37">
        <v>1</v>
      </c>
      <c r="D365" s="37">
        <v>1</v>
      </c>
      <c r="E365" s="39">
        <v>1112</v>
      </c>
      <c r="F365" s="51">
        <v>5.5373736350561797E-4</v>
      </c>
      <c r="G365" s="37">
        <v>303260</v>
      </c>
    </row>
    <row r="366" spans="1:7" ht="15" customHeight="1" x14ac:dyDescent="0.3">
      <c r="A366" s="32" t="s">
        <v>2841</v>
      </c>
      <c r="B366" s="31">
        <v>303260</v>
      </c>
      <c r="C366" s="31">
        <v>1</v>
      </c>
      <c r="D366" s="31">
        <v>1</v>
      </c>
      <c r="E366" s="33">
        <v>1811</v>
      </c>
      <c r="F366" s="49">
        <v>5.5373736350561797E-4</v>
      </c>
      <c r="G366" s="31">
        <v>303260</v>
      </c>
    </row>
    <row r="367" spans="1:7" ht="15" customHeight="1" x14ac:dyDescent="0.3">
      <c r="A367" s="38" t="s">
        <v>1042</v>
      </c>
      <c r="B367" s="37">
        <v>303260</v>
      </c>
      <c r="C367" s="37">
        <v>1</v>
      </c>
      <c r="D367" s="37">
        <v>1</v>
      </c>
      <c r="E367" s="39">
        <v>1760</v>
      </c>
      <c r="F367" s="51">
        <v>5.5373736350561797E-4</v>
      </c>
      <c r="G367" s="37">
        <v>303260</v>
      </c>
    </row>
    <row r="368" spans="1:7" ht="15" customHeight="1" x14ac:dyDescent="0.3">
      <c r="A368" s="32" t="s">
        <v>2892</v>
      </c>
      <c r="B368" s="31">
        <v>303260</v>
      </c>
      <c r="C368" s="31">
        <v>1</v>
      </c>
      <c r="D368" s="31">
        <v>1</v>
      </c>
      <c r="E368" s="33">
        <v>840</v>
      </c>
      <c r="F368" s="49">
        <v>5.5373736350561797E-4</v>
      </c>
      <c r="G368" s="31">
        <v>303260</v>
      </c>
    </row>
    <row r="369" spans="1:7" ht="15" customHeight="1" x14ac:dyDescent="0.3">
      <c r="A369" s="38" t="s">
        <v>1181</v>
      </c>
      <c r="B369" s="37">
        <v>303260</v>
      </c>
      <c r="C369" s="37">
        <v>1</v>
      </c>
      <c r="D369" s="37">
        <v>1</v>
      </c>
      <c r="E369" s="39">
        <v>261</v>
      </c>
      <c r="F369" s="51">
        <v>5.5373736350561797E-4</v>
      </c>
      <c r="G369" s="37">
        <v>303260</v>
      </c>
    </row>
    <row r="370" spans="1:7" ht="15" customHeight="1" x14ac:dyDescent="0.3">
      <c r="A370" s="32" t="s">
        <v>1225</v>
      </c>
      <c r="B370" s="31">
        <v>303260</v>
      </c>
      <c r="C370" s="31">
        <v>1</v>
      </c>
      <c r="D370" s="31">
        <v>1</v>
      </c>
      <c r="E370" s="33">
        <v>6660</v>
      </c>
      <c r="F370" s="49">
        <v>5.5373736350561797E-4</v>
      </c>
      <c r="G370" s="31">
        <v>303260</v>
      </c>
    </row>
    <row r="371" spans="1:7" ht="15" customHeight="1" x14ac:dyDescent="0.3">
      <c r="A371" s="38" t="s">
        <v>129</v>
      </c>
      <c r="B371" s="37">
        <v>294000</v>
      </c>
      <c r="C371" s="37">
        <v>1</v>
      </c>
      <c r="D371" s="37">
        <v>1</v>
      </c>
      <c r="E371" s="39">
        <v>964</v>
      </c>
      <c r="F371" s="51">
        <v>5.3682907363533498E-4</v>
      </c>
      <c r="G371" s="37">
        <v>294000</v>
      </c>
    </row>
    <row r="372" spans="1:7" ht="15" customHeight="1" x14ac:dyDescent="0.3">
      <c r="A372" s="32" t="s">
        <v>3739</v>
      </c>
      <c r="B372" s="31">
        <v>291600</v>
      </c>
      <c r="C372" s="31">
        <v>2</v>
      </c>
      <c r="D372" s="31">
        <v>1</v>
      </c>
      <c r="E372" s="33">
        <v>129</v>
      </c>
      <c r="F372" s="49">
        <v>5.3244679548320904E-4</v>
      </c>
      <c r="G372" s="31">
        <v>145800</v>
      </c>
    </row>
    <row r="373" spans="1:7" ht="15" customHeight="1" x14ac:dyDescent="0.3">
      <c r="A373" s="38" t="s">
        <v>286</v>
      </c>
      <c r="B373" s="37">
        <v>290060</v>
      </c>
      <c r="C373" s="37">
        <v>2</v>
      </c>
      <c r="D373" s="37">
        <v>2</v>
      </c>
      <c r="E373" s="39">
        <v>659</v>
      </c>
      <c r="F373" s="51">
        <v>5.2963483366892899E-4</v>
      </c>
      <c r="G373" s="37">
        <v>145030</v>
      </c>
    </row>
    <row r="374" spans="1:7" ht="15" customHeight="1" x14ac:dyDescent="0.3">
      <c r="A374" s="32" t="s">
        <v>3447</v>
      </c>
      <c r="B374" s="31">
        <v>286000</v>
      </c>
      <c r="C374" s="31">
        <v>2</v>
      </c>
      <c r="D374" s="31">
        <v>2</v>
      </c>
      <c r="E374" s="33">
        <v>895</v>
      </c>
      <c r="F374" s="49">
        <v>5.2222147979491703E-4</v>
      </c>
      <c r="G374" s="31">
        <v>143000</v>
      </c>
    </row>
    <row r="375" spans="1:7" ht="15" customHeight="1" x14ac:dyDescent="0.3">
      <c r="A375" s="38" t="s">
        <v>3208</v>
      </c>
      <c r="B375" s="37">
        <v>285000</v>
      </c>
      <c r="C375" s="37">
        <v>1</v>
      </c>
      <c r="D375" s="37">
        <v>1</v>
      </c>
      <c r="E375" s="39">
        <v>1768</v>
      </c>
      <c r="F375" s="51">
        <v>5.2039553056486504E-4</v>
      </c>
      <c r="G375" s="37">
        <v>285000</v>
      </c>
    </row>
    <row r="376" spans="1:7" ht="15" customHeight="1" x14ac:dyDescent="0.3">
      <c r="A376" s="32" t="s">
        <v>532</v>
      </c>
      <c r="B376" s="31">
        <v>284260</v>
      </c>
      <c r="C376" s="31">
        <v>1</v>
      </c>
      <c r="D376" s="31">
        <v>1</v>
      </c>
      <c r="E376" s="33">
        <v>6650</v>
      </c>
      <c r="F376" s="49">
        <v>5.19044328134626E-4</v>
      </c>
      <c r="G376" s="31">
        <v>284260</v>
      </c>
    </row>
    <row r="377" spans="1:7" ht="15" customHeight="1" x14ac:dyDescent="0.3">
      <c r="A377" s="38" t="s">
        <v>398</v>
      </c>
      <c r="B377" s="37">
        <v>284260</v>
      </c>
      <c r="C377" s="37">
        <v>1</v>
      </c>
      <c r="D377" s="37">
        <v>1</v>
      </c>
      <c r="E377" s="39">
        <v>1879.74</v>
      </c>
      <c r="F377" s="51">
        <v>5.19044328134626E-4</v>
      </c>
      <c r="G377" s="37">
        <v>284260</v>
      </c>
    </row>
    <row r="378" spans="1:7" ht="15" customHeight="1" x14ac:dyDescent="0.3">
      <c r="A378" s="32" t="s">
        <v>4508</v>
      </c>
      <c r="B378" s="31">
        <v>283800</v>
      </c>
      <c r="C378" s="31">
        <v>1</v>
      </c>
      <c r="D378" s="31">
        <v>1</v>
      </c>
      <c r="E378" s="33">
        <v>490</v>
      </c>
      <c r="F378" s="49">
        <v>5.1820439148880305E-4</v>
      </c>
      <c r="G378" s="31">
        <v>283800</v>
      </c>
    </row>
    <row r="379" spans="1:7" ht="15" customHeight="1" x14ac:dyDescent="0.3">
      <c r="A379" s="38" t="s">
        <v>4556</v>
      </c>
      <c r="B379" s="37">
        <v>283800</v>
      </c>
      <c r="C379" s="37">
        <v>1</v>
      </c>
      <c r="D379" s="37">
        <v>1</v>
      </c>
      <c r="E379" s="39">
        <v>897.8</v>
      </c>
      <c r="F379" s="51">
        <v>5.1820439148880305E-4</v>
      </c>
      <c r="G379" s="37">
        <v>283800</v>
      </c>
    </row>
    <row r="380" spans="1:7" ht="15" customHeight="1" x14ac:dyDescent="0.3">
      <c r="A380" s="32" t="s">
        <v>5494</v>
      </c>
      <c r="B380" s="31">
        <v>283800</v>
      </c>
      <c r="C380" s="31">
        <v>1</v>
      </c>
      <c r="D380" s="31">
        <v>1</v>
      </c>
      <c r="E380" s="33">
        <v>1132.5</v>
      </c>
      <c r="F380" s="49">
        <v>5.1820439148880305E-4</v>
      </c>
      <c r="G380" s="31">
        <v>283800</v>
      </c>
    </row>
    <row r="381" spans="1:7" ht="15" customHeight="1" x14ac:dyDescent="0.3">
      <c r="A381" s="38" t="s">
        <v>4801</v>
      </c>
      <c r="B381" s="37">
        <v>283800</v>
      </c>
      <c r="C381" s="37">
        <v>1</v>
      </c>
      <c r="D381" s="37">
        <v>1</v>
      </c>
      <c r="E381" s="39">
        <v>1770</v>
      </c>
      <c r="F381" s="51">
        <v>5.1820439148880305E-4</v>
      </c>
      <c r="G381" s="37">
        <v>283800</v>
      </c>
    </row>
    <row r="382" spans="1:7" ht="15" customHeight="1" x14ac:dyDescent="0.3">
      <c r="A382" s="32" t="s">
        <v>5004</v>
      </c>
      <c r="B382" s="31">
        <v>283800</v>
      </c>
      <c r="C382" s="31">
        <v>1</v>
      </c>
      <c r="D382" s="31">
        <v>1</v>
      </c>
      <c r="E382" s="33">
        <v>430</v>
      </c>
      <c r="F382" s="49">
        <v>5.1820439148880305E-4</v>
      </c>
      <c r="G382" s="31">
        <v>283800</v>
      </c>
    </row>
    <row r="383" spans="1:7" ht="15" customHeight="1" x14ac:dyDescent="0.3">
      <c r="A383" s="38" t="s">
        <v>3773</v>
      </c>
      <c r="B383" s="37">
        <v>283800</v>
      </c>
      <c r="C383" s="37">
        <v>1</v>
      </c>
      <c r="D383" s="37">
        <v>1</v>
      </c>
      <c r="E383" s="39">
        <v>1701</v>
      </c>
      <c r="F383" s="51">
        <v>5.1820439148880305E-4</v>
      </c>
      <c r="G383" s="37">
        <v>283800</v>
      </c>
    </row>
    <row r="384" spans="1:7" ht="15" customHeight="1" x14ac:dyDescent="0.3">
      <c r="A384" s="32" t="s">
        <v>3712</v>
      </c>
      <c r="B384" s="31">
        <v>283800</v>
      </c>
      <c r="C384" s="31">
        <v>1</v>
      </c>
      <c r="D384" s="31">
        <v>1</v>
      </c>
      <c r="E384" s="33">
        <v>2404</v>
      </c>
      <c r="F384" s="49">
        <v>5.1820439148880305E-4</v>
      </c>
      <c r="G384" s="31">
        <v>283800</v>
      </c>
    </row>
    <row r="385" spans="1:7" ht="15" customHeight="1" x14ac:dyDescent="0.3">
      <c r="A385" s="38" t="s">
        <v>4456</v>
      </c>
      <c r="B385" s="37">
        <v>283800</v>
      </c>
      <c r="C385" s="37">
        <v>1</v>
      </c>
      <c r="D385" s="37">
        <v>1</v>
      </c>
      <c r="E385" s="39">
        <v>1150</v>
      </c>
      <c r="F385" s="51">
        <v>5.1820439148880305E-4</v>
      </c>
      <c r="G385" s="37">
        <v>283800</v>
      </c>
    </row>
    <row r="386" spans="1:7" ht="15" customHeight="1" x14ac:dyDescent="0.3">
      <c r="A386" s="32" t="s">
        <v>5442</v>
      </c>
      <c r="B386" s="31">
        <v>283800</v>
      </c>
      <c r="C386" s="31">
        <v>1</v>
      </c>
      <c r="D386" s="31">
        <v>1</v>
      </c>
      <c r="E386" s="33">
        <v>793</v>
      </c>
      <c r="F386" s="49">
        <v>5.1820439148880305E-4</v>
      </c>
      <c r="G386" s="31">
        <v>283800</v>
      </c>
    </row>
    <row r="387" spans="1:7" ht="15" customHeight="1" x14ac:dyDescent="0.3">
      <c r="A387" s="38" t="s">
        <v>5324</v>
      </c>
      <c r="B387" s="37">
        <v>283800</v>
      </c>
      <c r="C387" s="37">
        <v>1</v>
      </c>
      <c r="D387" s="37">
        <v>1</v>
      </c>
      <c r="E387" s="39">
        <v>680</v>
      </c>
      <c r="F387" s="51">
        <v>5.1820439148880305E-4</v>
      </c>
      <c r="G387" s="37">
        <v>283800</v>
      </c>
    </row>
    <row r="388" spans="1:7" ht="15" customHeight="1" x14ac:dyDescent="0.3">
      <c r="A388" s="32" t="s">
        <v>3826</v>
      </c>
      <c r="B388" s="31">
        <v>283800</v>
      </c>
      <c r="C388" s="31">
        <v>1</v>
      </c>
      <c r="D388" s="31">
        <v>1</v>
      </c>
      <c r="E388" s="33">
        <v>818</v>
      </c>
      <c r="F388" s="49">
        <v>5.1820439148880305E-4</v>
      </c>
      <c r="G388" s="31">
        <v>283800</v>
      </c>
    </row>
    <row r="389" spans="1:7" ht="15" customHeight="1" x14ac:dyDescent="0.3">
      <c r="A389" s="38" t="s">
        <v>4840</v>
      </c>
      <c r="B389" s="37">
        <v>283800</v>
      </c>
      <c r="C389" s="37">
        <v>1</v>
      </c>
      <c r="D389" s="37">
        <v>1</v>
      </c>
      <c r="E389" s="39">
        <v>800</v>
      </c>
      <c r="F389" s="51">
        <v>5.1820439148880305E-4</v>
      </c>
      <c r="G389" s="37">
        <v>283800</v>
      </c>
    </row>
    <row r="390" spans="1:7" ht="15" customHeight="1" x14ac:dyDescent="0.3">
      <c r="A390" s="32" t="s">
        <v>4299</v>
      </c>
      <c r="B390" s="31">
        <v>283800</v>
      </c>
      <c r="C390" s="31">
        <v>1</v>
      </c>
      <c r="D390" s="31">
        <v>1</v>
      </c>
      <c r="E390" s="33">
        <v>690.15</v>
      </c>
      <c r="F390" s="49">
        <v>5.1820439148880305E-4</v>
      </c>
      <c r="G390" s="31">
        <v>283800</v>
      </c>
    </row>
    <row r="391" spans="1:7" ht="15" customHeight="1" x14ac:dyDescent="0.3">
      <c r="A391" s="38" t="s">
        <v>3958</v>
      </c>
      <c r="B391" s="37">
        <v>283800</v>
      </c>
      <c r="C391" s="37">
        <v>1</v>
      </c>
      <c r="D391" s="37">
        <v>1</v>
      </c>
      <c r="E391" s="39">
        <v>591.99900000000002</v>
      </c>
      <c r="F391" s="51">
        <v>5.1820439148880305E-4</v>
      </c>
      <c r="G391" s="37">
        <v>283800</v>
      </c>
    </row>
    <row r="392" spans="1:7" ht="15" customHeight="1" x14ac:dyDescent="0.3">
      <c r="A392" s="32" t="s">
        <v>4949</v>
      </c>
      <c r="B392" s="31">
        <v>283800</v>
      </c>
      <c r="C392" s="31">
        <v>1</v>
      </c>
      <c r="D392" s="31">
        <v>1</v>
      </c>
      <c r="E392" s="33">
        <v>231</v>
      </c>
      <c r="F392" s="49">
        <v>5.1820439148880305E-4</v>
      </c>
      <c r="G392" s="31">
        <v>283800</v>
      </c>
    </row>
    <row r="393" spans="1:7" ht="15" customHeight="1" x14ac:dyDescent="0.3">
      <c r="A393" s="38" t="s">
        <v>3729</v>
      </c>
      <c r="B393" s="37">
        <v>283800</v>
      </c>
      <c r="C393" s="37">
        <v>1</v>
      </c>
      <c r="D393" s="37">
        <v>1</v>
      </c>
      <c r="E393" s="39">
        <v>259.911</v>
      </c>
      <c r="F393" s="51">
        <v>5.1820439148880305E-4</v>
      </c>
      <c r="G393" s="37">
        <v>283800</v>
      </c>
    </row>
    <row r="394" spans="1:7" ht="15" customHeight="1" x14ac:dyDescent="0.3">
      <c r="A394" s="32" t="s">
        <v>5361</v>
      </c>
      <c r="B394" s="31">
        <v>283800</v>
      </c>
      <c r="C394" s="31">
        <v>1</v>
      </c>
      <c r="D394" s="31">
        <v>1</v>
      </c>
      <c r="E394" s="33">
        <v>680</v>
      </c>
      <c r="F394" s="49">
        <v>5.1820439148880305E-4</v>
      </c>
      <c r="G394" s="31">
        <v>283800</v>
      </c>
    </row>
    <row r="395" spans="1:7" ht="15" customHeight="1" x14ac:dyDescent="0.3">
      <c r="A395" s="38" t="s">
        <v>4469</v>
      </c>
      <c r="B395" s="37">
        <v>283800</v>
      </c>
      <c r="C395" s="37">
        <v>1</v>
      </c>
      <c r="D395" s="37">
        <v>1</v>
      </c>
      <c r="E395" s="39">
        <v>2655</v>
      </c>
      <c r="F395" s="51">
        <v>5.1820439148880305E-4</v>
      </c>
      <c r="G395" s="37">
        <v>283800</v>
      </c>
    </row>
    <row r="396" spans="1:7" ht="15" customHeight="1" x14ac:dyDescent="0.3">
      <c r="A396" s="32" t="s">
        <v>3440</v>
      </c>
      <c r="B396" s="31">
        <v>283800</v>
      </c>
      <c r="C396" s="31">
        <v>1</v>
      </c>
      <c r="D396" s="31">
        <v>1</v>
      </c>
      <c r="E396" s="33">
        <v>847.5</v>
      </c>
      <c r="F396" s="49">
        <v>5.1820439148880305E-4</v>
      </c>
      <c r="G396" s="31">
        <v>283800</v>
      </c>
    </row>
    <row r="397" spans="1:7" ht="15" customHeight="1" x14ac:dyDescent="0.3">
      <c r="A397" s="38" t="s">
        <v>3389</v>
      </c>
      <c r="B397" s="37">
        <v>283800</v>
      </c>
      <c r="C397" s="37">
        <v>1</v>
      </c>
      <c r="D397" s="37">
        <v>1</v>
      </c>
      <c r="E397" s="39">
        <v>648</v>
      </c>
      <c r="F397" s="51">
        <v>5.1820439148880305E-4</v>
      </c>
      <c r="G397" s="37">
        <v>283800</v>
      </c>
    </row>
    <row r="398" spans="1:7" ht="15" customHeight="1" x14ac:dyDescent="0.3">
      <c r="A398" s="32" t="s">
        <v>3272</v>
      </c>
      <c r="B398" s="31">
        <v>283800</v>
      </c>
      <c r="C398" s="31">
        <v>1</v>
      </c>
      <c r="D398" s="31">
        <v>1</v>
      </c>
      <c r="E398" s="33">
        <v>2.34</v>
      </c>
      <c r="F398" s="49">
        <v>5.1820439148880305E-4</v>
      </c>
      <c r="G398" s="31">
        <v>283800</v>
      </c>
    </row>
    <row r="399" spans="1:7" ht="15" customHeight="1" x14ac:dyDescent="0.3">
      <c r="A399" s="38" t="s">
        <v>4962</v>
      </c>
      <c r="B399" s="37">
        <v>283800</v>
      </c>
      <c r="C399" s="37">
        <v>1</v>
      </c>
      <c r="D399" s="37">
        <v>1</v>
      </c>
      <c r="E399" s="39">
        <v>340</v>
      </c>
      <c r="F399" s="51">
        <v>5.1820439148880305E-4</v>
      </c>
      <c r="G399" s="37">
        <v>283800</v>
      </c>
    </row>
    <row r="400" spans="1:7" ht="15" customHeight="1" x14ac:dyDescent="0.3">
      <c r="A400" s="32" t="s">
        <v>4302</v>
      </c>
      <c r="B400" s="31">
        <v>283800</v>
      </c>
      <c r="C400" s="31">
        <v>1</v>
      </c>
      <c r="D400" s="31">
        <v>1</v>
      </c>
      <c r="E400" s="33">
        <v>1005.84</v>
      </c>
      <c r="F400" s="49">
        <v>5.1820439148880305E-4</v>
      </c>
      <c r="G400" s="31">
        <v>283800</v>
      </c>
    </row>
    <row r="401" spans="1:7" ht="15" customHeight="1" x14ac:dyDescent="0.3">
      <c r="A401" s="38" t="s">
        <v>354</v>
      </c>
      <c r="B401" s="37">
        <v>281520</v>
      </c>
      <c r="C401" s="37">
        <v>2</v>
      </c>
      <c r="D401" s="37">
        <v>1</v>
      </c>
      <c r="E401" s="39">
        <v>2318</v>
      </c>
      <c r="F401" s="51">
        <v>5.1404122724428396E-4</v>
      </c>
      <c r="G401" s="37">
        <v>140760</v>
      </c>
    </row>
    <row r="402" spans="1:7" ht="15" customHeight="1" x14ac:dyDescent="0.3">
      <c r="A402" s="32" t="s">
        <v>145</v>
      </c>
      <c r="B402" s="31">
        <v>281520</v>
      </c>
      <c r="C402" s="31">
        <v>2</v>
      </c>
      <c r="D402" s="31">
        <v>2</v>
      </c>
      <c r="E402" s="33">
        <v>954</v>
      </c>
      <c r="F402" s="49">
        <v>5.1404122724428396E-4</v>
      </c>
      <c r="G402" s="31">
        <v>140760</v>
      </c>
    </row>
    <row r="403" spans="1:7" ht="15" customHeight="1" x14ac:dyDescent="0.3">
      <c r="A403" s="38" t="s">
        <v>3141</v>
      </c>
      <c r="B403" s="37">
        <v>281000</v>
      </c>
      <c r="C403" s="37">
        <v>1</v>
      </c>
      <c r="D403" s="37">
        <v>1</v>
      </c>
      <c r="E403" s="39">
        <v>950</v>
      </c>
      <c r="F403" s="51">
        <v>5.1309173364465601E-4</v>
      </c>
      <c r="G403" s="37">
        <v>281000</v>
      </c>
    </row>
    <row r="404" spans="1:7" ht="15" customHeight="1" x14ac:dyDescent="0.3">
      <c r="A404" s="32" t="s">
        <v>4878</v>
      </c>
      <c r="B404" s="31">
        <v>281000</v>
      </c>
      <c r="C404" s="31">
        <v>1</v>
      </c>
      <c r="D404" s="31">
        <v>1</v>
      </c>
      <c r="E404" s="33">
        <v>1160</v>
      </c>
      <c r="F404" s="49">
        <v>5.1309173364465601E-4</v>
      </c>
      <c r="G404" s="31">
        <v>281000</v>
      </c>
    </row>
    <row r="405" spans="1:7" ht="15" customHeight="1" x14ac:dyDescent="0.3">
      <c r="A405" s="38" t="s">
        <v>5364</v>
      </c>
      <c r="B405" s="37">
        <v>281000</v>
      </c>
      <c r="C405" s="37">
        <v>1</v>
      </c>
      <c r="D405" s="37">
        <v>1</v>
      </c>
      <c r="E405" s="39">
        <v>667</v>
      </c>
      <c r="F405" s="51">
        <v>5.1309173364465601E-4</v>
      </c>
      <c r="G405" s="37">
        <v>281000</v>
      </c>
    </row>
    <row r="406" spans="1:7" ht="15" customHeight="1" x14ac:dyDescent="0.3">
      <c r="A406" s="32" t="s">
        <v>3278</v>
      </c>
      <c r="B406" s="31">
        <v>281000</v>
      </c>
      <c r="C406" s="31">
        <v>1</v>
      </c>
      <c r="D406" s="31">
        <v>1</v>
      </c>
      <c r="E406" s="33">
        <v>549.29999999999995</v>
      </c>
      <c r="F406" s="49">
        <v>5.1309173364465601E-4</v>
      </c>
      <c r="G406" s="31">
        <v>281000</v>
      </c>
    </row>
    <row r="407" spans="1:7" ht="15" customHeight="1" x14ac:dyDescent="0.3">
      <c r="A407" s="38" t="s">
        <v>5281</v>
      </c>
      <c r="B407" s="37">
        <v>281000</v>
      </c>
      <c r="C407" s="37">
        <v>1</v>
      </c>
      <c r="D407" s="37">
        <v>1</v>
      </c>
      <c r="E407" s="39">
        <v>2500</v>
      </c>
      <c r="F407" s="51">
        <v>5.1309173364465601E-4</v>
      </c>
      <c r="G407" s="37">
        <v>281000</v>
      </c>
    </row>
    <row r="408" spans="1:7" ht="15" customHeight="1" x14ac:dyDescent="0.3">
      <c r="A408" s="32" t="s">
        <v>4280</v>
      </c>
      <c r="B408" s="31">
        <v>281000</v>
      </c>
      <c r="C408" s="31">
        <v>1</v>
      </c>
      <c r="D408" s="31">
        <v>1</v>
      </c>
      <c r="E408" s="33">
        <v>1732.8</v>
      </c>
      <c r="F408" s="49">
        <v>5.1309173364465601E-4</v>
      </c>
      <c r="G408" s="31">
        <v>281000</v>
      </c>
    </row>
    <row r="409" spans="1:7" ht="15" customHeight="1" x14ac:dyDescent="0.3">
      <c r="A409" s="38" t="s">
        <v>3238</v>
      </c>
      <c r="B409" s="37">
        <v>281000</v>
      </c>
      <c r="C409" s="37">
        <v>1</v>
      </c>
      <c r="D409" s="37">
        <v>1</v>
      </c>
      <c r="E409" s="39">
        <v>2481.75</v>
      </c>
      <c r="F409" s="51">
        <v>5.1309173364465601E-4</v>
      </c>
      <c r="G409" s="37">
        <v>281000</v>
      </c>
    </row>
    <row r="410" spans="1:7" ht="15" customHeight="1" x14ac:dyDescent="0.3">
      <c r="A410" s="32" t="s">
        <v>5241</v>
      </c>
      <c r="B410" s="31">
        <v>281000</v>
      </c>
      <c r="C410" s="31">
        <v>1</v>
      </c>
      <c r="D410" s="31">
        <v>1</v>
      </c>
      <c r="E410" s="33">
        <v>630</v>
      </c>
      <c r="F410" s="49">
        <v>5.1309173364465601E-4</v>
      </c>
      <c r="G410" s="31">
        <v>281000</v>
      </c>
    </row>
    <row r="411" spans="1:7" ht="15" customHeight="1" x14ac:dyDescent="0.3">
      <c r="A411" s="38" t="s">
        <v>4030</v>
      </c>
      <c r="B411" s="37">
        <v>281000</v>
      </c>
      <c r="C411" s="37">
        <v>1</v>
      </c>
      <c r="D411" s="37">
        <v>1</v>
      </c>
      <c r="E411" s="39">
        <v>1450</v>
      </c>
      <c r="F411" s="51">
        <v>5.1309173364465601E-4</v>
      </c>
      <c r="G411" s="37">
        <v>281000</v>
      </c>
    </row>
    <row r="412" spans="1:7" ht="15" customHeight="1" x14ac:dyDescent="0.3">
      <c r="A412" s="32" t="s">
        <v>448</v>
      </c>
      <c r="B412" s="31">
        <v>277000</v>
      </c>
      <c r="C412" s="31">
        <v>2</v>
      </c>
      <c r="D412" s="31">
        <v>2</v>
      </c>
      <c r="E412" s="33">
        <v>852</v>
      </c>
      <c r="F412" s="49">
        <v>5.0578793672444796E-4</v>
      </c>
      <c r="G412" s="31">
        <v>138500</v>
      </c>
    </row>
    <row r="413" spans="1:7" ht="15" customHeight="1" x14ac:dyDescent="0.3">
      <c r="A413" s="38" t="s">
        <v>1582</v>
      </c>
      <c r="B413" s="37">
        <v>275260</v>
      </c>
      <c r="C413" s="37">
        <v>1</v>
      </c>
      <c r="D413" s="37">
        <v>1</v>
      </c>
      <c r="E413" s="39">
        <v>905</v>
      </c>
      <c r="F413" s="51">
        <v>5.0261078506415703E-4</v>
      </c>
      <c r="G413" s="37">
        <v>275260</v>
      </c>
    </row>
    <row r="414" spans="1:7" ht="15" customHeight="1" x14ac:dyDescent="0.3">
      <c r="A414" s="32" t="s">
        <v>2313</v>
      </c>
      <c r="B414" s="31">
        <v>275260</v>
      </c>
      <c r="C414" s="31">
        <v>1</v>
      </c>
      <c r="D414" s="31">
        <v>1</v>
      </c>
      <c r="E414" s="33">
        <v>712</v>
      </c>
      <c r="F414" s="49">
        <v>5.0261078506415703E-4</v>
      </c>
      <c r="G414" s="31">
        <v>275260</v>
      </c>
    </row>
    <row r="415" spans="1:7" ht="15" customHeight="1" x14ac:dyDescent="0.3">
      <c r="A415" s="38" t="s">
        <v>909</v>
      </c>
      <c r="B415" s="37">
        <v>275260</v>
      </c>
      <c r="C415" s="37">
        <v>1</v>
      </c>
      <c r="D415" s="37">
        <v>1</v>
      </c>
      <c r="E415" s="39">
        <v>4347</v>
      </c>
      <c r="F415" s="51">
        <v>5.0261078506415703E-4</v>
      </c>
      <c r="G415" s="37">
        <v>275260</v>
      </c>
    </row>
    <row r="416" spans="1:7" ht="15" customHeight="1" x14ac:dyDescent="0.3">
      <c r="A416" s="32" t="s">
        <v>1751</v>
      </c>
      <c r="B416" s="31">
        <v>275260</v>
      </c>
      <c r="C416" s="31">
        <v>1</v>
      </c>
      <c r="D416" s="31">
        <v>1</v>
      </c>
      <c r="E416" s="33">
        <v>655</v>
      </c>
      <c r="F416" s="49">
        <v>5.0261078506415703E-4</v>
      </c>
      <c r="G416" s="31">
        <v>275260</v>
      </c>
    </row>
    <row r="417" spans="1:7" ht="15" customHeight="1" x14ac:dyDescent="0.3">
      <c r="A417" s="38" t="s">
        <v>1540</v>
      </c>
      <c r="B417" s="37">
        <v>275260</v>
      </c>
      <c r="C417" s="37">
        <v>1</v>
      </c>
      <c r="D417" s="37">
        <v>1</v>
      </c>
      <c r="E417" s="39">
        <v>622</v>
      </c>
      <c r="F417" s="51">
        <v>5.0261078506415703E-4</v>
      </c>
      <c r="G417" s="37">
        <v>275260</v>
      </c>
    </row>
    <row r="418" spans="1:7" ht="15" customHeight="1" x14ac:dyDescent="0.3">
      <c r="A418" s="32" t="s">
        <v>1716</v>
      </c>
      <c r="B418" s="31">
        <v>275260</v>
      </c>
      <c r="C418" s="31">
        <v>1</v>
      </c>
      <c r="D418" s="31">
        <v>1</v>
      </c>
      <c r="E418" s="33">
        <v>1073</v>
      </c>
      <c r="F418" s="49">
        <v>5.0261078506415703E-4</v>
      </c>
      <c r="G418" s="31">
        <v>275260</v>
      </c>
    </row>
    <row r="419" spans="1:7" ht="15" customHeight="1" x14ac:dyDescent="0.3">
      <c r="A419" s="38" t="s">
        <v>2289</v>
      </c>
      <c r="B419" s="37">
        <v>275260</v>
      </c>
      <c r="C419" s="37">
        <v>1</v>
      </c>
      <c r="D419" s="37">
        <v>1</v>
      </c>
      <c r="E419" s="39">
        <v>1503</v>
      </c>
      <c r="F419" s="51">
        <v>5.0261078506415703E-4</v>
      </c>
      <c r="G419" s="37">
        <v>275260</v>
      </c>
    </row>
    <row r="420" spans="1:7" ht="15" customHeight="1" x14ac:dyDescent="0.3">
      <c r="A420" s="32" t="s">
        <v>1777</v>
      </c>
      <c r="B420" s="31">
        <v>275260</v>
      </c>
      <c r="C420" s="31">
        <v>1</v>
      </c>
      <c r="D420" s="31">
        <v>1</v>
      </c>
      <c r="E420" s="33">
        <v>3677</v>
      </c>
      <c r="F420" s="49">
        <v>5.0261078506415703E-4</v>
      </c>
      <c r="G420" s="31">
        <v>275260</v>
      </c>
    </row>
    <row r="421" spans="1:7" ht="15" customHeight="1" x14ac:dyDescent="0.3">
      <c r="A421" s="38" t="s">
        <v>2916</v>
      </c>
      <c r="B421" s="37">
        <v>275260</v>
      </c>
      <c r="C421" s="37">
        <v>1</v>
      </c>
      <c r="D421" s="37">
        <v>1</v>
      </c>
      <c r="E421" s="39">
        <v>5680</v>
      </c>
      <c r="F421" s="51">
        <v>5.0261078506415703E-4</v>
      </c>
      <c r="G421" s="37">
        <v>275260</v>
      </c>
    </row>
    <row r="422" spans="1:7" ht="15" customHeight="1" x14ac:dyDescent="0.3">
      <c r="A422" s="32" t="s">
        <v>2703</v>
      </c>
      <c r="B422" s="31">
        <v>275260</v>
      </c>
      <c r="C422" s="31">
        <v>1</v>
      </c>
      <c r="D422" s="31">
        <v>1</v>
      </c>
      <c r="E422" s="33">
        <v>452</v>
      </c>
      <c r="F422" s="49">
        <v>5.0261078506415703E-4</v>
      </c>
      <c r="G422" s="31">
        <v>275260</v>
      </c>
    </row>
    <row r="423" spans="1:7" ht="15" customHeight="1" x14ac:dyDescent="0.3">
      <c r="A423" s="38" t="s">
        <v>1194</v>
      </c>
      <c r="B423" s="37">
        <v>275260</v>
      </c>
      <c r="C423" s="37">
        <v>1</v>
      </c>
      <c r="D423" s="37">
        <v>1</v>
      </c>
      <c r="E423" s="39">
        <v>643</v>
      </c>
      <c r="F423" s="51">
        <v>5.0261078506415703E-4</v>
      </c>
      <c r="G423" s="37">
        <v>275260</v>
      </c>
    </row>
    <row r="424" spans="1:7" ht="15" customHeight="1" x14ac:dyDescent="0.3">
      <c r="A424" s="32" t="s">
        <v>1075</v>
      </c>
      <c r="B424" s="31">
        <v>275260</v>
      </c>
      <c r="C424" s="31">
        <v>1</v>
      </c>
      <c r="D424" s="31">
        <v>1</v>
      </c>
      <c r="E424" s="33">
        <v>1632</v>
      </c>
      <c r="F424" s="49">
        <v>5.0261078506415703E-4</v>
      </c>
      <c r="G424" s="31">
        <v>275260</v>
      </c>
    </row>
    <row r="425" spans="1:7" ht="15" customHeight="1" x14ac:dyDescent="0.3">
      <c r="A425" s="38" t="s">
        <v>1201</v>
      </c>
      <c r="B425" s="37">
        <v>275260</v>
      </c>
      <c r="C425" s="37">
        <v>1</v>
      </c>
      <c r="D425" s="37">
        <v>1</v>
      </c>
      <c r="E425" s="39">
        <v>990</v>
      </c>
      <c r="F425" s="51">
        <v>5.0261078506415703E-4</v>
      </c>
      <c r="G425" s="37">
        <v>275260</v>
      </c>
    </row>
    <row r="426" spans="1:7" ht="15" customHeight="1" x14ac:dyDescent="0.3">
      <c r="A426" s="32" t="s">
        <v>1496</v>
      </c>
      <c r="B426" s="31">
        <v>275260</v>
      </c>
      <c r="C426" s="31">
        <v>1</v>
      </c>
      <c r="D426" s="31">
        <v>1</v>
      </c>
      <c r="E426" s="33">
        <v>1985</v>
      </c>
      <c r="F426" s="49">
        <v>5.0261078506415703E-4</v>
      </c>
      <c r="G426" s="31">
        <v>275260</v>
      </c>
    </row>
    <row r="427" spans="1:7" ht="15" customHeight="1" x14ac:dyDescent="0.3">
      <c r="A427" s="38" t="s">
        <v>2571</v>
      </c>
      <c r="B427" s="37">
        <v>275260</v>
      </c>
      <c r="C427" s="37">
        <v>1</v>
      </c>
      <c r="D427" s="37">
        <v>1</v>
      </c>
      <c r="E427" s="39">
        <v>737.75</v>
      </c>
      <c r="F427" s="51">
        <v>5.0261078506415703E-4</v>
      </c>
      <c r="G427" s="37">
        <v>275260</v>
      </c>
    </row>
    <row r="428" spans="1:7" ht="15" customHeight="1" x14ac:dyDescent="0.3">
      <c r="A428" s="32" t="s">
        <v>1152</v>
      </c>
      <c r="B428" s="31">
        <v>275000</v>
      </c>
      <c r="C428" s="31">
        <v>1</v>
      </c>
      <c r="D428" s="31">
        <v>1</v>
      </c>
      <c r="E428" s="33">
        <v>387</v>
      </c>
      <c r="F428" s="49">
        <v>5.0213603826434398E-4</v>
      </c>
      <c r="G428" s="31">
        <v>275000</v>
      </c>
    </row>
    <row r="429" spans="1:7" ht="15" customHeight="1" x14ac:dyDescent="0.3">
      <c r="A429" s="38" t="s">
        <v>2480</v>
      </c>
      <c r="B429" s="37">
        <v>274520</v>
      </c>
      <c r="C429" s="37">
        <v>2</v>
      </c>
      <c r="D429" s="37">
        <v>2</v>
      </c>
      <c r="E429" s="39">
        <v>300</v>
      </c>
      <c r="F429" s="51">
        <v>5.0125958263391799E-4</v>
      </c>
      <c r="G429" s="37">
        <v>137260</v>
      </c>
    </row>
    <row r="430" spans="1:7" ht="15" customHeight="1" x14ac:dyDescent="0.3">
      <c r="A430" s="32" t="s">
        <v>2070</v>
      </c>
      <c r="B430" s="31">
        <v>274520</v>
      </c>
      <c r="C430" s="31">
        <v>2</v>
      </c>
      <c r="D430" s="31">
        <v>2</v>
      </c>
      <c r="E430" s="33">
        <v>620</v>
      </c>
      <c r="F430" s="49">
        <v>5.0125958263391799E-4</v>
      </c>
      <c r="G430" s="31">
        <v>137260</v>
      </c>
    </row>
    <row r="431" spans="1:7" ht="15" customHeight="1" x14ac:dyDescent="0.3">
      <c r="A431" s="38" t="s">
        <v>750</v>
      </c>
      <c r="B431" s="37">
        <v>274000</v>
      </c>
      <c r="C431" s="37">
        <v>1</v>
      </c>
      <c r="D431" s="37">
        <v>1</v>
      </c>
      <c r="E431" s="39">
        <v>1495.37</v>
      </c>
      <c r="F431" s="51">
        <v>5.0031008903429102E-4</v>
      </c>
      <c r="G431" s="37">
        <v>274000</v>
      </c>
    </row>
    <row r="432" spans="1:7" ht="15" customHeight="1" x14ac:dyDescent="0.3">
      <c r="A432" s="32" t="s">
        <v>443</v>
      </c>
      <c r="B432" s="31">
        <v>274000</v>
      </c>
      <c r="C432" s="31">
        <v>1</v>
      </c>
      <c r="D432" s="31">
        <v>1</v>
      </c>
      <c r="E432" s="33">
        <v>3070.48</v>
      </c>
      <c r="F432" s="49">
        <v>5.0031008903429102E-4</v>
      </c>
      <c r="G432" s="31">
        <v>274000</v>
      </c>
    </row>
    <row r="433" spans="1:7" ht="15" customHeight="1" x14ac:dyDescent="0.3">
      <c r="A433" s="38" t="s">
        <v>2391</v>
      </c>
      <c r="B433" s="37">
        <v>273000</v>
      </c>
      <c r="C433" s="37">
        <v>1</v>
      </c>
      <c r="D433" s="37">
        <v>1</v>
      </c>
      <c r="E433" s="39">
        <v>970</v>
      </c>
      <c r="F433" s="51">
        <v>4.9848413980423903E-4</v>
      </c>
      <c r="G433" s="37">
        <v>273000</v>
      </c>
    </row>
    <row r="434" spans="1:7" ht="15" customHeight="1" x14ac:dyDescent="0.3">
      <c r="A434" s="32" t="s">
        <v>2445</v>
      </c>
      <c r="B434" s="31">
        <v>273000</v>
      </c>
      <c r="C434" s="31">
        <v>1</v>
      </c>
      <c r="D434" s="31">
        <v>1</v>
      </c>
      <c r="E434" s="33">
        <v>1175.01</v>
      </c>
      <c r="F434" s="49">
        <v>4.9848413980423903E-4</v>
      </c>
      <c r="G434" s="31">
        <v>273000</v>
      </c>
    </row>
    <row r="435" spans="1:7" ht="15" customHeight="1" x14ac:dyDescent="0.3">
      <c r="A435" s="38" t="s">
        <v>1129</v>
      </c>
      <c r="B435" s="37">
        <v>265000</v>
      </c>
      <c r="C435" s="37">
        <v>1</v>
      </c>
      <c r="D435" s="37">
        <v>1</v>
      </c>
      <c r="E435" s="39">
        <v>720</v>
      </c>
      <c r="F435" s="51">
        <v>4.83876545963822E-4</v>
      </c>
      <c r="G435" s="37">
        <v>265000</v>
      </c>
    </row>
    <row r="436" spans="1:7" ht="15" customHeight="1" x14ac:dyDescent="0.3">
      <c r="A436" s="32" t="s">
        <v>1158</v>
      </c>
      <c r="B436" s="31">
        <v>265000</v>
      </c>
      <c r="C436" s="31">
        <v>1</v>
      </c>
      <c r="D436" s="31">
        <v>1</v>
      </c>
      <c r="E436" s="33">
        <v>3418</v>
      </c>
      <c r="F436" s="49">
        <v>4.83876545963822E-4</v>
      </c>
      <c r="G436" s="31">
        <v>265000</v>
      </c>
    </row>
    <row r="437" spans="1:7" ht="15" customHeight="1" x14ac:dyDescent="0.3">
      <c r="A437" s="38" t="s">
        <v>1323</v>
      </c>
      <c r="B437" s="37">
        <v>265000</v>
      </c>
      <c r="C437" s="37">
        <v>1</v>
      </c>
      <c r="D437" s="37">
        <v>1</v>
      </c>
      <c r="E437" s="39">
        <v>5140</v>
      </c>
      <c r="F437" s="51">
        <v>4.83876545963822E-4</v>
      </c>
      <c r="G437" s="37">
        <v>265000</v>
      </c>
    </row>
    <row r="438" spans="1:7" ht="15" customHeight="1" x14ac:dyDescent="0.3">
      <c r="A438" s="32" t="s">
        <v>2077</v>
      </c>
      <c r="B438" s="31">
        <v>265000</v>
      </c>
      <c r="C438" s="31">
        <v>1</v>
      </c>
      <c r="D438" s="31">
        <v>1</v>
      </c>
      <c r="E438" s="33">
        <v>1070</v>
      </c>
      <c r="F438" s="49">
        <v>4.83876545963822E-4</v>
      </c>
      <c r="G438" s="31">
        <v>265000</v>
      </c>
    </row>
    <row r="439" spans="1:7" ht="15" customHeight="1" x14ac:dyDescent="0.3">
      <c r="A439" s="38" t="s">
        <v>1049</v>
      </c>
      <c r="B439" s="37">
        <v>265000</v>
      </c>
      <c r="C439" s="37">
        <v>1</v>
      </c>
      <c r="D439" s="37">
        <v>1</v>
      </c>
      <c r="E439" s="39">
        <v>1685</v>
      </c>
      <c r="F439" s="51">
        <v>4.83876545963822E-4</v>
      </c>
      <c r="G439" s="37">
        <v>265000</v>
      </c>
    </row>
    <row r="440" spans="1:7" ht="15" customHeight="1" x14ac:dyDescent="0.3">
      <c r="A440" s="32" t="s">
        <v>1352</v>
      </c>
      <c r="B440" s="31">
        <v>265000</v>
      </c>
      <c r="C440" s="31">
        <v>1</v>
      </c>
      <c r="D440" s="31">
        <v>1</v>
      </c>
      <c r="E440" s="33">
        <v>3320</v>
      </c>
      <c r="F440" s="49">
        <v>4.83876545963822E-4</v>
      </c>
      <c r="G440" s="31">
        <v>265000</v>
      </c>
    </row>
    <row r="441" spans="1:7" ht="15" customHeight="1" x14ac:dyDescent="0.3">
      <c r="A441" s="38" t="s">
        <v>2171</v>
      </c>
      <c r="B441" s="37">
        <v>264260</v>
      </c>
      <c r="C441" s="37">
        <v>2</v>
      </c>
      <c r="D441" s="37">
        <v>1</v>
      </c>
      <c r="E441" s="39">
        <v>295</v>
      </c>
      <c r="F441" s="51">
        <v>4.8252534353358302E-4</v>
      </c>
      <c r="G441" s="37">
        <v>132130</v>
      </c>
    </row>
    <row r="442" spans="1:7" ht="15" customHeight="1" x14ac:dyDescent="0.3">
      <c r="A442" s="32" t="s">
        <v>2320</v>
      </c>
      <c r="B442" s="31">
        <v>262000</v>
      </c>
      <c r="C442" s="31">
        <v>2</v>
      </c>
      <c r="D442" s="31">
        <v>1</v>
      </c>
      <c r="E442" s="33">
        <v>500</v>
      </c>
      <c r="F442" s="49">
        <v>4.7839869827366501E-4</v>
      </c>
      <c r="G442" s="31">
        <v>131000</v>
      </c>
    </row>
    <row r="443" spans="1:7" ht="15" customHeight="1" x14ac:dyDescent="0.3">
      <c r="A443" s="38" t="s">
        <v>104</v>
      </c>
      <c r="B443" s="37">
        <v>256260</v>
      </c>
      <c r="C443" s="37">
        <v>1</v>
      </c>
      <c r="D443" s="37">
        <v>1</v>
      </c>
      <c r="E443" s="39">
        <v>1389.56</v>
      </c>
      <c r="F443" s="51">
        <v>4.6791774969316599E-4</v>
      </c>
      <c r="G443" s="37">
        <v>256260</v>
      </c>
    </row>
    <row r="444" spans="1:7" ht="15" customHeight="1" x14ac:dyDescent="0.3">
      <c r="A444" s="32" t="s">
        <v>140</v>
      </c>
      <c r="B444" s="31">
        <v>256260</v>
      </c>
      <c r="C444" s="31">
        <v>1</v>
      </c>
      <c r="D444" s="31">
        <v>1</v>
      </c>
      <c r="E444" s="33">
        <v>3396</v>
      </c>
      <c r="F444" s="49">
        <v>4.6791774969316599E-4</v>
      </c>
      <c r="G444" s="31">
        <v>256260</v>
      </c>
    </row>
    <row r="445" spans="1:7" ht="15" customHeight="1" x14ac:dyDescent="0.3">
      <c r="A445" s="38" t="s">
        <v>5077</v>
      </c>
      <c r="B445" s="37">
        <v>255800</v>
      </c>
      <c r="C445" s="37">
        <v>1</v>
      </c>
      <c r="D445" s="37">
        <v>1</v>
      </c>
      <c r="E445" s="39">
        <v>2174</v>
      </c>
      <c r="F445" s="51">
        <v>4.67077813047342E-4</v>
      </c>
      <c r="G445" s="37">
        <v>255800</v>
      </c>
    </row>
    <row r="446" spans="1:7" ht="15" customHeight="1" x14ac:dyDescent="0.3">
      <c r="A446" s="32" t="s">
        <v>5387</v>
      </c>
      <c r="B446" s="31">
        <v>255800</v>
      </c>
      <c r="C446" s="31">
        <v>1</v>
      </c>
      <c r="D446" s="31">
        <v>1</v>
      </c>
      <c r="E446" s="33">
        <v>242</v>
      </c>
      <c r="F446" s="49">
        <v>4.67077813047342E-4</v>
      </c>
      <c r="G446" s="31">
        <v>255800</v>
      </c>
    </row>
    <row r="447" spans="1:7" ht="15" customHeight="1" x14ac:dyDescent="0.3">
      <c r="A447" s="38" t="s">
        <v>3422</v>
      </c>
      <c r="B447" s="37">
        <v>255800</v>
      </c>
      <c r="C447" s="37">
        <v>1</v>
      </c>
      <c r="D447" s="37">
        <v>1</v>
      </c>
      <c r="E447" s="39">
        <v>1917</v>
      </c>
      <c r="F447" s="51">
        <v>4.67077813047342E-4</v>
      </c>
      <c r="G447" s="37">
        <v>255800</v>
      </c>
    </row>
    <row r="448" spans="1:7" ht="15" customHeight="1" x14ac:dyDescent="0.3">
      <c r="A448" s="32" t="s">
        <v>4289</v>
      </c>
      <c r="B448" s="31">
        <v>255800</v>
      </c>
      <c r="C448" s="31">
        <v>1</v>
      </c>
      <c r="D448" s="31">
        <v>1</v>
      </c>
      <c r="E448" s="33">
        <v>789</v>
      </c>
      <c r="F448" s="49">
        <v>4.67077813047342E-4</v>
      </c>
      <c r="G448" s="31">
        <v>255800</v>
      </c>
    </row>
    <row r="449" spans="1:7" ht="15" customHeight="1" x14ac:dyDescent="0.3">
      <c r="A449" s="38" t="s">
        <v>5074</v>
      </c>
      <c r="B449" s="37">
        <v>255800</v>
      </c>
      <c r="C449" s="37">
        <v>1</v>
      </c>
      <c r="D449" s="37">
        <v>1</v>
      </c>
      <c r="E449" s="39">
        <v>1765</v>
      </c>
      <c r="F449" s="51">
        <v>4.67077813047342E-4</v>
      </c>
      <c r="G449" s="37">
        <v>255800</v>
      </c>
    </row>
    <row r="450" spans="1:7" ht="15" customHeight="1" x14ac:dyDescent="0.3">
      <c r="A450" s="32" t="s">
        <v>4159</v>
      </c>
      <c r="B450" s="31">
        <v>255800</v>
      </c>
      <c r="C450" s="31">
        <v>1</v>
      </c>
      <c r="D450" s="31">
        <v>1</v>
      </c>
      <c r="E450" s="33">
        <v>1060</v>
      </c>
      <c r="F450" s="49">
        <v>4.67077813047342E-4</v>
      </c>
      <c r="G450" s="31">
        <v>255800</v>
      </c>
    </row>
    <row r="451" spans="1:7" ht="15" customHeight="1" x14ac:dyDescent="0.3">
      <c r="A451" s="38" t="s">
        <v>5256</v>
      </c>
      <c r="B451" s="37">
        <v>255800</v>
      </c>
      <c r="C451" s="37">
        <v>1</v>
      </c>
      <c r="D451" s="37">
        <v>1</v>
      </c>
      <c r="E451" s="39">
        <v>1000</v>
      </c>
      <c r="F451" s="51">
        <v>4.67077813047342E-4</v>
      </c>
      <c r="G451" s="37">
        <v>255800</v>
      </c>
    </row>
    <row r="452" spans="1:7" ht="15" customHeight="1" x14ac:dyDescent="0.3">
      <c r="A452" s="32" t="s">
        <v>4114</v>
      </c>
      <c r="B452" s="31">
        <v>255800</v>
      </c>
      <c r="C452" s="31">
        <v>1</v>
      </c>
      <c r="D452" s="31">
        <v>1</v>
      </c>
      <c r="E452" s="33">
        <v>270</v>
      </c>
      <c r="F452" s="49">
        <v>4.67077813047342E-4</v>
      </c>
      <c r="G452" s="31">
        <v>255800</v>
      </c>
    </row>
    <row r="453" spans="1:7" ht="15" customHeight="1" x14ac:dyDescent="0.3">
      <c r="A453" s="38" t="s">
        <v>4143</v>
      </c>
      <c r="B453" s="37">
        <v>255800</v>
      </c>
      <c r="C453" s="37">
        <v>1</v>
      </c>
      <c r="D453" s="37">
        <v>1</v>
      </c>
      <c r="E453" s="39">
        <v>807</v>
      </c>
      <c r="F453" s="51">
        <v>4.67077813047342E-4</v>
      </c>
      <c r="G453" s="37">
        <v>255800</v>
      </c>
    </row>
    <row r="454" spans="1:7" ht="15" customHeight="1" x14ac:dyDescent="0.3">
      <c r="A454" s="32" t="s">
        <v>4933</v>
      </c>
      <c r="B454" s="31">
        <v>255800</v>
      </c>
      <c r="C454" s="31">
        <v>1</v>
      </c>
      <c r="D454" s="31">
        <v>1</v>
      </c>
      <c r="E454" s="33">
        <v>1244</v>
      </c>
      <c r="F454" s="49">
        <v>4.67077813047342E-4</v>
      </c>
      <c r="G454" s="31">
        <v>255800</v>
      </c>
    </row>
    <row r="455" spans="1:7" ht="15" customHeight="1" x14ac:dyDescent="0.3">
      <c r="A455" s="38" t="s">
        <v>4452</v>
      </c>
      <c r="B455" s="37">
        <v>255800</v>
      </c>
      <c r="C455" s="37">
        <v>1</v>
      </c>
      <c r="D455" s="37">
        <v>1</v>
      </c>
      <c r="E455" s="39">
        <v>835</v>
      </c>
      <c r="F455" s="51">
        <v>4.67077813047342E-4</v>
      </c>
      <c r="G455" s="37">
        <v>255800</v>
      </c>
    </row>
    <row r="456" spans="1:7" ht="15" customHeight="1" x14ac:dyDescent="0.3">
      <c r="A456" s="32" t="s">
        <v>3500</v>
      </c>
      <c r="B456" s="31">
        <v>255800</v>
      </c>
      <c r="C456" s="31">
        <v>1</v>
      </c>
      <c r="D456" s="31">
        <v>1</v>
      </c>
      <c r="E456" s="33">
        <v>255</v>
      </c>
      <c r="F456" s="49">
        <v>4.67077813047342E-4</v>
      </c>
      <c r="G456" s="31">
        <v>255800</v>
      </c>
    </row>
    <row r="457" spans="1:7" ht="15" customHeight="1" x14ac:dyDescent="0.3">
      <c r="A457" s="38" t="s">
        <v>4117</v>
      </c>
      <c r="B457" s="37">
        <v>255800</v>
      </c>
      <c r="C457" s="37">
        <v>1</v>
      </c>
      <c r="D457" s="37">
        <v>1</v>
      </c>
      <c r="E457" s="39">
        <v>239</v>
      </c>
      <c r="F457" s="51">
        <v>4.67077813047342E-4</v>
      </c>
      <c r="G457" s="37">
        <v>255800</v>
      </c>
    </row>
    <row r="458" spans="1:7" ht="15" customHeight="1" x14ac:dyDescent="0.3">
      <c r="A458" s="32" t="s">
        <v>4606</v>
      </c>
      <c r="B458" s="31">
        <v>255800</v>
      </c>
      <c r="C458" s="31">
        <v>1</v>
      </c>
      <c r="D458" s="31">
        <v>1</v>
      </c>
      <c r="E458" s="33">
        <v>791.97</v>
      </c>
      <c r="F458" s="49">
        <v>4.67077813047342E-4</v>
      </c>
      <c r="G458" s="31">
        <v>255800</v>
      </c>
    </row>
    <row r="459" spans="1:7" ht="15" customHeight="1" x14ac:dyDescent="0.3">
      <c r="A459" s="38" t="s">
        <v>3060</v>
      </c>
      <c r="B459" s="37">
        <v>255800</v>
      </c>
      <c r="C459" s="37">
        <v>1</v>
      </c>
      <c r="D459" s="37">
        <v>1</v>
      </c>
      <c r="E459" s="39">
        <v>1880.5</v>
      </c>
      <c r="F459" s="51">
        <v>4.67077813047342E-4</v>
      </c>
      <c r="G459" s="37">
        <v>255800</v>
      </c>
    </row>
    <row r="460" spans="1:7" ht="15" customHeight="1" x14ac:dyDescent="0.3">
      <c r="A460" s="32" t="s">
        <v>4718</v>
      </c>
      <c r="B460" s="31">
        <v>255800</v>
      </c>
      <c r="C460" s="31">
        <v>1</v>
      </c>
      <c r="D460" s="31">
        <v>1</v>
      </c>
      <c r="E460" s="33">
        <v>704</v>
      </c>
      <c r="F460" s="49">
        <v>4.67077813047342E-4</v>
      </c>
      <c r="G460" s="31">
        <v>255800</v>
      </c>
    </row>
    <row r="461" spans="1:7" ht="15" customHeight="1" x14ac:dyDescent="0.3">
      <c r="A461" s="38" t="s">
        <v>4938</v>
      </c>
      <c r="B461" s="37">
        <v>255800</v>
      </c>
      <c r="C461" s="37">
        <v>1</v>
      </c>
      <c r="D461" s="37">
        <v>1</v>
      </c>
      <c r="E461" s="39">
        <v>627</v>
      </c>
      <c r="F461" s="51">
        <v>4.67077813047342E-4</v>
      </c>
      <c r="G461" s="37">
        <v>255800</v>
      </c>
    </row>
    <row r="462" spans="1:7" ht="15" customHeight="1" x14ac:dyDescent="0.3">
      <c r="A462" s="32" t="s">
        <v>4219</v>
      </c>
      <c r="B462" s="31">
        <v>255800</v>
      </c>
      <c r="C462" s="31">
        <v>1</v>
      </c>
      <c r="D462" s="31">
        <v>1</v>
      </c>
      <c r="E462" s="33">
        <v>293.20699999999999</v>
      </c>
      <c r="F462" s="49">
        <v>4.67077813047342E-4</v>
      </c>
      <c r="G462" s="31">
        <v>255800</v>
      </c>
    </row>
    <row r="463" spans="1:7" ht="15" customHeight="1" x14ac:dyDescent="0.3">
      <c r="A463" s="38" t="s">
        <v>4430</v>
      </c>
      <c r="B463" s="37">
        <v>255800</v>
      </c>
      <c r="C463" s="37">
        <v>1</v>
      </c>
      <c r="D463" s="37">
        <v>1</v>
      </c>
      <c r="E463" s="39">
        <v>278</v>
      </c>
      <c r="F463" s="51">
        <v>4.67077813047342E-4</v>
      </c>
      <c r="G463" s="37">
        <v>255800</v>
      </c>
    </row>
    <row r="464" spans="1:7" ht="15" customHeight="1" x14ac:dyDescent="0.3">
      <c r="A464" s="32" t="s">
        <v>3337</v>
      </c>
      <c r="B464" s="31">
        <v>255800</v>
      </c>
      <c r="C464" s="31">
        <v>1</v>
      </c>
      <c r="D464" s="31">
        <v>1</v>
      </c>
      <c r="E464" s="33">
        <v>500</v>
      </c>
      <c r="F464" s="49">
        <v>4.67077813047342E-4</v>
      </c>
      <c r="G464" s="31">
        <v>255800</v>
      </c>
    </row>
    <row r="465" spans="1:7" ht="15" customHeight="1" x14ac:dyDescent="0.3">
      <c r="A465" s="38" t="s">
        <v>4594</v>
      </c>
      <c r="B465" s="37">
        <v>255800</v>
      </c>
      <c r="C465" s="37">
        <v>1</v>
      </c>
      <c r="D465" s="37">
        <v>1</v>
      </c>
      <c r="E465" s="39">
        <v>1933.2</v>
      </c>
      <c r="F465" s="51">
        <v>4.67077813047342E-4</v>
      </c>
      <c r="G465" s="37">
        <v>255800</v>
      </c>
    </row>
    <row r="466" spans="1:7" ht="15" customHeight="1" x14ac:dyDescent="0.3">
      <c r="A466" s="32" t="s">
        <v>4513</v>
      </c>
      <c r="B466" s="31">
        <v>255800</v>
      </c>
      <c r="C466" s="31">
        <v>1</v>
      </c>
      <c r="D466" s="31">
        <v>1</v>
      </c>
      <c r="E466" s="33">
        <v>390</v>
      </c>
      <c r="F466" s="49">
        <v>4.67077813047342E-4</v>
      </c>
      <c r="G466" s="31">
        <v>255800</v>
      </c>
    </row>
    <row r="467" spans="1:7" ht="15" customHeight="1" x14ac:dyDescent="0.3">
      <c r="A467" s="38" t="s">
        <v>4731</v>
      </c>
      <c r="B467" s="37">
        <v>255800</v>
      </c>
      <c r="C467" s="37">
        <v>1</v>
      </c>
      <c r="D467" s="37">
        <v>1</v>
      </c>
      <c r="E467" s="39">
        <v>1890</v>
      </c>
      <c r="F467" s="51">
        <v>4.67077813047342E-4</v>
      </c>
      <c r="G467" s="37">
        <v>255800</v>
      </c>
    </row>
    <row r="468" spans="1:7" ht="15" customHeight="1" x14ac:dyDescent="0.3">
      <c r="A468" s="32" t="s">
        <v>3021</v>
      </c>
      <c r="B468" s="31">
        <v>255800</v>
      </c>
      <c r="C468" s="31">
        <v>1</v>
      </c>
      <c r="D468" s="31">
        <v>1</v>
      </c>
      <c r="E468" s="33">
        <v>2.77</v>
      </c>
      <c r="F468" s="49">
        <v>4.67077813047342E-4</v>
      </c>
      <c r="G468" s="31">
        <v>255800</v>
      </c>
    </row>
    <row r="469" spans="1:7" ht="15" customHeight="1" x14ac:dyDescent="0.3">
      <c r="A469" s="38" t="s">
        <v>5015</v>
      </c>
      <c r="B469" s="37">
        <v>255800</v>
      </c>
      <c r="C469" s="37">
        <v>1</v>
      </c>
      <c r="D469" s="37">
        <v>1</v>
      </c>
      <c r="E469" s="39">
        <v>1931</v>
      </c>
      <c r="F469" s="51">
        <v>4.67077813047342E-4</v>
      </c>
      <c r="G469" s="37">
        <v>255800</v>
      </c>
    </row>
    <row r="470" spans="1:7" ht="15" customHeight="1" x14ac:dyDescent="0.3">
      <c r="A470" s="32" t="s">
        <v>5452</v>
      </c>
      <c r="B470" s="31">
        <v>255800</v>
      </c>
      <c r="C470" s="31">
        <v>1</v>
      </c>
      <c r="D470" s="31">
        <v>1</v>
      </c>
      <c r="E470" s="33">
        <v>295</v>
      </c>
      <c r="F470" s="49">
        <v>4.67077813047342E-4</v>
      </c>
      <c r="G470" s="31">
        <v>255800</v>
      </c>
    </row>
    <row r="471" spans="1:7" ht="15" customHeight="1" x14ac:dyDescent="0.3">
      <c r="A471" s="38" t="s">
        <v>4127</v>
      </c>
      <c r="B471" s="37">
        <v>255000</v>
      </c>
      <c r="C471" s="37">
        <v>1</v>
      </c>
      <c r="D471" s="37">
        <v>1</v>
      </c>
      <c r="E471" s="39">
        <v>2900</v>
      </c>
      <c r="F471" s="51">
        <v>4.6561705366330002E-4</v>
      </c>
      <c r="G471" s="37">
        <v>255000</v>
      </c>
    </row>
    <row r="472" spans="1:7" ht="15" customHeight="1" x14ac:dyDescent="0.3">
      <c r="A472" s="32" t="s">
        <v>5429</v>
      </c>
      <c r="B472" s="31">
        <v>254800</v>
      </c>
      <c r="C472" s="31">
        <v>1</v>
      </c>
      <c r="D472" s="31">
        <v>1</v>
      </c>
      <c r="E472" s="33">
        <v>223.4</v>
      </c>
      <c r="F472" s="49">
        <v>4.6525186381729002E-4</v>
      </c>
      <c r="G472" s="31">
        <v>254800</v>
      </c>
    </row>
    <row r="473" spans="1:7" ht="15" customHeight="1" x14ac:dyDescent="0.3">
      <c r="A473" s="38" t="s">
        <v>5261</v>
      </c>
      <c r="B473" s="37">
        <v>253000</v>
      </c>
      <c r="C473" s="37">
        <v>1</v>
      </c>
      <c r="D473" s="37">
        <v>1</v>
      </c>
      <c r="E473" s="39">
        <v>400</v>
      </c>
      <c r="F473" s="51">
        <v>4.61965155203196E-4</v>
      </c>
      <c r="G473" s="37">
        <v>253000</v>
      </c>
    </row>
    <row r="474" spans="1:7" ht="15" customHeight="1" x14ac:dyDescent="0.3">
      <c r="A474" s="32" t="s">
        <v>3461</v>
      </c>
      <c r="B474" s="31">
        <v>253000</v>
      </c>
      <c r="C474" s="31">
        <v>1</v>
      </c>
      <c r="D474" s="31">
        <v>1</v>
      </c>
      <c r="E474" s="33">
        <v>703.64</v>
      </c>
      <c r="F474" s="49">
        <v>4.61965155203196E-4</v>
      </c>
      <c r="G474" s="31">
        <v>253000</v>
      </c>
    </row>
    <row r="475" spans="1:7" ht="15" customHeight="1" x14ac:dyDescent="0.3">
      <c r="A475" s="38" t="s">
        <v>4904</v>
      </c>
      <c r="B475" s="37">
        <v>253000</v>
      </c>
      <c r="C475" s="37">
        <v>1</v>
      </c>
      <c r="D475" s="37">
        <v>1</v>
      </c>
      <c r="E475" s="39">
        <v>2106</v>
      </c>
      <c r="F475" s="51">
        <v>4.61965155203196E-4</v>
      </c>
      <c r="G475" s="37">
        <v>253000</v>
      </c>
    </row>
    <row r="476" spans="1:7" ht="15" customHeight="1" x14ac:dyDescent="0.3">
      <c r="A476" s="32" t="s">
        <v>3157</v>
      </c>
      <c r="B476" s="31">
        <v>253000</v>
      </c>
      <c r="C476" s="31">
        <v>1</v>
      </c>
      <c r="D476" s="31">
        <v>1</v>
      </c>
      <c r="E476" s="33">
        <v>280</v>
      </c>
      <c r="F476" s="49">
        <v>4.61965155203196E-4</v>
      </c>
      <c r="G476" s="31">
        <v>253000</v>
      </c>
    </row>
    <row r="477" spans="1:7" ht="15" customHeight="1" x14ac:dyDescent="0.3">
      <c r="A477" s="38" t="s">
        <v>3723</v>
      </c>
      <c r="B477" s="37">
        <v>253000</v>
      </c>
      <c r="C477" s="37">
        <v>1</v>
      </c>
      <c r="D477" s="37">
        <v>1</v>
      </c>
      <c r="E477" s="39">
        <v>1071</v>
      </c>
      <c r="F477" s="51">
        <v>4.61965155203196E-4</v>
      </c>
      <c r="G477" s="37">
        <v>253000</v>
      </c>
    </row>
    <row r="478" spans="1:7" ht="15" customHeight="1" x14ac:dyDescent="0.3">
      <c r="A478" s="32" t="s">
        <v>5468</v>
      </c>
      <c r="B478" s="31">
        <v>253000</v>
      </c>
      <c r="C478" s="31">
        <v>1</v>
      </c>
      <c r="D478" s="31">
        <v>1</v>
      </c>
      <c r="E478" s="33">
        <v>1655</v>
      </c>
      <c r="F478" s="49">
        <v>4.61965155203196E-4</v>
      </c>
      <c r="G478" s="31">
        <v>253000</v>
      </c>
    </row>
    <row r="479" spans="1:7" ht="15" customHeight="1" x14ac:dyDescent="0.3">
      <c r="A479" s="38" t="s">
        <v>5118</v>
      </c>
      <c r="B479" s="37">
        <v>253000</v>
      </c>
      <c r="C479" s="37">
        <v>1</v>
      </c>
      <c r="D479" s="37">
        <v>1</v>
      </c>
      <c r="E479" s="39">
        <v>1450</v>
      </c>
      <c r="F479" s="51">
        <v>4.61965155203196E-4</v>
      </c>
      <c r="G479" s="37">
        <v>253000</v>
      </c>
    </row>
    <row r="480" spans="1:7" ht="15" customHeight="1" x14ac:dyDescent="0.3">
      <c r="A480" s="32" t="s">
        <v>5419</v>
      </c>
      <c r="B480" s="31">
        <v>253000</v>
      </c>
      <c r="C480" s="31">
        <v>1</v>
      </c>
      <c r="D480" s="31">
        <v>1</v>
      </c>
      <c r="E480" s="33">
        <v>520</v>
      </c>
      <c r="F480" s="49">
        <v>4.61965155203196E-4</v>
      </c>
      <c r="G480" s="31">
        <v>253000</v>
      </c>
    </row>
    <row r="481" spans="1:7" ht="15" customHeight="1" x14ac:dyDescent="0.3">
      <c r="A481" s="38" t="s">
        <v>1517</v>
      </c>
      <c r="B481" s="37">
        <v>247260</v>
      </c>
      <c r="C481" s="37">
        <v>1</v>
      </c>
      <c r="D481" s="37">
        <v>1</v>
      </c>
      <c r="E481" s="39">
        <v>4789</v>
      </c>
      <c r="F481" s="51">
        <v>4.5148420662269702E-4</v>
      </c>
      <c r="G481" s="37">
        <v>247260</v>
      </c>
    </row>
    <row r="482" spans="1:7" ht="15" customHeight="1" x14ac:dyDescent="0.3">
      <c r="A482" s="32" t="s">
        <v>2922</v>
      </c>
      <c r="B482" s="31">
        <v>247260</v>
      </c>
      <c r="C482" s="31">
        <v>1</v>
      </c>
      <c r="D482" s="31">
        <v>1</v>
      </c>
      <c r="E482" s="33">
        <v>1500</v>
      </c>
      <c r="F482" s="49">
        <v>4.5148420662269702E-4</v>
      </c>
      <c r="G482" s="31">
        <v>247260</v>
      </c>
    </row>
    <row r="483" spans="1:7" ht="15" customHeight="1" x14ac:dyDescent="0.3">
      <c r="A483" s="38" t="s">
        <v>1469</v>
      </c>
      <c r="B483" s="37">
        <v>247260</v>
      </c>
      <c r="C483" s="37">
        <v>1</v>
      </c>
      <c r="D483" s="37">
        <v>1</v>
      </c>
      <c r="E483" s="39">
        <v>3330.5</v>
      </c>
      <c r="F483" s="51">
        <v>4.5148420662269702E-4</v>
      </c>
      <c r="G483" s="37">
        <v>247260</v>
      </c>
    </row>
    <row r="484" spans="1:7" ht="15" customHeight="1" x14ac:dyDescent="0.3">
      <c r="A484" s="32" t="s">
        <v>2178</v>
      </c>
      <c r="B484" s="31">
        <v>247260</v>
      </c>
      <c r="C484" s="31">
        <v>1</v>
      </c>
      <c r="D484" s="31">
        <v>1</v>
      </c>
      <c r="E484" s="33">
        <v>898</v>
      </c>
      <c r="F484" s="49">
        <v>4.5148420662269702E-4</v>
      </c>
      <c r="G484" s="31">
        <v>247260</v>
      </c>
    </row>
    <row r="485" spans="1:7" ht="15" customHeight="1" x14ac:dyDescent="0.3">
      <c r="A485" s="38" t="s">
        <v>2826</v>
      </c>
      <c r="B485" s="37">
        <v>247260</v>
      </c>
      <c r="C485" s="37">
        <v>1</v>
      </c>
      <c r="D485" s="37">
        <v>1</v>
      </c>
      <c r="E485" s="39">
        <v>241.6</v>
      </c>
      <c r="F485" s="51">
        <v>4.5148420662269702E-4</v>
      </c>
      <c r="G485" s="37">
        <v>247260</v>
      </c>
    </row>
    <row r="486" spans="1:7" ht="15" customHeight="1" x14ac:dyDescent="0.3">
      <c r="A486" s="32" t="s">
        <v>1936</v>
      </c>
      <c r="B486" s="31">
        <v>247260</v>
      </c>
      <c r="C486" s="31">
        <v>1</v>
      </c>
      <c r="D486" s="31">
        <v>1</v>
      </c>
      <c r="E486" s="33">
        <v>1406</v>
      </c>
      <c r="F486" s="49">
        <v>4.5148420662269702E-4</v>
      </c>
      <c r="G486" s="31">
        <v>247260</v>
      </c>
    </row>
    <row r="487" spans="1:7" ht="15" customHeight="1" x14ac:dyDescent="0.3">
      <c r="A487" s="38" t="s">
        <v>1443</v>
      </c>
      <c r="B487" s="37">
        <v>247260</v>
      </c>
      <c r="C487" s="37">
        <v>1</v>
      </c>
      <c r="D487" s="37">
        <v>1</v>
      </c>
      <c r="E487" s="39">
        <v>1260</v>
      </c>
      <c r="F487" s="51">
        <v>4.5148420662269702E-4</v>
      </c>
      <c r="G487" s="37">
        <v>247260</v>
      </c>
    </row>
    <row r="488" spans="1:7" ht="15" customHeight="1" x14ac:dyDescent="0.3">
      <c r="A488" s="32" t="s">
        <v>1283</v>
      </c>
      <c r="B488" s="31">
        <v>247260</v>
      </c>
      <c r="C488" s="31">
        <v>1</v>
      </c>
      <c r="D488" s="31">
        <v>1</v>
      </c>
      <c r="E488" s="33">
        <v>545.5</v>
      </c>
      <c r="F488" s="49">
        <v>4.5148420662269702E-4</v>
      </c>
      <c r="G488" s="31">
        <v>247260</v>
      </c>
    </row>
    <row r="489" spans="1:7" ht="15" customHeight="1" x14ac:dyDescent="0.3">
      <c r="A489" s="38" t="s">
        <v>2495</v>
      </c>
      <c r="B489" s="37">
        <v>247260</v>
      </c>
      <c r="C489" s="37">
        <v>1</v>
      </c>
      <c r="D489" s="37">
        <v>1</v>
      </c>
      <c r="E489" s="39">
        <v>503.2</v>
      </c>
      <c r="F489" s="51">
        <v>4.5148420662269702E-4</v>
      </c>
      <c r="G489" s="37">
        <v>247260</v>
      </c>
    </row>
    <row r="490" spans="1:7" ht="15" customHeight="1" x14ac:dyDescent="0.3">
      <c r="A490" s="32" t="s">
        <v>1035</v>
      </c>
      <c r="B490" s="31">
        <v>247260</v>
      </c>
      <c r="C490" s="31">
        <v>1</v>
      </c>
      <c r="D490" s="31">
        <v>1</v>
      </c>
      <c r="E490" s="33">
        <v>1181</v>
      </c>
      <c r="F490" s="49">
        <v>4.5148420662269702E-4</v>
      </c>
      <c r="G490" s="31">
        <v>247260</v>
      </c>
    </row>
    <row r="491" spans="1:7" ht="15" customHeight="1" x14ac:dyDescent="0.3">
      <c r="A491" s="38" t="s">
        <v>2606</v>
      </c>
      <c r="B491" s="37">
        <v>247260</v>
      </c>
      <c r="C491" s="37">
        <v>1</v>
      </c>
      <c r="D491" s="37">
        <v>1</v>
      </c>
      <c r="E491" s="39">
        <v>910</v>
      </c>
      <c r="F491" s="51">
        <v>4.5148420662269702E-4</v>
      </c>
      <c r="G491" s="37">
        <v>247260</v>
      </c>
    </row>
    <row r="492" spans="1:7" ht="15" customHeight="1" x14ac:dyDescent="0.3">
      <c r="A492" s="32" t="s">
        <v>2272</v>
      </c>
      <c r="B492" s="31">
        <v>247260</v>
      </c>
      <c r="C492" s="31">
        <v>1</v>
      </c>
      <c r="D492" s="31">
        <v>1</v>
      </c>
      <c r="E492" s="33">
        <v>3800</v>
      </c>
      <c r="F492" s="49">
        <v>4.5148420662269702E-4</v>
      </c>
      <c r="G492" s="31">
        <v>247260</v>
      </c>
    </row>
    <row r="493" spans="1:7" ht="15" customHeight="1" x14ac:dyDescent="0.3">
      <c r="A493" s="38" t="s">
        <v>2198</v>
      </c>
      <c r="B493" s="37">
        <v>247260</v>
      </c>
      <c r="C493" s="37">
        <v>1</v>
      </c>
      <c r="D493" s="37">
        <v>1</v>
      </c>
      <c r="E493" s="39">
        <v>580</v>
      </c>
      <c r="F493" s="51">
        <v>4.5148420662269702E-4</v>
      </c>
      <c r="G493" s="37">
        <v>247260</v>
      </c>
    </row>
    <row r="494" spans="1:7" ht="15" customHeight="1" x14ac:dyDescent="0.3">
      <c r="A494" s="32" t="s">
        <v>2633</v>
      </c>
      <c r="B494" s="31">
        <v>247260</v>
      </c>
      <c r="C494" s="31">
        <v>1</v>
      </c>
      <c r="D494" s="31">
        <v>1</v>
      </c>
      <c r="E494" s="33">
        <v>7242</v>
      </c>
      <c r="F494" s="49">
        <v>4.5148420662269702E-4</v>
      </c>
      <c r="G494" s="31">
        <v>247260</v>
      </c>
    </row>
    <row r="495" spans="1:7" ht="15" customHeight="1" x14ac:dyDescent="0.3">
      <c r="A495" s="38" t="s">
        <v>2728</v>
      </c>
      <c r="B495" s="37">
        <v>247260</v>
      </c>
      <c r="C495" s="37">
        <v>1</v>
      </c>
      <c r="D495" s="37">
        <v>1</v>
      </c>
      <c r="E495" s="39">
        <v>2607</v>
      </c>
      <c r="F495" s="51">
        <v>4.5148420662269702E-4</v>
      </c>
      <c r="G495" s="37">
        <v>247260</v>
      </c>
    </row>
    <row r="496" spans="1:7" ht="15" customHeight="1" x14ac:dyDescent="0.3">
      <c r="A496" s="32" t="s">
        <v>2730</v>
      </c>
      <c r="B496" s="31">
        <v>247260</v>
      </c>
      <c r="C496" s="31">
        <v>1</v>
      </c>
      <c r="D496" s="31">
        <v>1</v>
      </c>
      <c r="E496" s="33">
        <v>2215</v>
      </c>
      <c r="F496" s="49">
        <v>4.5148420662269702E-4</v>
      </c>
      <c r="G496" s="31">
        <v>247260</v>
      </c>
    </row>
    <row r="497" spans="1:7" ht="15" customHeight="1" x14ac:dyDescent="0.3">
      <c r="A497" s="38" t="s">
        <v>2352</v>
      </c>
      <c r="B497" s="37">
        <v>245000</v>
      </c>
      <c r="C497" s="37">
        <v>1</v>
      </c>
      <c r="D497" s="37">
        <v>1</v>
      </c>
      <c r="E497" s="39">
        <v>600</v>
      </c>
      <c r="F497" s="51">
        <v>4.4735756136277902E-4</v>
      </c>
      <c r="G497" s="37">
        <v>245000</v>
      </c>
    </row>
    <row r="498" spans="1:7" ht="15" customHeight="1" x14ac:dyDescent="0.3">
      <c r="A498" s="32" t="s">
        <v>2793</v>
      </c>
      <c r="B498" s="31">
        <v>245000</v>
      </c>
      <c r="C498" s="31">
        <v>1</v>
      </c>
      <c r="D498" s="31">
        <v>1</v>
      </c>
      <c r="E498" s="33">
        <v>2676.1840000000002</v>
      </c>
      <c r="F498" s="49">
        <v>4.4735756136277902E-4</v>
      </c>
      <c r="G498" s="31">
        <v>245000</v>
      </c>
    </row>
    <row r="499" spans="1:7" ht="15" customHeight="1" x14ac:dyDescent="0.3">
      <c r="A499" s="38" t="s">
        <v>523</v>
      </c>
      <c r="B499" s="37">
        <v>242000</v>
      </c>
      <c r="C499" s="37">
        <v>2</v>
      </c>
      <c r="D499" s="37">
        <v>1</v>
      </c>
      <c r="E499" s="39">
        <v>1260</v>
      </c>
      <c r="F499" s="51">
        <v>4.4187971367262198E-4</v>
      </c>
      <c r="G499" s="37">
        <v>121000</v>
      </c>
    </row>
    <row r="500" spans="1:7" ht="15" customHeight="1" x14ac:dyDescent="0.3">
      <c r="A500" s="32" t="s">
        <v>1755</v>
      </c>
      <c r="B500" s="31">
        <v>237000</v>
      </c>
      <c r="C500" s="31">
        <v>1</v>
      </c>
      <c r="D500" s="31">
        <v>1</v>
      </c>
      <c r="E500" s="33">
        <v>5000</v>
      </c>
      <c r="F500" s="49">
        <v>4.3274996752236199E-4</v>
      </c>
      <c r="G500" s="31">
        <v>237000</v>
      </c>
    </row>
    <row r="501" spans="1:7" ht="15" customHeight="1" x14ac:dyDescent="0.3">
      <c r="A501" s="38" t="s">
        <v>1308</v>
      </c>
      <c r="B501" s="37">
        <v>237000</v>
      </c>
      <c r="C501" s="37">
        <v>1</v>
      </c>
      <c r="D501" s="37">
        <v>1</v>
      </c>
      <c r="E501" s="39">
        <v>700</v>
      </c>
      <c r="F501" s="51">
        <v>4.3274996752236199E-4</v>
      </c>
      <c r="G501" s="37">
        <v>237000</v>
      </c>
    </row>
    <row r="502" spans="1:7" ht="15" customHeight="1" x14ac:dyDescent="0.3">
      <c r="A502" s="32" t="s">
        <v>1692</v>
      </c>
      <c r="B502" s="31">
        <v>237000</v>
      </c>
      <c r="C502" s="31">
        <v>1</v>
      </c>
      <c r="D502" s="31">
        <v>1</v>
      </c>
      <c r="E502" s="33">
        <v>905</v>
      </c>
      <c r="F502" s="49">
        <v>4.3274996752236199E-4</v>
      </c>
      <c r="G502" s="31">
        <v>237000</v>
      </c>
    </row>
    <row r="503" spans="1:7" ht="15" customHeight="1" x14ac:dyDescent="0.3">
      <c r="A503" s="38" t="s">
        <v>1712</v>
      </c>
      <c r="B503" s="37">
        <v>237000</v>
      </c>
      <c r="C503" s="37">
        <v>1</v>
      </c>
      <c r="D503" s="37">
        <v>1</v>
      </c>
      <c r="E503" s="39">
        <v>3600</v>
      </c>
      <c r="F503" s="51">
        <v>4.3274996752236199E-4</v>
      </c>
      <c r="G503" s="37">
        <v>237000</v>
      </c>
    </row>
    <row r="504" spans="1:7" ht="15" customHeight="1" x14ac:dyDescent="0.3">
      <c r="A504" s="32" t="s">
        <v>115</v>
      </c>
      <c r="B504" s="31">
        <v>236520</v>
      </c>
      <c r="C504" s="31">
        <v>2</v>
      </c>
      <c r="D504" s="31">
        <v>2</v>
      </c>
      <c r="E504" s="33">
        <v>568</v>
      </c>
      <c r="F504" s="49">
        <v>4.31873511891936E-4</v>
      </c>
      <c r="G504" s="31">
        <v>118260</v>
      </c>
    </row>
    <row r="505" spans="1:7" ht="15" customHeight="1" x14ac:dyDescent="0.3">
      <c r="A505" s="38" t="s">
        <v>427</v>
      </c>
      <c r="B505" s="37">
        <v>235000</v>
      </c>
      <c r="C505" s="37">
        <v>2</v>
      </c>
      <c r="D505" s="37">
        <v>1</v>
      </c>
      <c r="E505" s="39">
        <v>149.4</v>
      </c>
      <c r="F505" s="51">
        <v>4.2909806906225699E-4</v>
      </c>
      <c r="G505" s="37">
        <v>117500</v>
      </c>
    </row>
    <row r="506" spans="1:7" ht="15" customHeight="1" x14ac:dyDescent="0.3">
      <c r="A506" s="32" t="s">
        <v>263</v>
      </c>
      <c r="B506" s="31">
        <v>228260</v>
      </c>
      <c r="C506" s="31">
        <v>1</v>
      </c>
      <c r="D506" s="31">
        <v>1</v>
      </c>
      <c r="E506" s="33">
        <v>250</v>
      </c>
      <c r="F506" s="49">
        <v>4.1679117125170597E-4</v>
      </c>
      <c r="G506" s="31">
        <v>228260</v>
      </c>
    </row>
    <row r="507" spans="1:7" ht="15" customHeight="1" x14ac:dyDescent="0.3">
      <c r="A507" s="38" t="s">
        <v>229</v>
      </c>
      <c r="B507" s="37">
        <v>228260</v>
      </c>
      <c r="C507" s="37">
        <v>1</v>
      </c>
      <c r="D507" s="37">
        <v>1</v>
      </c>
      <c r="E507" s="39">
        <v>450</v>
      </c>
      <c r="F507" s="51">
        <v>4.1679117125170597E-4</v>
      </c>
      <c r="G507" s="37">
        <v>228260</v>
      </c>
    </row>
    <row r="508" spans="1:7" ht="15" customHeight="1" x14ac:dyDescent="0.3">
      <c r="A508" s="32" t="s">
        <v>673</v>
      </c>
      <c r="B508" s="31">
        <v>228260</v>
      </c>
      <c r="C508" s="31">
        <v>1</v>
      </c>
      <c r="D508" s="31">
        <v>1</v>
      </c>
      <c r="E508" s="33">
        <v>1507</v>
      </c>
      <c r="F508" s="49">
        <v>4.1679117125170597E-4</v>
      </c>
      <c r="G508" s="31">
        <v>228260</v>
      </c>
    </row>
    <row r="509" spans="1:7" ht="15" customHeight="1" x14ac:dyDescent="0.3">
      <c r="A509" s="38" t="s">
        <v>241</v>
      </c>
      <c r="B509" s="37">
        <v>228260</v>
      </c>
      <c r="C509" s="37">
        <v>1</v>
      </c>
      <c r="D509" s="37">
        <v>1</v>
      </c>
      <c r="E509" s="39">
        <v>3530</v>
      </c>
      <c r="F509" s="51">
        <v>4.1679117125170597E-4</v>
      </c>
      <c r="G509" s="37">
        <v>228260</v>
      </c>
    </row>
    <row r="510" spans="1:7" ht="15" customHeight="1" x14ac:dyDescent="0.3">
      <c r="A510" s="32" t="s">
        <v>688</v>
      </c>
      <c r="B510" s="31">
        <v>228260</v>
      </c>
      <c r="C510" s="31">
        <v>1</v>
      </c>
      <c r="D510" s="31">
        <v>1</v>
      </c>
      <c r="E510" s="33">
        <v>1321</v>
      </c>
      <c r="F510" s="49">
        <v>4.1679117125170597E-4</v>
      </c>
      <c r="G510" s="31">
        <v>228260</v>
      </c>
    </row>
    <row r="511" spans="1:7" ht="15" customHeight="1" x14ac:dyDescent="0.3">
      <c r="A511" s="38" t="s">
        <v>732</v>
      </c>
      <c r="B511" s="37">
        <v>228260</v>
      </c>
      <c r="C511" s="37">
        <v>1</v>
      </c>
      <c r="D511" s="37">
        <v>1</v>
      </c>
      <c r="E511" s="39">
        <v>2127</v>
      </c>
      <c r="F511" s="51">
        <v>4.1679117125170597E-4</v>
      </c>
      <c r="G511" s="37">
        <v>228260</v>
      </c>
    </row>
    <row r="512" spans="1:7" ht="15" customHeight="1" x14ac:dyDescent="0.3">
      <c r="A512" s="32" t="s">
        <v>738</v>
      </c>
      <c r="B512" s="31">
        <v>228260</v>
      </c>
      <c r="C512" s="31">
        <v>1</v>
      </c>
      <c r="D512" s="31">
        <v>1</v>
      </c>
      <c r="E512" s="33">
        <v>1762</v>
      </c>
      <c r="F512" s="49">
        <v>4.1679117125170597E-4</v>
      </c>
      <c r="G512" s="31">
        <v>228260</v>
      </c>
    </row>
    <row r="513" spans="1:7" ht="15" customHeight="1" x14ac:dyDescent="0.3">
      <c r="A513" s="38" t="s">
        <v>125</v>
      </c>
      <c r="B513" s="37">
        <v>228260</v>
      </c>
      <c r="C513" s="37">
        <v>1</v>
      </c>
      <c r="D513" s="37">
        <v>1</v>
      </c>
      <c r="E513" s="39">
        <v>1148</v>
      </c>
      <c r="F513" s="51">
        <v>4.1679117125170597E-4</v>
      </c>
      <c r="G513" s="37">
        <v>228260</v>
      </c>
    </row>
    <row r="514" spans="1:7" ht="15" customHeight="1" x14ac:dyDescent="0.3">
      <c r="A514" s="32" t="s">
        <v>265</v>
      </c>
      <c r="B514" s="31">
        <v>228260</v>
      </c>
      <c r="C514" s="31">
        <v>1</v>
      </c>
      <c r="D514" s="31">
        <v>1</v>
      </c>
      <c r="E514" s="33">
        <v>4710</v>
      </c>
      <c r="F514" s="49">
        <v>4.1679117125170597E-4</v>
      </c>
      <c r="G514" s="31">
        <v>228260</v>
      </c>
    </row>
    <row r="515" spans="1:7" ht="15" customHeight="1" x14ac:dyDescent="0.3">
      <c r="A515" s="38" t="s">
        <v>157</v>
      </c>
      <c r="B515" s="37">
        <v>228260</v>
      </c>
      <c r="C515" s="37">
        <v>1</v>
      </c>
      <c r="D515" s="37">
        <v>1</v>
      </c>
      <c r="E515" s="39">
        <v>655.8</v>
      </c>
      <c r="F515" s="51">
        <v>4.1679117125170597E-4</v>
      </c>
      <c r="G515" s="37">
        <v>228260</v>
      </c>
    </row>
    <row r="516" spans="1:7" ht="15" customHeight="1" x14ac:dyDescent="0.3">
      <c r="A516" s="32" t="s">
        <v>565</v>
      </c>
      <c r="B516" s="31">
        <v>228260</v>
      </c>
      <c r="C516" s="31">
        <v>1</v>
      </c>
      <c r="D516" s="31">
        <v>1</v>
      </c>
      <c r="E516" s="33">
        <v>465.2</v>
      </c>
      <c r="F516" s="49">
        <v>4.1679117125170597E-4</v>
      </c>
      <c r="G516" s="31">
        <v>228260</v>
      </c>
    </row>
    <row r="517" spans="1:7" ht="15" customHeight="1" x14ac:dyDescent="0.3">
      <c r="A517" s="38" t="s">
        <v>328</v>
      </c>
      <c r="B517" s="37">
        <v>228260</v>
      </c>
      <c r="C517" s="37">
        <v>1</v>
      </c>
      <c r="D517" s="37">
        <v>1</v>
      </c>
      <c r="E517" s="39">
        <v>610</v>
      </c>
      <c r="F517" s="51">
        <v>4.1679117125170597E-4</v>
      </c>
      <c r="G517" s="37">
        <v>228260</v>
      </c>
    </row>
    <row r="518" spans="1:7" ht="15" customHeight="1" x14ac:dyDescent="0.3">
      <c r="A518" s="32" t="s">
        <v>4609</v>
      </c>
      <c r="B518" s="31">
        <v>227800</v>
      </c>
      <c r="C518" s="31">
        <v>1</v>
      </c>
      <c r="D518" s="31">
        <v>1</v>
      </c>
      <c r="E518" s="33">
        <v>752</v>
      </c>
      <c r="F518" s="49">
        <v>4.1595123460588199E-4</v>
      </c>
      <c r="G518" s="31">
        <v>227800</v>
      </c>
    </row>
    <row r="519" spans="1:7" ht="15" customHeight="1" x14ac:dyDescent="0.3">
      <c r="A519" s="38" t="s">
        <v>2974</v>
      </c>
      <c r="B519" s="37">
        <v>227800</v>
      </c>
      <c r="C519" s="37">
        <v>1</v>
      </c>
      <c r="D519" s="37">
        <v>1</v>
      </c>
      <c r="E519" s="39">
        <v>175</v>
      </c>
      <c r="F519" s="51">
        <v>4.1595123460588199E-4</v>
      </c>
      <c r="G519" s="37">
        <v>227800</v>
      </c>
    </row>
    <row r="520" spans="1:7" ht="15" customHeight="1" x14ac:dyDescent="0.3">
      <c r="A520" s="32" t="s">
        <v>3018</v>
      </c>
      <c r="B520" s="31">
        <v>227800</v>
      </c>
      <c r="C520" s="31">
        <v>1</v>
      </c>
      <c r="D520" s="31">
        <v>1</v>
      </c>
      <c r="E520" s="33">
        <v>340</v>
      </c>
      <c r="F520" s="49">
        <v>4.1595123460588199E-4</v>
      </c>
      <c r="G520" s="31">
        <v>227800</v>
      </c>
    </row>
    <row r="521" spans="1:7" ht="15" customHeight="1" x14ac:dyDescent="0.3">
      <c r="A521" s="38" t="s">
        <v>4427</v>
      </c>
      <c r="B521" s="37">
        <v>227800</v>
      </c>
      <c r="C521" s="37">
        <v>1</v>
      </c>
      <c r="D521" s="37">
        <v>1</v>
      </c>
      <c r="E521" s="39">
        <v>950</v>
      </c>
      <c r="F521" s="51">
        <v>4.1595123460588199E-4</v>
      </c>
      <c r="G521" s="37">
        <v>227800</v>
      </c>
    </row>
    <row r="522" spans="1:7" ht="15" customHeight="1" x14ac:dyDescent="0.3">
      <c r="A522" s="32" t="s">
        <v>3454</v>
      </c>
      <c r="B522" s="31">
        <v>227800</v>
      </c>
      <c r="C522" s="31">
        <v>1</v>
      </c>
      <c r="D522" s="31">
        <v>1</v>
      </c>
      <c r="E522" s="33">
        <v>2993.6</v>
      </c>
      <c r="F522" s="49">
        <v>4.1595123460588199E-4</v>
      </c>
      <c r="G522" s="31">
        <v>227800</v>
      </c>
    </row>
    <row r="523" spans="1:7" ht="15" customHeight="1" x14ac:dyDescent="0.3">
      <c r="A523" s="38" t="s">
        <v>5232</v>
      </c>
      <c r="B523" s="37">
        <v>227800</v>
      </c>
      <c r="C523" s="37">
        <v>1</v>
      </c>
      <c r="D523" s="37">
        <v>1</v>
      </c>
      <c r="E523" s="39">
        <v>1050</v>
      </c>
      <c r="F523" s="51">
        <v>4.1595123460588199E-4</v>
      </c>
      <c r="G523" s="37">
        <v>227800</v>
      </c>
    </row>
    <row r="524" spans="1:7" ht="15" customHeight="1" x14ac:dyDescent="0.3">
      <c r="A524" s="32" t="s">
        <v>4771</v>
      </c>
      <c r="B524" s="31">
        <v>227800</v>
      </c>
      <c r="C524" s="31">
        <v>1</v>
      </c>
      <c r="D524" s="31">
        <v>1</v>
      </c>
      <c r="E524" s="33">
        <v>2220</v>
      </c>
      <c r="F524" s="49">
        <v>4.1595123460588199E-4</v>
      </c>
      <c r="G524" s="31">
        <v>227800</v>
      </c>
    </row>
    <row r="525" spans="1:7" ht="15" customHeight="1" x14ac:dyDescent="0.3">
      <c r="A525" s="38" t="s">
        <v>4312</v>
      </c>
      <c r="B525" s="37">
        <v>227800</v>
      </c>
      <c r="C525" s="37">
        <v>1</v>
      </c>
      <c r="D525" s="37">
        <v>1</v>
      </c>
      <c r="E525" s="39">
        <v>524</v>
      </c>
      <c r="F525" s="51">
        <v>4.1595123460588199E-4</v>
      </c>
      <c r="G525" s="37">
        <v>227800</v>
      </c>
    </row>
    <row r="526" spans="1:7" ht="15" customHeight="1" x14ac:dyDescent="0.3">
      <c r="A526" s="32" t="s">
        <v>3171</v>
      </c>
      <c r="B526" s="31">
        <v>227800</v>
      </c>
      <c r="C526" s="31">
        <v>1</v>
      </c>
      <c r="D526" s="31">
        <v>1</v>
      </c>
      <c r="E526" s="33">
        <v>1719</v>
      </c>
      <c r="F526" s="49">
        <v>4.1595123460588199E-4</v>
      </c>
      <c r="G526" s="31">
        <v>227800</v>
      </c>
    </row>
    <row r="527" spans="1:7" ht="15" customHeight="1" x14ac:dyDescent="0.3">
      <c r="A527" s="38" t="s">
        <v>4124</v>
      </c>
      <c r="B527" s="37">
        <v>227800</v>
      </c>
      <c r="C527" s="37">
        <v>1</v>
      </c>
      <c r="D527" s="37">
        <v>1</v>
      </c>
      <c r="E527" s="39">
        <v>2085</v>
      </c>
      <c r="F527" s="51">
        <v>4.1595123460588199E-4</v>
      </c>
      <c r="G527" s="37">
        <v>227800</v>
      </c>
    </row>
    <row r="528" spans="1:7" ht="15" customHeight="1" x14ac:dyDescent="0.3">
      <c r="A528" s="32" t="s">
        <v>5095</v>
      </c>
      <c r="B528" s="31">
        <v>227800</v>
      </c>
      <c r="C528" s="31">
        <v>1</v>
      </c>
      <c r="D528" s="31">
        <v>1</v>
      </c>
      <c r="E528" s="33">
        <v>1719</v>
      </c>
      <c r="F528" s="49">
        <v>4.1595123460588199E-4</v>
      </c>
      <c r="G528" s="31">
        <v>227800</v>
      </c>
    </row>
    <row r="529" spans="1:7" ht="15" customHeight="1" x14ac:dyDescent="0.3">
      <c r="A529" s="38" t="s">
        <v>4436</v>
      </c>
      <c r="B529" s="37">
        <v>227800</v>
      </c>
      <c r="C529" s="37">
        <v>1</v>
      </c>
      <c r="D529" s="37">
        <v>1</v>
      </c>
      <c r="E529" s="39">
        <v>1421.5</v>
      </c>
      <c r="F529" s="51">
        <v>4.1595123460588199E-4</v>
      </c>
      <c r="G529" s="37">
        <v>227800</v>
      </c>
    </row>
    <row r="530" spans="1:7" ht="15" customHeight="1" x14ac:dyDescent="0.3">
      <c r="A530" s="32" t="s">
        <v>3471</v>
      </c>
      <c r="B530" s="31">
        <v>227800</v>
      </c>
      <c r="C530" s="31">
        <v>1</v>
      </c>
      <c r="D530" s="31">
        <v>1</v>
      </c>
      <c r="E530" s="33">
        <v>766.73800000000006</v>
      </c>
      <c r="F530" s="49">
        <v>4.1595123460588199E-4</v>
      </c>
      <c r="G530" s="31">
        <v>227800</v>
      </c>
    </row>
    <row r="531" spans="1:7" ht="15" customHeight="1" x14ac:dyDescent="0.3">
      <c r="A531" s="38" t="s">
        <v>3882</v>
      </c>
      <c r="B531" s="37">
        <v>227800</v>
      </c>
      <c r="C531" s="37">
        <v>1</v>
      </c>
      <c r="D531" s="37">
        <v>1</v>
      </c>
      <c r="E531" s="39">
        <v>402.5</v>
      </c>
      <c r="F531" s="51">
        <v>4.1595123460588199E-4</v>
      </c>
      <c r="G531" s="37">
        <v>227800</v>
      </c>
    </row>
    <row r="532" spans="1:7" ht="15" customHeight="1" x14ac:dyDescent="0.3">
      <c r="A532" s="32" t="s">
        <v>4882</v>
      </c>
      <c r="B532" s="31">
        <v>227800</v>
      </c>
      <c r="C532" s="31">
        <v>1</v>
      </c>
      <c r="D532" s="31">
        <v>1</v>
      </c>
      <c r="E532" s="33">
        <v>548</v>
      </c>
      <c r="F532" s="49">
        <v>4.1595123460588199E-4</v>
      </c>
      <c r="G532" s="31">
        <v>227800</v>
      </c>
    </row>
    <row r="533" spans="1:7" ht="15" customHeight="1" x14ac:dyDescent="0.3">
      <c r="A533" s="38" t="s">
        <v>3583</v>
      </c>
      <c r="B533" s="37">
        <v>227800</v>
      </c>
      <c r="C533" s="37">
        <v>1</v>
      </c>
      <c r="D533" s="37">
        <v>1</v>
      </c>
      <c r="E533" s="39">
        <v>4430</v>
      </c>
      <c r="F533" s="51">
        <v>4.1595123460588199E-4</v>
      </c>
      <c r="G533" s="37">
        <v>227800</v>
      </c>
    </row>
    <row r="534" spans="1:7" ht="15" customHeight="1" x14ac:dyDescent="0.3">
      <c r="A534" s="32" t="s">
        <v>4374</v>
      </c>
      <c r="B534" s="31">
        <v>227800</v>
      </c>
      <c r="C534" s="31">
        <v>1</v>
      </c>
      <c r="D534" s="31">
        <v>1</v>
      </c>
      <c r="E534" s="33">
        <v>2086</v>
      </c>
      <c r="F534" s="49">
        <v>4.1595123460588199E-4</v>
      </c>
      <c r="G534" s="31">
        <v>227800</v>
      </c>
    </row>
    <row r="535" spans="1:7" ht="15" customHeight="1" x14ac:dyDescent="0.3">
      <c r="A535" s="38" t="s">
        <v>4418</v>
      </c>
      <c r="B535" s="37">
        <v>227800</v>
      </c>
      <c r="C535" s="37">
        <v>1</v>
      </c>
      <c r="D535" s="37">
        <v>1</v>
      </c>
      <c r="E535" s="39">
        <v>940</v>
      </c>
      <c r="F535" s="51">
        <v>4.1595123460588199E-4</v>
      </c>
      <c r="G535" s="37">
        <v>227800</v>
      </c>
    </row>
    <row r="536" spans="1:7" ht="15" customHeight="1" x14ac:dyDescent="0.3">
      <c r="A536" s="32" t="s">
        <v>4239</v>
      </c>
      <c r="B536" s="31">
        <v>227800</v>
      </c>
      <c r="C536" s="31">
        <v>1</v>
      </c>
      <c r="D536" s="31">
        <v>1</v>
      </c>
      <c r="E536" s="33">
        <v>720</v>
      </c>
      <c r="F536" s="49">
        <v>4.1595123460588199E-4</v>
      </c>
      <c r="G536" s="31">
        <v>227800</v>
      </c>
    </row>
    <row r="537" spans="1:7" ht="15" customHeight="1" x14ac:dyDescent="0.3">
      <c r="A537" s="38" t="s">
        <v>3027</v>
      </c>
      <c r="B537" s="37">
        <v>227800</v>
      </c>
      <c r="C537" s="37">
        <v>1</v>
      </c>
      <c r="D537" s="37">
        <v>1</v>
      </c>
      <c r="E537" s="39">
        <v>2.016</v>
      </c>
      <c r="F537" s="51">
        <v>4.1595123460588199E-4</v>
      </c>
      <c r="G537" s="37">
        <v>227800</v>
      </c>
    </row>
    <row r="538" spans="1:7" ht="15" customHeight="1" x14ac:dyDescent="0.3">
      <c r="A538" s="32" t="s">
        <v>3213</v>
      </c>
      <c r="B538" s="31">
        <v>227800</v>
      </c>
      <c r="C538" s="31">
        <v>1</v>
      </c>
      <c r="D538" s="31">
        <v>1</v>
      </c>
      <c r="E538" s="33">
        <v>2300</v>
      </c>
      <c r="F538" s="49">
        <v>4.1595123460588199E-4</v>
      </c>
      <c r="G538" s="31">
        <v>227800</v>
      </c>
    </row>
    <row r="539" spans="1:7" ht="15" customHeight="1" x14ac:dyDescent="0.3">
      <c r="A539" s="38" t="s">
        <v>5045</v>
      </c>
      <c r="B539" s="37">
        <v>227800</v>
      </c>
      <c r="C539" s="37">
        <v>1</v>
      </c>
      <c r="D539" s="37">
        <v>1</v>
      </c>
      <c r="E539" s="39">
        <v>7000</v>
      </c>
      <c r="F539" s="51">
        <v>4.1595123460588199E-4</v>
      </c>
      <c r="G539" s="37">
        <v>227800</v>
      </c>
    </row>
    <row r="540" spans="1:7" ht="15" customHeight="1" x14ac:dyDescent="0.3">
      <c r="A540" s="32" t="s">
        <v>5140</v>
      </c>
      <c r="B540" s="31">
        <v>227800</v>
      </c>
      <c r="C540" s="31">
        <v>1</v>
      </c>
      <c r="D540" s="31">
        <v>1</v>
      </c>
      <c r="E540" s="33">
        <v>200</v>
      </c>
      <c r="F540" s="49">
        <v>4.1595123460588199E-4</v>
      </c>
      <c r="G540" s="31">
        <v>227800</v>
      </c>
    </row>
    <row r="541" spans="1:7" ht="15" customHeight="1" x14ac:dyDescent="0.3">
      <c r="A541" s="38" t="s">
        <v>4662</v>
      </c>
      <c r="B541" s="37">
        <v>227800</v>
      </c>
      <c r="C541" s="37">
        <v>1</v>
      </c>
      <c r="D541" s="37">
        <v>1</v>
      </c>
      <c r="E541" s="39">
        <v>1585.2</v>
      </c>
      <c r="F541" s="51">
        <v>4.1595123460588199E-4</v>
      </c>
      <c r="G541" s="37">
        <v>227800</v>
      </c>
    </row>
    <row r="542" spans="1:7" ht="15" customHeight="1" x14ac:dyDescent="0.3">
      <c r="A542" s="32" t="s">
        <v>5163</v>
      </c>
      <c r="B542" s="31">
        <v>227800</v>
      </c>
      <c r="C542" s="31">
        <v>1</v>
      </c>
      <c r="D542" s="31">
        <v>1</v>
      </c>
      <c r="E542" s="33">
        <v>55</v>
      </c>
      <c r="F542" s="49">
        <v>4.1595123460588199E-4</v>
      </c>
      <c r="G542" s="31">
        <v>227800</v>
      </c>
    </row>
    <row r="543" spans="1:7" ht="15" customHeight="1" x14ac:dyDescent="0.3">
      <c r="A543" s="38" t="s">
        <v>4704</v>
      </c>
      <c r="B543" s="37">
        <v>227800</v>
      </c>
      <c r="C543" s="37">
        <v>1</v>
      </c>
      <c r="D543" s="37">
        <v>1</v>
      </c>
      <c r="E543" s="39">
        <v>546</v>
      </c>
      <c r="F543" s="51">
        <v>4.1595123460588199E-4</v>
      </c>
      <c r="G543" s="37">
        <v>227800</v>
      </c>
    </row>
    <row r="544" spans="1:7" ht="15" customHeight="1" x14ac:dyDescent="0.3">
      <c r="A544" s="32" t="s">
        <v>4930</v>
      </c>
      <c r="B544" s="31">
        <v>227800</v>
      </c>
      <c r="C544" s="31">
        <v>1</v>
      </c>
      <c r="D544" s="31">
        <v>1</v>
      </c>
      <c r="E544" s="33">
        <v>353</v>
      </c>
      <c r="F544" s="49">
        <v>4.1595123460588199E-4</v>
      </c>
      <c r="G544" s="31">
        <v>227800</v>
      </c>
    </row>
    <row r="545" spans="1:7" ht="15" customHeight="1" x14ac:dyDescent="0.3">
      <c r="A545" s="38" t="s">
        <v>3922</v>
      </c>
      <c r="B545" s="37">
        <v>227800</v>
      </c>
      <c r="C545" s="37">
        <v>1</v>
      </c>
      <c r="D545" s="37">
        <v>1</v>
      </c>
      <c r="E545" s="39">
        <v>1260</v>
      </c>
      <c r="F545" s="51">
        <v>4.1595123460588199E-4</v>
      </c>
      <c r="G545" s="37">
        <v>227800</v>
      </c>
    </row>
    <row r="546" spans="1:7" ht="15" customHeight="1" x14ac:dyDescent="0.3">
      <c r="A546" s="32" t="s">
        <v>3593</v>
      </c>
      <c r="B546" s="31">
        <v>227800</v>
      </c>
      <c r="C546" s="31">
        <v>1</v>
      </c>
      <c r="D546" s="31">
        <v>1</v>
      </c>
      <c r="E546" s="33">
        <v>461.89800000000002</v>
      </c>
      <c r="F546" s="49">
        <v>4.1595123460588199E-4</v>
      </c>
      <c r="G546" s="31">
        <v>227800</v>
      </c>
    </row>
    <row r="547" spans="1:7" ht="15" customHeight="1" x14ac:dyDescent="0.3">
      <c r="A547" s="38" t="s">
        <v>4004</v>
      </c>
      <c r="B547" s="37">
        <v>227800</v>
      </c>
      <c r="C547" s="37">
        <v>1</v>
      </c>
      <c r="D547" s="37">
        <v>1</v>
      </c>
      <c r="E547" s="39">
        <v>1489</v>
      </c>
      <c r="F547" s="51">
        <v>4.1595123460588199E-4</v>
      </c>
      <c r="G547" s="37">
        <v>227800</v>
      </c>
    </row>
    <row r="548" spans="1:7" ht="15" customHeight="1" x14ac:dyDescent="0.3">
      <c r="A548" s="32" t="s">
        <v>3347</v>
      </c>
      <c r="B548" s="31">
        <v>227800</v>
      </c>
      <c r="C548" s="31">
        <v>1</v>
      </c>
      <c r="D548" s="31">
        <v>1</v>
      </c>
      <c r="E548" s="33">
        <v>1400</v>
      </c>
      <c r="F548" s="49">
        <v>4.1595123460588199E-4</v>
      </c>
      <c r="G548" s="31">
        <v>227800</v>
      </c>
    </row>
    <row r="549" spans="1:7" ht="15" customHeight="1" x14ac:dyDescent="0.3">
      <c r="A549" s="38" t="s">
        <v>3846</v>
      </c>
      <c r="B549" s="37">
        <v>227800</v>
      </c>
      <c r="C549" s="37">
        <v>1</v>
      </c>
      <c r="D549" s="37">
        <v>1</v>
      </c>
      <c r="E549" s="39">
        <v>480</v>
      </c>
      <c r="F549" s="51">
        <v>4.1595123460588199E-4</v>
      </c>
      <c r="G549" s="37">
        <v>227800</v>
      </c>
    </row>
    <row r="550" spans="1:7" ht="15" customHeight="1" x14ac:dyDescent="0.3">
      <c r="A550" s="32" t="s">
        <v>3664</v>
      </c>
      <c r="B550" s="31">
        <v>227800</v>
      </c>
      <c r="C550" s="31">
        <v>1</v>
      </c>
      <c r="D550" s="31">
        <v>1</v>
      </c>
      <c r="E550" s="33">
        <v>920</v>
      </c>
      <c r="F550" s="49">
        <v>4.1595123460588199E-4</v>
      </c>
      <c r="G550" s="31">
        <v>227800</v>
      </c>
    </row>
    <row r="551" spans="1:7" ht="15" customHeight="1" x14ac:dyDescent="0.3">
      <c r="A551" s="38" t="s">
        <v>3015</v>
      </c>
      <c r="B551" s="37">
        <v>227800</v>
      </c>
      <c r="C551" s="37">
        <v>1</v>
      </c>
      <c r="D551" s="37">
        <v>1</v>
      </c>
      <c r="E551" s="39">
        <v>1.6</v>
      </c>
      <c r="F551" s="51">
        <v>4.1595123460588199E-4</v>
      </c>
      <c r="G551" s="37">
        <v>227800</v>
      </c>
    </row>
    <row r="552" spans="1:7" ht="15" customHeight="1" x14ac:dyDescent="0.3">
      <c r="A552" s="32" t="s">
        <v>5234</v>
      </c>
      <c r="B552" s="31">
        <v>227800</v>
      </c>
      <c r="C552" s="31">
        <v>1</v>
      </c>
      <c r="D552" s="31">
        <v>1</v>
      </c>
      <c r="E552" s="33">
        <v>425</v>
      </c>
      <c r="F552" s="49">
        <v>4.1595123460588199E-4</v>
      </c>
      <c r="G552" s="31">
        <v>227800</v>
      </c>
    </row>
    <row r="553" spans="1:7" ht="15" customHeight="1" x14ac:dyDescent="0.3">
      <c r="A553" s="38" t="s">
        <v>3406</v>
      </c>
      <c r="B553" s="37">
        <v>227800</v>
      </c>
      <c r="C553" s="37">
        <v>1</v>
      </c>
      <c r="D553" s="37">
        <v>1</v>
      </c>
      <c r="E553" s="39">
        <v>4048</v>
      </c>
      <c r="F553" s="51">
        <v>4.1595123460588199E-4</v>
      </c>
      <c r="G553" s="37">
        <v>227800</v>
      </c>
    </row>
    <row r="554" spans="1:7" ht="15" customHeight="1" x14ac:dyDescent="0.3">
      <c r="A554" s="32" t="s">
        <v>4318</v>
      </c>
      <c r="B554" s="31">
        <v>227800</v>
      </c>
      <c r="C554" s="31">
        <v>1</v>
      </c>
      <c r="D554" s="31">
        <v>1</v>
      </c>
      <c r="E554" s="33">
        <v>547</v>
      </c>
      <c r="F554" s="49">
        <v>4.1595123460588199E-4</v>
      </c>
      <c r="G554" s="31">
        <v>227800</v>
      </c>
    </row>
    <row r="555" spans="1:7" ht="15" customHeight="1" x14ac:dyDescent="0.3">
      <c r="A555" s="38" t="s">
        <v>3154</v>
      </c>
      <c r="B555" s="37">
        <v>227000</v>
      </c>
      <c r="C555" s="37">
        <v>1</v>
      </c>
      <c r="D555" s="37">
        <v>1</v>
      </c>
      <c r="E555" s="39">
        <v>420</v>
      </c>
      <c r="F555" s="51">
        <v>4.1449047522184001E-4</v>
      </c>
      <c r="G555" s="37">
        <v>227000</v>
      </c>
    </row>
    <row r="556" spans="1:7" ht="15" customHeight="1" x14ac:dyDescent="0.3">
      <c r="A556" s="32" t="s">
        <v>2969</v>
      </c>
      <c r="B556" s="31">
        <v>225800</v>
      </c>
      <c r="C556" s="31">
        <v>1</v>
      </c>
      <c r="D556" s="31">
        <v>1</v>
      </c>
      <c r="E556" s="33">
        <v>3114</v>
      </c>
      <c r="F556" s="49">
        <v>4.1229933614577699E-4</v>
      </c>
      <c r="G556" s="31">
        <v>225800</v>
      </c>
    </row>
    <row r="557" spans="1:7" ht="15" customHeight="1" x14ac:dyDescent="0.3">
      <c r="A557" s="38" t="s">
        <v>4328</v>
      </c>
      <c r="B557" s="37">
        <v>225000</v>
      </c>
      <c r="C557" s="37">
        <v>1</v>
      </c>
      <c r="D557" s="37">
        <v>1</v>
      </c>
      <c r="E557" s="39">
        <v>1305.2</v>
      </c>
      <c r="F557" s="51">
        <v>4.1083857676173599E-4</v>
      </c>
      <c r="G557" s="37">
        <v>225000</v>
      </c>
    </row>
    <row r="558" spans="1:7" ht="15" customHeight="1" x14ac:dyDescent="0.3">
      <c r="A558" s="32" t="s">
        <v>4923</v>
      </c>
      <c r="B558" s="31">
        <v>225000</v>
      </c>
      <c r="C558" s="31">
        <v>1</v>
      </c>
      <c r="D558" s="31">
        <v>1</v>
      </c>
      <c r="E558" s="33">
        <v>545</v>
      </c>
      <c r="F558" s="49">
        <v>4.1083857676173599E-4</v>
      </c>
      <c r="G558" s="31">
        <v>225000</v>
      </c>
    </row>
    <row r="559" spans="1:7" ht="15" customHeight="1" x14ac:dyDescent="0.3">
      <c r="A559" s="38" t="s">
        <v>3095</v>
      </c>
      <c r="B559" s="37">
        <v>225000</v>
      </c>
      <c r="C559" s="37">
        <v>1</v>
      </c>
      <c r="D559" s="37">
        <v>1</v>
      </c>
      <c r="E559" s="39">
        <v>1.27</v>
      </c>
      <c r="F559" s="51">
        <v>4.1083857676173599E-4</v>
      </c>
      <c r="G559" s="37">
        <v>225000</v>
      </c>
    </row>
    <row r="560" spans="1:7" ht="15" customHeight="1" x14ac:dyDescent="0.3">
      <c r="A560" s="32" t="s">
        <v>4525</v>
      </c>
      <c r="B560" s="31">
        <v>225000</v>
      </c>
      <c r="C560" s="31">
        <v>1</v>
      </c>
      <c r="D560" s="31">
        <v>1</v>
      </c>
      <c r="E560" s="33">
        <v>401</v>
      </c>
      <c r="F560" s="49">
        <v>4.1083857676173599E-4</v>
      </c>
      <c r="G560" s="31">
        <v>225000</v>
      </c>
    </row>
    <row r="561" spans="1:7" ht="15" customHeight="1" x14ac:dyDescent="0.3">
      <c r="A561" s="38" t="s">
        <v>3989</v>
      </c>
      <c r="B561" s="37">
        <v>225000</v>
      </c>
      <c r="C561" s="37">
        <v>1</v>
      </c>
      <c r="D561" s="37">
        <v>1</v>
      </c>
      <c r="E561" s="39">
        <v>3180</v>
      </c>
      <c r="F561" s="51">
        <v>4.1083857676173599E-4</v>
      </c>
      <c r="G561" s="37">
        <v>225000</v>
      </c>
    </row>
    <row r="562" spans="1:7" ht="15" customHeight="1" x14ac:dyDescent="0.3">
      <c r="A562" s="32" t="s">
        <v>3756</v>
      </c>
      <c r="B562" s="31">
        <v>225000</v>
      </c>
      <c r="C562" s="31">
        <v>1</v>
      </c>
      <c r="D562" s="31">
        <v>1</v>
      </c>
      <c r="E562" s="33">
        <v>986</v>
      </c>
      <c r="F562" s="49">
        <v>4.1083857676173599E-4</v>
      </c>
      <c r="G562" s="31">
        <v>225000</v>
      </c>
    </row>
    <row r="563" spans="1:7" ht="15" customHeight="1" x14ac:dyDescent="0.3">
      <c r="A563" s="38" t="s">
        <v>3559</v>
      </c>
      <c r="B563" s="37">
        <v>225000</v>
      </c>
      <c r="C563" s="37">
        <v>1</v>
      </c>
      <c r="D563" s="37">
        <v>1</v>
      </c>
      <c r="E563" s="39">
        <v>3626</v>
      </c>
      <c r="F563" s="51">
        <v>4.1083857676173599E-4</v>
      </c>
      <c r="G563" s="37">
        <v>225000</v>
      </c>
    </row>
    <row r="564" spans="1:7" ht="15" customHeight="1" x14ac:dyDescent="0.3">
      <c r="A564" s="32" t="s">
        <v>2884</v>
      </c>
      <c r="B564" s="31">
        <v>225000</v>
      </c>
      <c r="C564" s="31">
        <v>1</v>
      </c>
      <c r="D564" s="31">
        <v>1</v>
      </c>
      <c r="E564" s="33">
        <v>295.5</v>
      </c>
      <c r="F564" s="49">
        <v>4.1083857676173599E-4</v>
      </c>
      <c r="G564" s="31">
        <v>225000</v>
      </c>
    </row>
    <row r="565" spans="1:7" ht="15" customHeight="1" x14ac:dyDescent="0.3">
      <c r="A565" s="38" t="s">
        <v>4551</v>
      </c>
      <c r="B565" s="37">
        <v>225000</v>
      </c>
      <c r="C565" s="37">
        <v>1</v>
      </c>
      <c r="D565" s="37">
        <v>1</v>
      </c>
      <c r="E565" s="39">
        <v>3285</v>
      </c>
      <c r="F565" s="51">
        <v>4.1083857676173599E-4</v>
      </c>
      <c r="G565" s="37">
        <v>225000</v>
      </c>
    </row>
    <row r="566" spans="1:7" ht="15" customHeight="1" x14ac:dyDescent="0.3">
      <c r="A566" s="32" t="s">
        <v>5401</v>
      </c>
      <c r="B566" s="31">
        <v>225000</v>
      </c>
      <c r="C566" s="31">
        <v>1</v>
      </c>
      <c r="D566" s="31">
        <v>1</v>
      </c>
      <c r="E566" s="33">
        <v>624</v>
      </c>
      <c r="F566" s="49">
        <v>4.1083857676173599E-4</v>
      </c>
      <c r="G566" s="31">
        <v>225000</v>
      </c>
    </row>
    <row r="567" spans="1:7" ht="15" customHeight="1" x14ac:dyDescent="0.3">
      <c r="A567" s="38" t="s">
        <v>1685</v>
      </c>
      <c r="B567" s="37">
        <v>219260</v>
      </c>
      <c r="C567" s="37">
        <v>1</v>
      </c>
      <c r="D567" s="37">
        <v>1</v>
      </c>
      <c r="E567" s="39">
        <v>136.99</v>
      </c>
      <c r="F567" s="51">
        <v>4.0035762818123598E-4</v>
      </c>
      <c r="G567" s="37">
        <v>219260</v>
      </c>
    </row>
    <row r="568" spans="1:7" ht="15" customHeight="1" x14ac:dyDescent="0.3">
      <c r="A568" s="32" t="s">
        <v>2372</v>
      </c>
      <c r="B568" s="31">
        <v>219260</v>
      </c>
      <c r="C568" s="31">
        <v>1</v>
      </c>
      <c r="D568" s="31">
        <v>1</v>
      </c>
      <c r="E568" s="33">
        <v>260</v>
      </c>
      <c r="F568" s="49">
        <v>4.0035762818123598E-4</v>
      </c>
      <c r="G568" s="31">
        <v>219260</v>
      </c>
    </row>
    <row r="569" spans="1:7" ht="15" customHeight="1" x14ac:dyDescent="0.3">
      <c r="A569" s="38" t="s">
        <v>2465</v>
      </c>
      <c r="B569" s="37">
        <v>219260</v>
      </c>
      <c r="C569" s="37">
        <v>1</v>
      </c>
      <c r="D569" s="37">
        <v>1</v>
      </c>
      <c r="E569" s="39">
        <v>860</v>
      </c>
      <c r="F569" s="51">
        <v>4.0035762818123598E-4</v>
      </c>
      <c r="G569" s="37">
        <v>219260</v>
      </c>
    </row>
    <row r="570" spans="1:7" ht="15" customHeight="1" x14ac:dyDescent="0.3">
      <c r="A570" s="32" t="s">
        <v>2872</v>
      </c>
      <c r="B570" s="31">
        <v>219260</v>
      </c>
      <c r="C570" s="31">
        <v>1</v>
      </c>
      <c r="D570" s="31">
        <v>1</v>
      </c>
      <c r="E570" s="33">
        <v>800</v>
      </c>
      <c r="F570" s="49">
        <v>4.0035762818123598E-4</v>
      </c>
      <c r="G570" s="31">
        <v>219260</v>
      </c>
    </row>
    <row r="571" spans="1:7" ht="15" customHeight="1" x14ac:dyDescent="0.3">
      <c r="A571" s="38" t="s">
        <v>1579</v>
      </c>
      <c r="B571" s="37">
        <v>219260</v>
      </c>
      <c r="C571" s="37">
        <v>1</v>
      </c>
      <c r="D571" s="37">
        <v>1</v>
      </c>
      <c r="E571" s="39">
        <v>1064</v>
      </c>
      <c r="F571" s="51">
        <v>4.0035762818123598E-4</v>
      </c>
      <c r="G571" s="37">
        <v>219260</v>
      </c>
    </row>
    <row r="572" spans="1:7" ht="15" customHeight="1" x14ac:dyDescent="0.3">
      <c r="A572" s="32" t="s">
        <v>2067</v>
      </c>
      <c r="B572" s="31">
        <v>219260</v>
      </c>
      <c r="C572" s="31">
        <v>1</v>
      </c>
      <c r="D572" s="31">
        <v>1</v>
      </c>
      <c r="E572" s="33">
        <v>219</v>
      </c>
      <c r="F572" s="49">
        <v>4.0035762818123598E-4</v>
      </c>
      <c r="G572" s="31">
        <v>219260</v>
      </c>
    </row>
    <row r="573" spans="1:7" ht="15" customHeight="1" x14ac:dyDescent="0.3">
      <c r="A573" s="38" t="s">
        <v>2694</v>
      </c>
      <c r="B573" s="37">
        <v>219260</v>
      </c>
      <c r="C573" s="37">
        <v>1</v>
      </c>
      <c r="D573" s="37">
        <v>1</v>
      </c>
      <c r="E573" s="39">
        <v>1360</v>
      </c>
      <c r="F573" s="51">
        <v>4.0035762818123598E-4</v>
      </c>
      <c r="G573" s="37">
        <v>219260</v>
      </c>
    </row>
    <row r="574" spans="1:7" ht="15" customHeight="1" x14ac:dyDescent="0.3">
      <c r="A574" s="32" t="s">
        <v>2386</v>
      </c>
      <c r="B574" s="31">
        <v>219260</v>
      </c>
      <c r="C574" s="31">
        <v>1</v>
      </c>
      <c r="D574" s="31">
        <v>1</v>
      </c>
      <c r="E574" s="33">
        <v>1588.0429999999999</v>
      </c>
      <c r="F574" s="49">
        <v>4.0035762818123598E-4</v>
      </c>
      <c r="G574" s="31">
        <v>219260</v>
      </c>
    </row>
    <row r="575" spans="1:7" ht="15" customHeight="1" x14ac:dyDescent="0.3">
      <c r="A575" s="38" t="s">
        <v>1987</v>
      </c>
      <c r="B575" s="37">
        <v>219260</v>
      </c>
      <c r="C575" s="37">
        <v>1</v>
      </c>
      <c r="D575" s="37">
        <v>1</v>
      </c>
      <c r="E575" s="39">
        <v>3570</v>
      </c>
      <c r="F575" s="51">
        <v>4.0035762818123598E-4</v>
      </c>
      <c r="G575" s="37">
        <v>219260</v>
      </c>
    </row>
    <row r="576" spans="1:7" ht="15" customHeight="1" x14ac:dyDescent="0.3">
      <c r="A576" s="32" t="s">
        <v>2137</v>
      </c>
      <c r="B576" s="31">
        <v>219260</v>
      </c>
      <c r="C576" s="31">
        <v>1</v>
      </c>
      <c r="D576" s="31">
        <v>1</v>
      </c>
      <c r="E576" s="33">
        <v>199</v>
      </c>
      <c r="F576" s="49">
        <v>4.0035762818123598E-4</v>
      </c>
      <c r="G576" s="31">
        <v>219260</v>
      </c>
    </row>
    <row r="577" spans="1:7" ht="15" customHeight="1" x14ac:dyDescent="0.3">
      <c r="A577" s="38" t="s">
        <v>1025</v>
      </c>
      <c r="B577" s="37">
        <v>219260</v>
      </c>
      <c r="C577" s="37">
        <v>1</v>
      </c>
      <c r="D577" s="37">
        <v>1</v>
      </c>
      <c r="E577" s="39">
        <v>1000</v>
      </c>
      <c r="F577" s="51">
        <v>4.0035762818123598E-4</v>
      </c>
      <c r="G577" s="37">
        <v>219260</v>
      </c>
    </row>
    <row r="578" spans="1:7" ht="15" customHeight="1" x14ac:dyDescent="0.3">
      <c r="A578" s="32" t="s">
        <v>2062</v>
      </c>
      <c r="B578" s="31">
        <v>219260</v>
      </c>
      <c r="C578" s="31">
        <v>1</v>
      </c>
      <c r="D578" s="31">
        <v>1</v>
      </c>
      <c r="E578" s="33">
        <v>1200</v>
      </c>
      <c r="F578" s="49">
        <v>4.0035762818123598E-4</v>
      </c>
      <c r="G578" s="31">
        <v>219260</v>
      </c>
    </row>
    <row r="579" spans="1:7" ht="15" customHeight="1" x14ac:dyDescent="0.3">
      <c r="A579" s="38" t="s">
        <v>1326</v>
      </c>
      <c r="B579" s="37">
        <v>219260</v>
      </c>
      <c r="C579" s="37">
        <v>1</v>
      </c>
      <c r="D579" s="37">
        <v>1</v>
      </c>
      <c r="E579" s="39">
        <v>1170</v>
      </c>
      <c r="F579" s="51">
        <v>4.0035762818123598E-4</v>
      </c>
      <c r="G579" s="37">
        <v>219260</v>
      </c>
    </row>
    <row r="580" spans="1:7" ht="15" customHeight="1" x14ac:dyDescent="0.3">
      <c r="A580" s="32" t="s">
        <v>1604</v>
      </c>
      <c r="B580" s="31">
        <v>219260</v>
      </c>
      <c r="C580" s="31">
        <v>1</v>
      </c>
      <c r="D580" s="31">
        <v>1</v>
      </c>
      <c r="E580" s="33">
        <v>919</v>
      </c>
      <c r="F580" s="49">
        <v>4.0035762818123598E-4</v>
      </c>
      <c r="G580" s="31">
        <v>219260</v>
      </c>
    </row>
    <row r="581" spans="1:7" ht="15" customHeight="1" x14ac:dyDescent="0.3">
      <c r="A581" s="38" t="s">
        <v>2030</v>
      </c>
      <c r="B581" s="37">
        <v>219260</v>
      </c>
      <c r="C581" s="37">
        <v>1</v>
      </c>
      <c r="D581" s="37">
        <v>1</v>
      </c>
      <c r="E581" s="39">
        <v>1695</v>
      </c>
      <c r="F581" s="51">
        <v>4.0035762818123598E-4</v>
      </c>
      <c r="G581" s="37">
        <v>219260</v>
      </c>
    </row>
    <row r="582" spans="1:7" ht="15" customHeight="1" x14ac:dyDescent="0.3">
      <c r="A582" s="32" t="s">
        <v>1478</v>
      </c>
      <c r="B582" s="31">
        <v>219260</v>
      </c>
      <c r="C582" s="31">
        <v>1</v>
      </c>
      <c r="D582" s="31">
        <v>1</v>
      </c>
      <c r="E582" s="33">
        <v>2085</v>
      </c>
      <c r="F582" s="49">
        <v>4.0035762818123598E-4</v>
      </c>
      <c r="G582" s="31">
        <v>219260</v>
      </c>
    </row>
    <row r="583" spans="1:7" ht="15" customHeight="1" x14ac:dyDescent="0.3">
      <c r="A583" s="38" t="s">
        <v>1217</v>
      </c>
      <c r="B583" s="37">
        <v>219260</v>
      </c>
      <c r="C583" s="37">
        <v>1</v>
      </c>
      <c r="D583" s="37">
        <v>1</v>
      </c>
      <c r="E583" s="39">
        <v>1361</v>
      </c>
      <c r="F583" s="51">
        <v>4.0035762818123598E-4</v>
      </c>
      <c r="G583" s="37">
        <v>219260</v>
      </c>
    </row>
    <row r="584" spans="1:7" ht="15" customHeight="1" x14ac:dyDescent="0.3">
      <c r="A584" s="32" t="s">
        <v>474</v>
      </c>
      <c r="B584" s="31">
        <v>218000</v>
      </c>
      <c r="C584" s="31">
        <v>1</v>
      </c>
      <c r="D584" s="31">
        <v>1</v>
      </c>
      <c r="E584" s="33">
        <v>1316</v>
      </c>
      <c r="F584" s="49">
        <v>3.98056932151371E-4</v>
      </c>
      <c r="G584" s="31">
        <v>218000</v>
      </c>
    </row>
    <row r="585" spans="1:7" ht="15" customHeight="1" x14ac:dyDescent="0.3">
      <c r="A585" s="38" t="s">
        <v>2737</v>
      </c>
      <c r="B585" s="37">
        <v>217000</v>
      </c>
      <c r="C585" s="37">
        <v>1</v>
      </c>
      <c r="D585" s="37">
        <v>1</v>
      </c>
      <c r="E585" s="39">
        <v>3324</v>
      </c>
      <c r="F585" s="51">
        <v>3.9623098292131798E-4</v>
      </c>
      <c r="G585" s="37">
        <v>217000</v>
      </c>
    </row>
    <row r="586" spans="1:7" ht="15" customHeight="1" x14ac:dyDescent="0.3">
      <c r="A586" s="32" t="s">
        <v>136</v>
      </c>
      <c r="B586" s="31">
        <v>216000</v>
      </c>
      <c r="C586" s="31">
        <v>2</v>
      </c>
      <c r="D586" s="31">
        <v>1</v>
      </c>
      <c r="E586" s="33">
        <v>597</v>
      </c>
      <c r="F586" s="49">
        <v>3.9440503369126599E-4</v>
      </c>
      <c r="G586" s="31">
        <v>108000</v>
      </c>
    </row>
    <row r="587" spans="1:7" ht="15" customHeight="1" x14ac:dyDescent="0.3">
      <c r="A587" s="38" t="s">
        <v>213</v>
      </c>
      <c r="B587" s="37">
        <v>216000</v>
      </c>
      <c r="C587" s="37">
        <v>2</v>
      </c>
      <c r="D587" s="37">
        <v>1</v>
      </c>
      <c r="E587" s="39">
        <v>46</v>
      </c>
      <c r="F587" s="51">
        <v>3.9440503369126599E-4</v>
      </c>
      <c r="G587" s="37">
        <v>108000</v>
      </c>
    </row>
    <row r="588" spans="1:7" ht="15" customHeight="1" x14ac:dyDescent="0.3">
      <c r="A588" s="32" t="s">
        <v>1699</v>
      </c>
      <c r="B588" s="31">
        <v>209000</v>
      </c>
      <c r="C588" s="31">
        <v>1</v>
      </c>
      <c r="D588" s="31">
        <v>1</v>
      </c>
      <c r="E588" s="33">
        <v>922</v>
      </c>
      <c r="F588" s="49">
        <v>3.81623389080901E-4</v>
      </c>
      <c r="G588" s="31">
        <v>209000</v>
      </c>
    </row>
    <row r="589" spans="1:7" ht="15" customHeight="1" x14ac:dyDescent="0.3">
      <c r="A589" s="38" t="s">
        <v>1204</v>
      </c>
      <c r="B589" s="37">
        <v>209000</v>
      </c>
      <c r="C589" s="37">
        <v>1</v>
      </c>
      <c r="D589" s="37">
        <v>1</v>
      </c>
      <c r="E589" s="39">
        <v>566</v>
      </c>
      <c r="F589" s="51">
        <v>3.81623389080901E-4</v>
      </c>
      <c r="G589" s="37">
        <v>209000</v>
      </c>
    </row>
    <row r="590" spans="1:7" ht="15" customHeight="1" x14ac:dyDescent="0.3">
      <c r="A590" s="32" t="s">
        <v>835</v>
      </c>
      <c r="B590" s="31">
        <v>209000</v>
      </c>
      <c r="C590" s="31">
        <v>1</v>
      </c>
      <c r="D590" s="31">
        <v>1</v>
      </c>
      <c r="E590" s="33">
        <v>1751</v>
      </c>
      <c r="F590" s="49">
        <v>3.81623389080901E-4</v>
      </c>
      <c r="G590" s="31">
        <v>209000</v>
      </c>
    </row>
    <row r="591" spans="1:7" ht="15" customHeight="1" x14ac:dyDescent="0.3">
      <c r="A591" s="38" t="s">
        <v>2134</v>
      </c>
      <c r="B591" s="37">
        <v>209000</v>
      </c>
      <c r="C591" s="37">
        <v>1</v>
      </c>
      <c r="D591" s="37">
        <v>1</v>
      </c>
      <c r="E591" s="39">
        <v>1778</v>
      </c>
      <c r="F591" s="51">
        <v>3.81623389080901E-4</v>
      </c>
      <c r="G591" s="37">
        <v>209000</v>
      </c>
    </row>
    <row r="592" spans="1:7" ht="15" customHeight="1" x14ac:dyDescent="0.3">
      <c r="A592" s="32" t="s">
        <v>1211</v>
      </c>
      <c r="B592" s="31">
        <v>209000</v>
      </c>
      <c r="C592" s="31">
        <v>1</v>
      </c>
      <c r="D592" s="31">
        <v>1</v>
      </c>
      <c r="E592" s="33">
        <v>2909</v>
      </c>
      <c r="F592" s="49">
        <v>3.81623389080901E-4</v>
      </c>
      <c r="G592" s="31">
        <v>209000</v>
      </c>
    </row>
    <row r="593" spans="1:7" ht="15" customHeight="1" x14ac:dyDescent="0.3">
      <c r="A593" s="38" t="s">
        <v>1090</v>
      </c>
      <c r="B593" s="37">
        <v>209000</v>
      </c>
      <c r="C593" s="37">
        <v>1</v>
      </c>
      <c r="D593" s="37">
        <v>1</v>
      </c>
      <c r="E593" s="39">
        <v>237.1</v>
      </c>
      <c r="F593" s="51">
        <v>3.81623389080901E-4</v>
      </c>
      <c r="G593" s="37">
        <v>209000</v>
      </c>
    </row>
    <row r="594" spans="1:7" ht="15" customHeight="1" x14ac:dyDescent="0.3">
      <c r="A594" s="32" t="s">
        <v>2146</v>
      </c>
      <c r="B594" s="31">
        <v>209000</v>
      </c>
      <c r="C594" s="31">
        <v>1</v>
      </c>
      <c r="D594" s="31">
        <v>1</v>
      </c>
      <c r="E594" s="33">
        <v>1084</v>
      </c>
      <c r="F594" s="49">
        <v>3.81623389080901E-4</v>
      </c>
      <c r="G594" s="31">
        <v>209000</v>
      </c>
    </row>
    <row r="595" spans="1:7" ht="15" customHeight="1" x14ac:dyDescent="0.3">
      <c r="A595" s="38" t="s">
        <v>785</v>
      </c>
      <c r="B595" s="37">
        <v>200260</v>
      </c>
      <c r="C595" s="37">
        <v>1</v>
      </c>
      <c r="D595" s="37">
        <v>1</v>
      </c>
      <c r="E595" s="39">
        <v>1189</v>
      </c>
      <c r="F595" s="51">
        <v>3.6566459281024499E-4</v>
      </c>
      <c r="G595" s="37">
        <v>200260</v>
      </c>
    </row>
    <row r="596" spans="1:7" ht="15" customHeight="1" x14ac:dyDescent="0.3">
      <c r="A596" s="32" t="s">
        <v>220</v>
      </c>
      <c r="B596" s="31">
        <v>200260</v>
      </c>
      <c r="C596" s="31">
        <v>1</v>
      </c>
      <c r="D596" s="31">
        <v>1</v>
      </c>
      <c r="E596" s="33">
        <v>720</v>
      </c>
      <c r="F596" s="49">
        <v>3.6566459281024499E-4</v>
      </c>
      <c r="G596" s="31">
        <v>200260</v>
      </c>
    </row>
    <row r="597" spans="1:7" ht="15" customHeight="1" x14ac:dyDescent="0.3">
      <c r="A597" s="38" t="s">
        <v>796</v>
      </c>
      <c r="B597" s="37">
        <v>200260</v>
      </c>
      <c r="C597" s="37">
        <v>1</v>
      </c>
      <c r="D597" s="37">
        <v>1</v>
      </c>
      <c r="E597" s="39">
        <v>914</v>
      </c>
      <c r="F597" s="51">
        <v>3.6566459281024499E-4</v>
      </c>
      <c r="G597" s="37">
        <v>200260</v>
      </c>
    </row>
    <row r="598" spans="1:7" ht="15" customHeight="1" x14ac:dyDescent="0.3">
      <c r="A598" s="32" t="s">
        <v>482</v>
      </c>
      <c r="B598" s="31">
        <v>200260</v>
      </c>
      <c r="C598" s="31">
        <v>1</v>
      </c>
      <c r="D598" s="31">
        <v>1</v>
      </c>
      <c r="E598" s="33">
        <v>713</v>
      </c>
      <c r="F598" s="49">
        <v>3.6566459281024499E-4</v>
      </c>
      <c r="G598" s="31">
        <v>200260</v>
      </c>
    </row>
    <row r="599" spans="1:7" ht="15" customHeight="1" x14ac:dyDescent="0.3">
      <c r="A599" s="38" t="s">
        <v>496</v>
      </c>
      <c r="B599" s="37">
        <v>200260</v>
      </c>
      <c r="C599" s="37">
        <v>1</v>
      </c>
      <c r="D599" s="37">
        <v>1</v>
      </c>
      <c r="E599" s="39">
        <v>2550</v>
      </c>
      <c r="F599" s="51">
        <v>3.6566459281024499E-4</v>
      </c>
      <c r="G599" s="37">
        <v>200260</v>
      </c>
    </row>
    <row r="600" spans="1:7" ht="15" customHeight="1" x14ac:dyDescent="0.3">
      <c r="A600" s="32" t="s">
        <v>692</v>
      </c>
      <c r="B600" s="31">
        <v>200260</v>
      </c>
      <c r="C600" s="31">
        <v>1</v>
      </c>
      <c r="D600" s="31">
        <v>1</v>
      </c>
      <c r="E600" s="33">
        <v>1890</v>
      </c>
      <c r="F600" s="49">
        <v>3.6566459281024499E-4</v>
      </c>
      <c r="G600" s="31">
        <v>200260</v>
      </c>
    </row>
    <row r="601" spans="1:7" ht="15" customHeight="1" x14ac:dyDescent="0.3">
      <c r="A601" s="38" t="s">
        <v>735</v>
      </c>
      <c r="B601" s="37">
        <v>200260</v>
      </c>
      <c r="C601" s="37">
        <v>1</v>
      </c>
      <c r="D601" s="37">
        <v>1</v>
      </c>
      <c r="E601" s="39">
        <v>625</v>
      </c>
      <c r="F601" s="51">
        <v>3.6566459281024499E-4</v>
      </c>
      <c r="G601" s="37">
        <v>200260</v>
      </c>
    </row>
    <row r="602" spans="1:7" ht="15" customHeight="1" x14ac:dyDescent="0.3">
      <c r="A602" s="32" t="s">
        <v>385</v>
      </c>
      <c r="B602" s="31">
        <v>200260</v>
      </c>
      <c r="C602" s="31">
        <v>1</v>
      </c>
      <c r="D602" s="31">
        <v>1</v>
      </c>
      <c r="E602" s="33">
        <v>1356.12</v>
      </c>
      <c r="F602" s="49">
        <v>3.6566459281024499E-4</v>
      </c>
      <c r="G602" s="31">
        <v>200260</v>
      </c>
    </row>
    <row r="603" spans="1:7" ht="15" customHeight="1" x14ac:dyDescent="0.3">
      <c r="A603" s="38" t="s">
        <v>4163</v>
      </c>
      <c r="B603" s="37">
        <v>199800</v>
      </c>
      <c r="C603" s="37">
        <v>1</v>
      </c>
      <c r="D603" s="37">
        <v>1</v>
      </c>
      <c r="E603" s="39">
        <v>230</v>
      </c>
      <c r="F603" s="51">
        <v>3.64824656164421E-4</v>
      </c>
      <c r="G603" s="37">
        <v>199800</v>
      </c>
    </row>
    <row r="604" spans="1:7" ht="15" customHeight="1" x14ac:dyDescent="0.3">
      <c r="A604" s="32" t="s">
        <v>5306</v>
      </c>
      <c r="B604" s="31">
        <v>199800</v>
      </c>
      <c r="C604" s="31">
        <v>1</v>
      </c>
      <c r="D604" s="31">
        <v>1</v>
      </c>
      <c r="E604" s="33">
        <v>1582</v>
      </c>
      <c r="F604" s="49">
        <v>3.64824656164421E-4</v>
      </c>
      <c r="G604" s="31">
        <v>199800</v>
      </c>
    </row>
    <row r="605" spans="1:7" ht="15" customHeight="1" x14ac:dyDescent="0.3">
      <c r="A605" s="38" t="s">
        <v>4613</v>
      </c>
      <c r="B605" s="37">
        <v>199800</v>
      </c>
      <c r="C605" s="37">
        <v>1</v>
      </c>
      <c r="D605" s="37">
        <v>1</v>
      </c>
      <c r="E605" s="39">
        <v>1383</v>
      </c>
      <c r="F605" s="51">
        <v>3.64824656164421E-4</v>
      </c>
      <c r="G605" s="37">
        <v>199800</v>
      </c>
    </row>
    <row r="606" spans="1:7" ht="15" customHeight="1" x14ac:dyDescent="0.3">
      <c r="A606" s="32" t="s">
        <v>3397</v>
      </c>
      <c r="B606" s="31">
        <v>199800</v>
      </c>
      <c r="C606" s="31">
        <v>1</v>
      </c>
      <c r="D606" s="31">
        <v>1</v>
      </c>
      <c r="E606" s="33">
        <v>429.5</v>
      </c>
      <c r="F606" s="49">
        <v>3.64824656164421E-4</v>
      </c>
      <c r="G606" s="31">
        <v>199800</v>
      </c>
    </row>
    <row r="607" spans="1:7" ht="15" customHeight="1" x14ac:dyDescent="0.3">
      <c r="A607" s="38" t="s">
        <v>3458</v>
      </c>
      <c r="B607" s="37">
        <v>199800</v>
      </c>
      <c r="C607" s="37">
        <v>1</v>
      </c>
      <c r="D607" s="37">
        <v>1</v>
      </c>
      <c r="E607" s="39">
        <v>689</v>
      </c>
      <c r="F607" s="51">
        <v>3.64824656164421E-4</v>
      </c>
      <c r="G607" s="37">
        <v>199800</v>
      </c>
    </row>
    <row r="608" spans="1:7" ht="15" customHeight="1" x14ac:dyDescent="0.3">
      <c r="A608" s="32" t="s">
        <v>3256</v>
      </c>
      <c r="B608" s="31">
        <v>199800</v>
      </c>
      <c r="C608" s="31">
        <v>1</v>
      </c>
      <c r="D608" s="31">
        <v>1</v>
      </c>
      <c r="E608" s="33">
        <v>170</v>
      </c>
      <c r="F608" s="49">
        <v>3.64824656164421E-4</v>
      </c>
      <c r="G608" s="31">
        <v>199800</v>
      </c>
    </row>
    <row r="609" spans="1:7" ht="15" customHeight="1" x14ac:dyDescent="0.3">
      <c r="A609" s="38" t="s">
        <v>3552</v>
      </c>
      <c r="B609" s="37">
        <v>199800</v>
      </c>
      <c r="C609" s="37">
        <v>1</v>
      </c>
      <c r="D609" s="37">
        <v>1</v>
      </c>
      <c r="E609" s="39">
        <v>1428.7080000000001</v>
      </c>
      <c r="F609" s="51">
        <v>3.64824656164421E-4</v>
      </c>
      <c r="G609" s="37">
        <v>199800</v>
      </c>
    </row>
    <row r="610" spans="1:7" ht="15" customHeight="1" x14ac:dyDescent="0.3">
      <c r="A610" s="32" t="s">
        <v>4984</v>
      </c>
      <c r="B610" s="31">
        <v>199800</v>
      </c>
      <c r="C610" s="31">
        <v>1</v>
      </c>
      <c r="D610" s="31">
        <v>1</v>
      </c>
      <c r="E610" s="33">
        <v>558</v>
      </c>
      <c r="F610" s="49">
        <v>3.64824656164421E-4</v>
      </c>
      <c r="G610" s="31">
        <v>199800</v>
      </c>
    </row>
    <row r="611" spans="1:7" ht="15" customHeight="1" x14ac:dyDescent="0.3">
      <c r="A611" s="38" t="s">
        <v>3453</v>
      </c>
      <c r="B611" s="37">
        <v>199800</v>
      </c>
      <c r="C611" s="37">
        <v>1</v>
      </c>
      <c r="D611" s="37">
        <v>1</v>
      </c>
      <c r="E611" s="39">
        <v>730</v>
      </c>
      <c r="F611" s="51">
        <v>3.64824656164421E-4</v>
      </c>
      <c r="G611" s="37">
        <v>199800</v>
      </c>
    </row>
    <row r="612" spans="1:7" ht="15" customHeight="1" x14ac:dyDescent="0.3">
      <c r="A612" s="32" t="s">
        <v>5266</v>
      </c>
      <c r="B612" s="31">
        <v>199800</v>
      </c>
      <c r="C612" s="31">
        <v>1</v>
      </c>
      <c r="D612" s="31">
        <v>1</v>
      </c>
      <c r="E612" s="33">
        <v>1106</v>
      </c>
      <c r="F612" s="49">
        <v>3.64824656164421E-4</v>
      </c>
      <c r="G612" s="31">
        <v>199800</v>
      </c>
    </row>
    <row r="613" spans="1:7" ht="15" customHeight="1" x14ac:dyDescent="0.3">
      <c r="A613" s="38" t="s">
        <v>4786</v>
      </c>
      <c r="B613" s="37">
        <v>199800</v>
      </c>
      <c r="C613" s="37">
        <v>1</v>
      </c>
      <c r="D613" s="37">
        <v>1</v>
      </c>
      <c r="E613" s="39">
        <v>1300</v>
      </c>
      <c r="F613" s="51">
        <v>3.64824656164421E-4</v>
      </c>
      <c r="G613" s="37">
        <v>199800</v>
      </c>
    </row>
    <row r="614" spans="1:7" ht="15" customHeight="1" x14ac:dyDescent="0.3">
      <c r="A614" s="32" t="s">
        <v>4477</v>
      </c>
      <c r="B614" s="31">
        <v>199800</v>
      </c>
      <c r="C614" s="31">
        <v>1</v>
      </c>
      <c r="D614" s="31">
        <v>1</v>
      </c>
      <c r="E614" s="33">
        <v>1625</v>
      </c>
      <c r="F614" s="49">
        <v>3.64824656164421E-4</v>
      </c>
      <c r="G614" s="31">
        <v>199800</v>
      </c>
    </row>
    <row r="615" spans="1:7" ht="15" customHeight="1" x14ac:dyDescent="0.3">
      <c r="A615" s="38" t="s">
        <v>46</v>
      </c>
      <c r="B615" s="37">
        <v>199800</v>
      </c>
      <c r="C615" s="37">
        <v>1</v>
      </c>
      <c r="D615" s="37">
        <v>1</v>
      </c>
      <c r="E615" s="39">
        <v>455</v>
      </c>
      <c r="F615" s="51">
        <v>3.64824656164421E-4</v>
      </c>
      <c r="G615" s="37">
        <v>199800</v>
      </c>
    </row>
    <row r="616" spans="1:7" ht="15" customHeight="1" x14ac:dyDescent="0.3">
      <c r="A616" s="32" t="s">
        <v>4111</v>
      </c>
      <c r="B616" s="31">
        <v>199800</v>
      </c>
      <c r="C616" s="31">
        <v>1</v>
      </c>
      <c r="D616" s="31">
        <v>1</v>
      </c>
      <c r="E616" s="33">
        <v>1658</v>
      </c>
      <c r="F616" s="49">
        <v>3.64824656164421E-4</v>
      </c>
      <c r="G616" s="31">
        <v>199800</v>
      </c>
    </row>
    <row r="617" spans="1:7" ht="15" customHeight="1" x14ac:dyDescent="0.3">
      <c r="A617" s="38" t="s">
        <v>4140</v>
      </c>
      <c r="B617" s="37">
        <v>199800</v>
      </c>
      <c r="C617" s="37">
        <v>1</v>
      </c>
      <c r="D617" s="37">
        <v>1</v>
      </c>
      <c r="E617" s="39">
        <v>255</v>
      </c>
      <c r="F617" s="51">
        <v>3.64824656164421E-4</v>
      </c>
      <c r="G617" s="37">
        <v>199800</v>
      </c>
    </row>
    <row r="618" spans="1:7" ht="15" customHeight="1" x14ac:dyDescent="0.3">
      <c r="A618" s="32" t="s">
        <v>3168</v>
      </c>
      <c r="B618" s="31">
        <v>199800</v>
      </c>
      <c r="C618" s="31">
        <v>1</v>
      </c>
      <c r="D618" s="31">
        <v>1</v>
      </c>
      <c r="E618" s="33">
        <v>645</v>
      </c>
      <c r="F618" s="49">
        <v>3.64824656164421E-4</v>
      </c>
      <c r="G618" s="31">
        <v>199800</v>
      </c>
    </row>
    <row r="619" spans="1:7" ht="15" customHeight="1" x14ac:dyDescent="0.3">
      <c r="A619" s="38" t="s">
        <v>3175</v>
      </c>
      <c r="B619" s="37">
        <v>199800</v>
      </c>
      <c r="C619" s="37">
        <v>1</v>
      </c>
      <c r="D619" s="37">
        <v>1</v>
      </c>
      <c r="E619" s="39">
        <v>3320</v>
      </c>
      <c r="F619" s="51">
        <v>3.64824656164421E-4</v>
      </c>
      <c r="G619" s="37">
        <v>199800</v>
      </c>
    </row>
    <row r="620" spans="1:7" ht="15" customHeight="1" x14ac:dyDescent="0.3">
      <c r="A620" s="32" t="s">
        <v>3890</v>
      </c>
      <c r="B620" s="31">
        <v>199800</v>
      </c>
      <c r="C620" s="31">
        <v>1</v>
      </c>
      <c r="D620" s="31">
        <v>1</v>
      </c>
      <c r="E620" s="33">
        <v>1778.0820000000001</v>
      </c>
      <c r="F620" s="49">
        <v>3.64824656164421E-4</v>
      </c>
      <c r="G620" s="31">
        <v>199800</v>
      </c>
    </row>
    <row r="621" spans="1:7" ht="15" customHeight="1" x14ac:dyDescent="0.3">
      <c r="A621" s="38" t="s">
        <v>3224</v>
      </c>
      <c r="B621" s="37">
        <v>199800</v>
      </c>
      <c r="C621" s="37">
        <v>1</v>
      </c>
      <c r="D621" s="37">
        <v>1</v>
      </c>
      <c r="E621" s="39">
        <v>290</v>
      </c>
      <c r="F621" s="51">
        <v>3.64824656164421E-4</v>
      </c>
      <c r="G621" s="37">
        <v>199800</v>
      </c>
    </row>
    <row r="622" spans="1:7" ht="15" customHeight="1" x14ac:dyDescent="0.3">
      <c r="A622" s="32" t="s">
        <v>3288</v>
      </c>
      <c r="B622" s="31">
        <v>199800</v>
      </c>
      <c r="C622" s="31">
        <v>1</v>
      </c>
      <c r="D622" s="31">
        <v>1</v>
      </c>
      <c r="E622" s="33">
        <v>403</v>
      </c>
      <c r="F622" s="49">
        <v>3.64824656164421E-4</v>
      </c>
      <c r="G622" s="31">
        <v>199800</v>
      </c>
    </row>
    <row r="623" spans="1:7" ht="15" customHeight="1" x14ac:dyDescent="0.3">
      <c r="A623" s="38" t="s">
        <v>4055</v>
      </c>
      <c r="B623" s="37">
        <v>199800</v>
      </c>
      <c r="C623" s="37">
        <v>1</v>
      </c>
      <c r="D623" s="37">
        <v>1</v>
      </c>
      <c r="E623" s="39">
        <v>499</v>
      </c>
      <c r="F623" s="51">
        <v>3.64824656164421E-4</v>
      </c>
      <c r="G623" s="37">
        <v>199800</v>
      </c>
    </row>
    <row r="624" spans="1:7" ht="15" customHeight="1" x14ac:dyDescent="0.3">
      <c r="A624" s="32" t="s">
        <v>4487</v>
      </c>
      <c r="B624" s="31">
        <v>199800</v>
      </c>
      <c r="C624" s="31">
        <v>1</v>
      </c>
      <c r="D624" s="31">
        <v>1</v>
      </c>
      <c r="E624" s="33">
        <v>587</v>
      </c>
      <c r="F624" s="49">
        <v>3.64824656164421E-4</v>
      </c>
      <c r="G624" s="31">
        <v>199800</v>
      </c>
    </row>
    <row r="625" spans="1:7" ht="15" customHeight="1" x14ac:dyDescent="0.3">
      <c r="A625" s="38" t="s">
        <v>3650</v>
      </c>
      <c r="B625" s="37">
        <v>199800</v>
      </c>
      <c r="C625" s="37">
        <v>1</v>
      </c>
      <c r="D625" s="37">
        <v>1</v>
      </c>
      <c r="E625" s="39">
        <v>1044</v>
      </c>
      <c r="F625" s="51">
        <v>3.64824656164421E-4</v>
      </c>
      <c r="G625" s="37">
        <v>199800</v>
      </c>
    </row>
    <row r="626" spans="1:7" ht="15" customHeight="1" x14ac:dyDescent="0.3">
      <c r="A626" s="32" t="s">
        <v>3868</v>
      </c>
      <c r="B626" s="31">
        <v>199800</v>
      </c>
      <c r="C626" s="31">
        <v>1</v>
      </c>
      <c r="D626" s="31">
        <v>1</v>
      </c>
      <c r="E626" s="33">
        <v>435</v>
      </c>
      <c r="F626" s="49">
        <v>3.64824656164421E-4</v>
      </c>
      <c r="G626" s="31">
        <v>199800</v>
      </c>
    </row>
    <row r="627" spans="1:7" ht="15" customHeight="1" x14ac:dyDescent="0.3">
      <c r="A627" s="38" t="s">
        <v>3234</v>
      </c>
      <c r="B627" s="37">
        <v>199800</v>
      </c>
      <c r="C627" s="37">
        <v>1</v>
      </c>
      <c r="D627" s="37">
        <v>1</v>
      </c>
      <c r="E627" s="39">
        <v>510</v>
      </c>
      <c r="F627" s="51">
        <v>3.64824656164421E-4</v>
      </c>
      <c r="G627" s="37">
        <v>199800</v>
      </c>
    </row>
    <row r="628" spans="1:7" ht="15" customHeight="1" x14ac:dyDescent="0.3">
      <c r="A628" s="32" t="s">
        <v>3522</v>
      </c>
      <c r="B628" s="31">
        <v>199800</v>
      </c>
      <c r="C628" s="31">
        <v>1</v>
      </c>
      <c r="D628" s="31">
        <v>1</v>
      </c>
      <c r="E628" s="33">
        <v>472</v>
      </c>
      <c r="F628" s="49">
        <v>3.64824656164421E-4</v>
      </c>
      <c r="G628" s="31">
        <v>199800</v>
      </c>
    </row>
    <row r="629" spans="1:7" ht="15" customHeight="1" x14ac:dyDescent="0.3">
      <c r="A629" s="38" t="s">
        <v>4798</v>
      </c>
      <c r="B629" s="37">
        <v>199800</v>
      </c>
      <c r="C629" s="37">
        <v>1</v>
      </c>
      <c r="D629" s="37">
        <v>1</v>
      </c>
      <c r="E629" s="39">
        <v>320</v>
      </c>
      <c r="F629" s="51">
        <v>3.64824656164421E-4</v>
      </c>
      <c r="G629" s="37">
        <v>199800</v>
      </c>
    </row>
    <row r="630" spans="1:7" ht="15" customHeight="1" x14ac:dyDescent="0.3">
      <c r="A630" s="32" t="s">
        <v>5156</v>
      </c>
      <c r="B630" s="31">
        <v>199800</v>
      </c>
      <c r="C630" s="31">
        <v>1</v>
      </c>
      <c r="D630" s="31">
        <v>1</v>
      </c>
      <c r="E630" s="33">
        <v>670</v>
      </c>
      <c r="F630" s="49">
        <v>3.64824656164421E-4</v>
      </c>
      <c r="G630" s="31">
        <v>199800</v>
      </c>
    </row>
    <row r="631" spans="1:7" ht="15" customHeight="1" x14ac:dyDescent="0.3">
      <c r="A631" s="38" t="s">
        <v>3843</v>
      </c>
      <c r="B631" s="37">
        <v>199800</v>
      </c>
      <c r="C631" s="37">
        <v>1</v>
      </c>
      <c r="D631" s="37">
        <v>1</v>
      </c>
      <c r="E631" s="39">
        <v>566</v>
      </c>
      <c r="F631" s="51">
        <v>3.64824656164421E-4</v>
      </c>
      <c r="G631" s="37">
        <v>199800</v>
      </c>
    </row>
    <row r="632" spans="1:7" ht="15" customHeight="1" x14ac:dyDescent="0.3">
      <c r="A632" s="32" t="s">
        <v>3228</v>
      </c>
      <c r="B632" s="31">
        <v>199800</v>
      </c>
      <c r="C632" s="31">
        <v>1</v>
      </c>
      <c r="D632" s="31">
        <v>1</v>
      </c>
      <c r="E632" s="33">
        <v>380</v>
      </c>
      <c r="F632" s="49">
        <v>3.64824656164421E-4</v>
      </c>
      <c r="G632" s="31">
        <v>199800</v>
      </c>
    </row>
    <row r="633" spans="1:7" ht="15" customHeight="1" x14ac:dyDescent="0.3">
      <c r="A633" s="38" t="s">
        <v>3380</v>
      </c>
      <c r="B633" s="37">
        <v>199800</v>
      </c>
      <c r="C633" s="37">
        <v>1</v>
      </c>
      <c r="D633" s="37">
        <v>1</v>
      </c>
      <c r="E633" s="39">
        <v>1150</v>
      </c>
      <c r="F633" s="51">
        <v>3.64824656164421E-4</v>
      </c>
      <c r="G633" s="37">
        <v>199800</v>
      </c>
    </row>
    <row r="634" spans="1:7" ht="15" customHeight="1" x14ac:dyDescent="0.3">
      <c r="A634" s="32" t="s">
        <v>5329</v>
      </c>
      <c r="B634" s="31">
        <v>199800</v>
      </c>
      <c r="C634" s="31">
        <v>1</v>
      </c>
      <c r="D634" s="31">
        <v>1</v>
      </c>
      <c r="E634" s="33">
        <v>308</v>
      </c>
      <c r="F634" s="49">
        <v>3.64824656164421E-4</v>
      </c>
      <c r="G634" s="31">
        <v>199800</v>
      </c>
    </row>
    <row r="635" spans="1:7" ht="15" customHeight="1" x14ac:dyDescent="0.3">
      <c r="A635" s="38" t="s">
        <v>4572</v>
      </c>
      <c r="B635" s="37">
        <v>199800</v>
      </c>
      <c r="C635" s="37">
        <v>1</v>
      </c>
      <c r="D635" s="37">
        <v>1</v>
      </c>
      <c r="E635" s="39">
        <v>324</v>
      </c>
      <c r="F635" s="51">
        <v>3.64824656164421E-4</v>
      </c>
      <c r="G635" s="37">
        <v>199800</v>
      </c>
    </row>
    <row r="636" spans="1:7" ht="15" customHeight="1" x14ac:dyDescent="0.3">
      <c r="A636" s="32" t="s">
        <v>4135</v>
      </c>
      <c r="B636" s="31">
        <v>199800</v>
      </c>
      <c r="C636" s="31">
        <v>1</v>
      </c>
      <c r="D636" s="31">
        <v>1</v>
      </c>
      <c r="E636" s="33">
        <v>233</v>
      </c>
      <c r="F636" s="49">
        <v>3.64824656164421E-4</v>
      </c>
      <c r="G636" s="31">
        <v>199800</v>
      </c>
    </row>
    <row r="637" spans="1:7" ht="15" customHeight="1" x14ac:dyDescent="0.3">
      <c r="A637" s="38" t="s">
        <v>3961</v>
      </c>
      <c r="B637" s="37">
        <v>199800</v>
      </c>
      <c r="C637" s="37">
        <v>1</v>
      </c>
      <c r="D637" s="37">
        <v>1</v>
      </c>
      <c r="E637" s="39">
        <v>1370.5</v>
      </c>
      <c r="F637" s="51">
        <v>3.64824656164421E-4</v>
      </c>
      <c r="G637" s="37">
        <v>199800</v>
      </c>
    </row>
    <row r="638" spans="1:7" ht="15" customHeight="1" x14ac:dyDescent="0.3">
      <c r="A638" s="32" t="s">
        <v>3690</v>
      </c>
      <c r="B638" s="31">
        <v>199800</v>
      </c>
      <c r="C638" s="31">
        <v>1</v>
      </c>
      <c r="D638" s="31">
        <v>1</v>
      </c>
      <c r="E638" s="33">
        <v>1655</v>
      </c>
      <c r="F638" s="49">
        <v>3.64824656164421E-4</v>
      </c>
      <c r="G638" s="31">
        <v>199800</v>
      </c>
    </row>
    <row r="639" spans="1:7" ht="15" customHeight="1" x14ac:dyDescent="0.3">
      <c r="A639" s="38" t="s">
        <v>2976</v>
      </c>
      <c r="B639" s="37">
        <v>199800</v>
      </c>
      <c r="C639" s="37">
        <v>1</v>
      </c>
      <c r="D639" s="37">
        <v>1</v>
      </c>
      <c r="E639" s="39">
        <v>323</v>
      </c>
      <c r="F639" s="51">
        <v>3.64824656164421E-4</v>
      </c>
      <c r="G639" s="37">
        <v>199800</v>
      </c>
    </row>
    <row r="640" spans="1:7" ht="15" customHeight="1" x14ac:dyDescent="0.3">
      <c r="A640" s="32" t="s">
        <v>4692</v>
      </c>
      <c r="B640" s="31">
        <v>199800</v>
      </c>
      <c r="C640" s="31">
        <v>1</v>
      </c>
      <c r="D640" s="31">
        <v>1</v>
      </c>
      <c r="E640" s="33">
        <v>392.65499999999997</v>
      </c>
      <c r="F640" s="49">
        <v>3.64824656164421E-4</v>
      </c>
      <c r="G640" s="31">
        <v>199800</v>
      </c>
    </row>
    <row r="641" spans="1:7" ht="15" customHeight="1" x14ac:dyDescent="0.3">
      <c r="A641" s="38" t="s">
        <v>5351</v>
      </c>
      <c r="B641" s="37">
        <v>199800</v>
      </c>
      <c r="C641" s="37">
        <v>1</v>
      </c>
      <c r="D641" s="37">
        <v>1</v>
      </c>
      <c r="E641" s="39">
        <v>762</v>
      </c>
      <c r="F641" s="51">
        <v>3.64824656164421E-4</v>
      </c>
      <c r="G641" s="37">
        <v>199800</v>
      </c>
    </row>
    <row r="642" spans="1:7" ht="15" customHeight="1" x14ac:dyDescent="0.3">
      <c r="A642" s="32" t="s">
        <v>4752</v>
      </c>
      <c r="B642" s="31">
        <v>199800</v>
      </c>
      <c r="C642" s="31">
        <v>1</v>
      </c>
      <c r="D642" s="31">
        <v>1</v>
      </c>
      <c r="E642" s="33">
        <v>1008</v>
      </c>
      <c r="F642" s="49">
        <v>3.64824656164421E-4</v>
      </c>
      <c r="G642" s="31">
        <v>199800</v>
      </c>
    </row>
    <row r="643" spans="1:7" ht="15" customHeight="1" x14ac:dyDescent="0.3">
      <c r="A643" s="38" t="s">
        <v>4100</v>
      </c>
      <c r="B643" s="37">
        <v>199800</v>
      </c>
      <c r="C643" s="37">
        <v>1</v>
      </c>
      <c r="D643" s="37">
        <v>1</v>
      </c>
      <c r="E643" s="39">
        <v>172</v>
      </c>
      <c r="F643" s="51">
        <v>3.64824656164421E-4</v>
      </c>
      <c r="G643" s="37">
        <v>199800</v>
      </c>
    </row>
    <row r="644" spans="1:7" ht="15" customHeight="1" x14ac:dyDescent="0.3">
      <c r="A644" s="32" t="s">
        <v>3669</v>
      </c>
      <c r="B644" s="31">
        <v>199800</v>
      </c>
      <c r="C644" s="31">
        <v>1</v>
      </c>
      <c r="D644" s="31">
        <v>1</v>
      </c>
      <c r="E644" s="33">
        <v>471</v>
      </c>
      <c r="F644" s="49">
        <v>3.64824656164421E-4</v>
      </c>
      <c r="G644" s="31">
        <v>199800</v>
      </c>
    </row>
    <row r="645" spans="1:7" ht="15" customHeight="1" x14ac:dyDescent="0.3">
      <c r="A645" s="38" t="s">
        <v>3452</v>
      </c>
      <c r="B645" s="37">
        <v>199800</v>
      </c>
      <c r="C645" s="37">
        <v>1</v>
      </c>
      <c r="D645" s="37">
        <v>1</v>
      </c>
      <c r="E645" s="39">
        <v>958</v>
      </c>
      <c r="F645" s="51">
        <v>3.64824656164421E-4</v>
      </c>
      <c r="G645" s="37">
        <v>199800</v>
      </c>
    </row>
    <row r="646" spans="1:7" ht="15" customHeight="1" x14ac:dyDescent="0.3">
      <c r="A646" s="32" t="s">
        <v>3800</v>
      </c>
      <c r="B646" s="31">
        <v>197800</v>
      </c>
      <c r="C646" s="31">
        <v>1</v>
      </c>
      <c r="D646" s="31">
        <v>1</v>
      </c>
      <c r="E646" s="33">
        <v>680</v>
      </c>
      <c r="F646" s="49">
        <v>3.6117275770431698E-4</v>
      </c>
      <c r="G646" s="31">
        <v>197800</v>
      </c>
    </row>
    <row r="647" spans="1:7" ht="15" customHeight="1" x14ac:dyDescent="0.3">
      <c r="A647" s="38" t="s">
        <v>5048</v>
      </c>
      <c r="B647" s="37">
        <v>197000</v>
      </c>
      <c r="C647" s="37">
        <v>1</v>
      </c>
      <c r="D647" s="37">
        <v>1</v>
      </c>
      <c r="E647" s="39">
        <v>1977.7560000000001</v>
      </c>
      <c r="F647" s="51">
        <v>3.59711998320275E-4</v>
      </c>
      <c r="G647" s="37">
        <v>197000</v>
      </c>
    </row>
    <row r="648" spans="1:7" ht="15" customHeight="1" x14ac:dyDescent="0.3">
      <c r="A648" s="32" t="s">
        <v>3797</v>
      </c>
      <c r="B648" s="31">
        <v>197000</v>
      </c>
      <c r="C648" s="31">
        <v>1</v>
      </c>
      <c r="D648" s="31">
        <v>1</v>
      </c>
      <c r="E648" s="33">
        <v>202.5</v>
      </c>
      <c r="F648" s="49">
        <v>3.59711998320275E-4</v>
      </c>
      <c r="G648" s="31">
        <v>197000</v>
      </c>
    </row>
    <row r="649" spans="1:7" ht="15" customHeight="1" x14ac:dyDescent="0.3">
      <c r="A649" s="38" t="s">
        <v>3819</v>
      </c>
      <c r="B649" s="37">
        <v>197000</v>
      </c>
      <c r="C649" s="37">
        <v>1</v>
      </c>
      <c r="D649" s="37">
        <v>1</v>
      </c>
      <c r="E649" s="39">
        <v>2.7480000000000002</v>
      </c>
      <c r="F649" s="51">
        <v>3.59711998320275E-4</v>
      </c>
      <c r="G649" s="37">
        <v>197000</v>
      </c>
    </row>
    <row r="650" spans="1:7" ht="15" customHeight="1" x14ac:dyDescent="0.3">
      <c r="A650" s="32" t="s">
        <v>4689</v>
      </c>
      <c r="B650" s="31">
        <v>197000</v>
      </c>
      <c r="C650" s="31">
        <v>1</v>
      </c>
      <c r="D650" s="31">
        <v>1</v>
      </c>
      <c r="E650" s="33">
        <v>1582</v>
      </c>
      <c r="F650" s="49">
        <v>3.59711998320275E-4</v>
      </c>
      <c r="G650" s="31">
        <v>197000</v>
      </c>
    </row>
    <row r="651" spans="1:7" ht="15" customHeight="1" x14ac:dyDescent="0.3">
      <c r="A651" s="38" t="s">
        <v>4231</v>
      </c>
      <c r="B651" s="37">
        <v>197000</v>
      </c>
      <c r="C651" s="37">
        <v>1</v>
      </c>
      <c r="D651" s="37">
        <v>1</v>
      </c>
      <c r="E651" s="39">
        <v>300</v>
      </c>
      <c r="F651" s="51">
        <v>3.59711998320275E-4</v>
      </c>
      <c r="G651" s="37">
        <v>197000</v>
      </c>
    </row>
    <row r="652" spans="1:7" ht="15" customHeight="1" x14ac:dyDescent="0.3">
      <c r="A652" s="32" t="s">
        <v>3307</v>
      </c>
      <c r="B652" s="31">
        <v>197000</v>
      </c>
      <c r="C652" s="31">
        <v>1</v>
      </c>
      <c r="D652" s="31">
        <v>1</v>
      </c>
      <c r="E652" s="33">
        <v>2300</v>
      </c>
      <c r="F652" s="49">
        <v>3.59711998320275E-4</v>
      </c>
      <c r="G652" s="31">
        <v>197000</v>
      </c>
    </row>
    <row r="653" spans="1:7" ht="15" customHeight="1" x14ac:dyDescent="0.3">
      <c r="A653" s="38" t="s">
        <v>5082</v>
      </c>
      <c r="B653" s="37">
        <v>197000</v>
      </c>
      <c r="C653" s="37">
        <v>1</v>
      </c>
      <c r="D653" s="37">
        <v>1</v>
      </c>
      <c r="E653" s="39">
        <v>196</v>
      </c>
      <c r="F653" s="51">
        <v>3.59711998320275E-4</v>
      </c>
      <c r="G653" s="37">
        <v>197000</v>
      </c>
    </row>
    <row r="654" spans="1:7" ht="15" customHeight="1" x14ac:dyDescent="0.3">
      <c r="A654" s="32" t="s">
        <v>3324</v>
      </c>
      <c r="B654" s="31">
        <v>197000</v>
      </c>
      <c r="C654" s="31">
        <v>1</v>
      </c>
      <c r="D654" s="31">
        <v>1</v>
      </c>
      <c r="E654" s="33">
        <v>1137</v>
      </c>
      <c r="F654" s="49">
        <v>3.59711998320275E-4</v>
      </c>
      <c r="G654" s="31">
        <v>197000</v>
      </c>
    </row>
    <row r="655" spans="1:7" ht="15" customHeight="1" x14ac:dyDescent="0.3">
      <c r="A655" s="38" t="s">
        <v>4223</v>
      </c>
      <c r="B655" s="37">
        <v>197000</v>
      </c>
      <c r="C655" s="37">
        <v>1</v>
      </c>
      <c r="D655" s="37">
        <v>1</v>
      </c>
      <c r="E655" s="39">
        <v>12500</v>
      </c>
      <c r="F655" s="51">
        <v>3.59711998320275E-4</v>
      </c>
      <c r="G655" s="37">
        <v>197000</v>
      </c>
    </row>
    <row r="656" spans="1:7" ht="15" customHeight="1" x14ac:dyDescent="0.3">
      <c r="A656" s="32" t="s">
        <v>5012</v>
      </c>
      <c r="B656" s="31">
        <v>197000</v>
      </c>
      <c r="C656" s="31">
        <v>1</v>
      </c>
      <c r="D656" s="31">
        <v>1</v>
      </c>
      <c r="E656" s="33">
        <v>828</v>
      </c>
      <c r="F656" s="49">
        <v>3.59711998320275E-4</v>
      </c>
      <c r="G656" s="31">
        <v>197000</v>
      </c>
    </row>
    <row r="657" spans="1:7" ht="15" customHeight="1" x14ac:dyDescent="0.3">
      <c r="A657" s="38" t="s">
        <v>3931</v>
      </c>
      <c r="B657" s="37">
        <v>197000</v>
      </c>
      <c r="C657" s="37">
        <v>1</v>
      </c>
      <c r="D657" s="37">
        <v>1</v>
      </c>
      <c r="E657" s="39">
        <v>250</v>
      </c>
      <c r="F657" s="51">
        <v>3.59711998320275E-4</v>
      </c>
      <c r="G657" s="37">
        <v>197000</v>
      </c>
    </row>
    <row r="658" spans="1:7" ht="15" customHeight="1" x14ac:dyDescent="0.3">
      <c r="A658" s="32" t="s">
        <v>4193</v>
      </c>
      <c r="B658" s="31">
        <v>197000</v>
      </c>
      <c r="C658" s="31">
        <v>1</v>
      </c>
      <c r="D658" s="31">
        <v>1</v>
      </c>
      <c r="E658" s="33">
        <v>950</v>
      </c>
      <c r="F658" s="49">
        <v>3.59711998320275E-4</v>
      </c>
      <c r="G658" s="31">
        <v>197000</v>
      </c>
    </row>
    <row r="659" spans="1:7" ht="15" customHeight="1" x14ac:dyDescent="0.3">
      <c r="A659" s="38" t="s">
        <v>5088</v>
      </c>
      <c r="B659" s="37">
        <v>197000</v>
      </c>
      <c r="C659" s="37">
        <v>1</v>
      </c>
      <c r="D659" s="37">
        <v>1</v>
      </c>
      <c r="E659" s="39">
        <v>980</v>
      </c>
      <c r="F659" s="51">
        <v>3.59711998320275E-4</v>
      </c>
      <c r="G659" s="37">
        <v>197000</v>
      </c>
    </row>
    <row r="660" spans="1:7" ht="15" customHeight="1" x14ac:dyDescent="0.3">
      <c r="A660" s="32" t="s">
        <v>4778</v>
      </c>
      <c r="B660" s="31">
        <v>197000</v>
      </c>
      <c r="C660" s="31">
        <v>1</v>
      </c>
      <c r="D660" s="31">
        <v>1</v>
      </c>
      <c r="E660" s="33">
        <v>170</v>
      </c>
      <c r="F660" s="49">
        <v>3.59711998320275E-4</v>
      </c>
      <c r="G660" s="31">
        <v>197000</v>
      </c>
    </row>
    <row r="661" spans="1:7" ht="15" customHeight="1" x14ac:dyDescent="0.3">
      <c r="A661" s="38" t="s">
        <v>3790</v>
      </c>
      <c r="B661" s="37">
        <v>197000</v>
      </c>
      <c r="C661" s="37">
        <v>1</v>
      </c>
      <c r="D661" s="37">
        <v>1</v>
      </c>
      <c r="E661" s="39">
        <v>2305</v>
      </c>
      <c r="F661" s="51">
        <v>3.59711998320275E-4</v>
      </c>
      <c r="G661" s="37">
        <v>197000</v>
      </c>
    </row>
    <row r="662" spans="1:7" ht="15" customHeight="1" x14ac:dyDescent="0.3">
      <c r="A662" s="32" t="s">
        <v>4601</v>
      </c>
      <c r="B662" s="31">
        <v>196800</v>
      </c>
      <c r="C662" s="31">
        <v>1</v>
      </c>
      <c r="D662" s="31">
        <v>1</v>
      </c>
      <c r="E662" s="33">
        <v>700</v>
      </c>
      <c r="F662" s="49">
        <v>3.5934680847426499E-4</v>
      </c>
      <c r="G662" s="31">
        <v>196800</v>
      </c>
    </row>
    <row r="663" spans="1:7" ht="15" customHeight="1" x14ac:dyDescent="0.3">
      <c r="A663" s="38" t="s">
        <v>4444</v>
      </c>
      <c r="B663" s="37">
        <v>196800</v>
      </c>
      <c r="C663" s="37">
        <v>1</v>
      </c>
      <c r="D663" s="37">
        <v>1</v>
      </c>
      <c r="E663" s="39">
        <v>360</v>
      </c>
      <c r="F663" s="51">
        <v>3.5934680847426499E-4</v>
      </c>
      <c r="G663" s="37">
        <v>196800</v>
      </c>
    </row>
    <row r="664" spans="1:7" ht="15" customHeight="1" x14ac:dyDescent="0.3">
      <c r="A664" s="32" t="s">
        <v>4252</v>
      </c>
      <c r="B664" s="31">
        <v>196800</v>
      </c>
      <c r="C664" s="31">
        <v>1</v>
      </c>
      <c r="D664" s="31">
        <v>1</v>
      </c>
      <c r="E664" s="33">
        <v>520</v>
      </c>
      <c r="F664" s="49">
        <v>3.5934680847426499E-4</v>
      </c>
      <c r="G664" s="31">
        <v>196800</v>
      </c>
    </row>
    <row r="665" spans="1:7" ht="15" customHeight="1" x14ac:dyDescent="0.3">
      <c r="A665" s="38" t="s">
        <v>1287</v>
      </c>
      <c r="B665" s="37">
        <v>191260</v>
      </c>
      <c r="C665" s="37">
        <v>1</v>
      </c>
      <c r="D665" s="37">
        <v>1</v>
      </c>
      <c r="E665" s="39">
        <v>506</v>
      </c>
      <c r="F665" s="51">
        <v>3.4923104973977602E-4</v>
      </c>
      <c r="G665" s="37">
        <v>191260</v>
      </c>
    </row>
    <row r="666" spans="1:7" ht="15" customHeight="1" x14ac:dyDescent="0.3">
      <c r="A666" s="32" t="s">
        <v>2664</v>
      </c>
      <c r="B666" s="31">
        <v>191260</v>
      </c>
      <c r="C666" s="31">
        <v>1</v>
      </c>
      <c r="D666" s="31">
        <v>1</v>
      </c>
      <c r="E666" s="33">
        <v>978</v>
      </c>
      <c r="F666" s="49">
        <v>3.4923104973977602E-4</v>
      </c>
      <c r="G666" s="31">
        <v>191260</v>
      </c>
    </row>
    <row r="667" spans="1:7" ht="15" customHeight="1" x14ac:dyDescent="0.3">
      <c r="A667" s="38" t="s">
        <v>2536</v>
      </c>
      <c r="B667" s="37">
        <v>191260</v>
      </c>
      <c r="C667" s="37">
        <v>1</v>
      </c>
      <c r="D667" s="37">
        <v>1</v>
      </c>
      <c r="E667" s="39">
        <v>2020</v>
      </c>
      <c r="F667" s="51">
        <v>3.4923104973977602E-4</v>
      </c>
      <c r="G667" s="37">
        <v>191260</v>
      </c>
    </row>
    <row r="668" spans="1:7" ht="15" customHeight="1" x14ac:dyDescent="0.3">
      <c r="A668" s="32" t="s">
        <v>872</v>
      </c>
      <c r="B668" s="31">
        <v>191260</v>
      </c>
      <c r="C668" s="31">
        <v>1</v>
      </c>
      <c r="D668" s="31">
        <v>1</v>
      </c>
      <c r="E668" s="33">
        <v>400</v>
      </c>
      <c r="F668" s="49">
        <v>3.4923104973977602E-4</v>
      </c>
      <c r="G668" s="31">
        <v>191260</v>
      </c>
    </row>
    <row r="669" spans="1:7" ht="15" customHeight="1" x14ac:dyDescent="0.3">
      <c r="A669" s="38" t="s">
        <v>2039</v>
      </c>
      <c r="B669" s="37">
        <v>191260</v>
      </c>
      <c r="C669" s="37">
        <v>1</v>
      </c>
      <c r="D669" s="37">
        <v>1</v>
      </c>
      <c r="E669" s="39">
        <v>2093</v>
      </c>
      <c r="F669" s="51">
        <v>3.4923104973977602E-4</v>
      </c>
      <c r="G669" s="37">
        <v>191260</v>
      </c>
    </row>
    <row r="670" spans="1:7" ht="15" customHeight="1" x14ac:dyDescent="0.3">
      <c r="A670" s="32" t="s">
        <v>865</v>
      </c>
      <c r="B670" s="31">
        <v>191260</v>
      </c>
      <c r="C670" s="31">
        <v>1</v>
      </c>
      <c r="D670" s="31">
        <v>1</v>
      </c>
      <c r="E670" s="33">
        <v>1027</v>
      </c>
      <c r="F670" s="49">
        <v>3.4923104973977602E-4</v>
      </c>
      <c r="G670" s="31">
        <v>191260</v>
      </c>
    </row>
    <row r="671" spans="1:7" ht="15" customHeight="1" x14ac:dyDescent="0.3">
      <c r="A671" s="38" t="s">
        <v>1240</v>
      </c>
      <c r="B671" s="37">
        <v>191260</v>
      </c>
      <c r="C671" s="37">
        <v>1</v>
      </c>
      <c r="D671" s="37">
        <v>1</v>
      </c>
      <c r="E671" s="39">
        <v>1600</v>
      </c>
      <c r="F671" s="51">
        <v>3.4923104973977602E-4</v>
      </c>
      <c r="G671" s="37">
        <v>191260</v>
      </c>
    </row>
    <row r="672" spans="1:7" ht="15" customHeight="1" x14ac:dyDescent="0.3">
      <c r="A672" s="32" t="s">
        <v>2525</v>
      </c>
      <c r="B672" s="31">
        <v>191260</v>
      </c>
      <c r="C672" s="31">
        <v>1</v>
      </c>
      <c r="D672" s="31">
        <v>1</v>
      </c>
      <c r="E672" s="33">
        <v>864</v>
      </c>
      <c r="F672" s="49">
        <v>3.4923104973977602E-4</v>
      </c>
      <c r="G672" s="31">
        <v>191260</v>
      </c>
    </row>
    <row r="673" spans="1:7" ht="15" customHeight="1" x14ac:dyDescent="0.3">
      <c r="A673" s="38" t="s">
        <v>2202</v>
      </c>
      <c r="B673" s="37">
        <v>191260</v>
      </c>
      <c r="C673" s="37">
        <v>1</v>
      </c>
      <c r="D673" s="37">
        <v>1</v>
      </c>
      <c r="E673" s="39">
        <v>850</v>
      </c>
      <c r="F673" s="51">
        <v>3.4923104973977602E-4</v>
      </c>
      <c r="G673" s="37">
        <v>191260</v>
      </c>
    </row>
    <row r="674" spans="1:7" ht="15" customHeight="1" x14ac:dyDescent="0.3">
      <c r="A674" s="32" t="s">
        <v>1635</v>
      </c>
      <c r="B674" s="31">
        <v>191260</v>
      </c>
      <c r="C674" s="31">
        <v>1</v>
      </c>
      <c r="D674" s="31">
        <v>1</v>
      </c>
      <c r="E674" s="33">
        <v>406</v>
      </c>
      <c r="F674" s="49">
        <v>3.4923104973977602E-4</v>
      </c>
      <c r="G674" s="31">
        <v>191260</v>
      </c>
    </row>
    <row r="675" spans="1:7" ht="15" customHeight="1" x14ac:dyDescent="0.3">
      <c r="A675" s="38" t="s">
        <v>2531</v>
      </c>
      <c r="B675" s="37">
        <v>191260</v>
      </c>
      <c r="C675" s="37">
        <v>1</v>
      </c>
      <c r="D675" s="37">
        <v>1</v>
      </c>
      <c r="E675" s="39">
        <v>376</v>
      </c>
      <c r="F675" s="51">
        <v>3.4923104973977602E-4</v>
      </c>
      <c r="G675" s="37">
        <v>191260</v>
      </c>
    </row>
    <row r="676" spans="1:7" ht="15" customHeight="1" x14ac:dyDescent="0.3">
      <c r="A676" s="32" t="s">
        <v>881</v>
      </c>
      <c r="B676" s="31">
        <v>191260</v>
      </c>
      <c r="C676" s="31">
        <v>1</v>
      </c>
      <c r="D676" s="31">
        <v>1</v>
      </c>
      <c r="E676" s="33">
        <v>1064</v>
      </c>
      <c r="F676" s="49">
        <v>3.4923104973977602E-4</v>
      </c>
      <c r="G676" s="31">
        <v>191260</v>
      </c>
    </row>
    <row r="677" spans="1:7" ht="15" customHeight="1" x14ac:dyDescent="0.3">
      <c r="A677" s="38" t="s">
        <v>2869</v>
      </c>
      <c r="B677" s="37">
        <v>191260</v>
      </c>
      <c r="C677" s="37">
        <v>1</v>
      </c>
      <c r="D677" s="37">
        <v>1</v>
      </c>
      <c r="E677" s="39">
        <v>1160</v>
      </c>
      <c r="F677" s="51">
        <v>3.4923104973977602E-4</v>
      </c>
      <c r="G677" s="37">
        <v>191260</v>
      </c>
    </row>
    <row r="678" spans="1:7" ht="15" customHeight="1" x14ac:dyDescent="0.3">
      <c r="A678" s="32" t="s">
        <v>1532</v>
      </c>
      <c r="B678" s="31">
        <v>191260</v>
      </c>
      <c r="C678" s="31">
        <v>1</v>
      </c>
      <c r="D678" s="31">
        <v>1</v>
      </c>
      <c r="E678" s="33">
        <v>1470</v>
      </c>
      <c r="F678" s="49">
        <v>3.4923104973977602E-4</v>
      </c>
      <c r="G678" s="31">
        <v>191260</v>
      </c>
    </row>
    <row r="679" spans="1:7" ht="15" customHeight="1" x14ac:dyDescent="0.3">
      <c r="A679" s="38" t="s">
        <v>1851</v>
      </c>
      <c r="B679" s="37">
        <v>191260</v>
      </c>
      <c r="C679" s="37">
        <v>1</v>
      </c>
      <c r="D679" s="37">
        <v>1</v>
      </c>
      <c r="E679" s="39">
        <v>1807</v>
      </c>
      <c r="F679" s="51">
        <v>3.4923104973977602E-4</v>
      </c>
      <c r="G679" s="37">
        <v>191260</v>
      </c>
    </row>
    <row r="680" spans="1:7" ht="15" customHeight="1" x14ac:dyDescent="0.3">
      <c r="A680" s="32" t="s">
        <v>2674</v>
      </c>
      <c r="B680" s="31">
        <v>191260</v>
      </c>
      <c r="C680" s="31">
        <v>1</v>
      </c>
      <c r="D680" s="31">
        <v>1</v>
      </c>
      <c r="E680" s="33">
        <v>1810</v>
      </c>
      <c r="F680" s="49">
        <v>3.4923104973977602E-4</v>
      </c>
      <c r="G680" s="31">
        <v>191260</v>
      </c>
    </row>
    <row r="681" spans="1:7" ht="15" customHeight="1" x14ac:dyDescent="0.3">
      <c r="A681" s="38" t="s">
        <v>1783</v>
      </c>
      <c r="B681" s="37">
        <v>191260</v>
      </c>
      <c r="C681" s="37">
        <v>1</v>
      </c>
      <c r="D681" s="37">
        <v>1</v>
      </c>
      <c r="E681" s="39">
        <v>1280.46</v>
      </c>
      <c r="F681" s="51">
        <v>3.4923104973977602E-4</v>
      </c>
      <c r="G681" s="37">
        <v>191260</v>
      </c>
    </row>
    <row r="682" spans="1:7" ht="15" customHeight="1" x14ac:dyDescent="0.3">
      <c r="A682" s="32" t="s">
        <v>2155</v>
      </c>
      <c r="B682" s="31">
        <v>191260</v>
      </c>
      <c r="C682" s="31">
        <v>1</v>
      </c>
      <c r="D682" s="31">
        <v>1</v>
      </c>
      <c r="E682" s="33">
        <v>2675</v>
      </c>
      <c r="F682" s="49">
        <v>3.4923104973977602E-4</v>
      </c>
      <c r="G682" s="31">
        <v>191260</v>
      </c>
    </row>
    <row r="683" spans="1:7" ht="15" customHeight="1" x14ac:dyDescent="0.3">
      <c r="A683" s="38" t="s">
        <v>2593</v>
      </c>
      <c r="B683" s="37">
        <v>191260</v>
      </c>
      <c r="C683" s="37">
        <v>1</v>
      </c>
      <c r="D683" s="37">
        <v>1</v>
      </c>
      <c r="E683" s="39">
        <v>1200.2</v>
      </c>
      <c r="F683" s="51">
        <v>3.4923104973977602E-4</v>
      </c>
      <c r="G683" s="37">
        <v>191260</v>
      </c>
    </row>
    <row r="684" spans="1:7" ht="15" customHeight="1" x14ac:dyDescent="0.3">
      <c r="A684" s="32" t="s">
        <v>2013</v>
      </c>
      <c r="B684" s="31">
        <v>191260</v>
      </c>
      <c r="C684" s="31">
        <v>1</v>
      </c>
      <c r="D684" s="31">
        <v>1</v>
      </c>
      <c r="E684" s="33">
        <v>485.5</v>
      </c>
      <c r="F684" s="49">
        <v>3.4923104973977602E-4</v>
      </c>
      <c r="G684" s="31">
        <v>191260</v>
      </c>
    </row>
    <row r="685" spans="1:7" ht="15" customHeight="1" x14ac:dyDescent="0.3">
      <c r="A685" s="38" t="s">
        <v>1638</v>
      </c>
      <c r="B685" s="37">
        <v>191260</v>
      </c>
      <c r="C685" s="37">
        <v>1</v>
      </c>
      <c r="D685" s="37">
        <v>1</v>
      </c>
      <c r="E685" s="39">
        <v>480</v>
      </c>
      <c r="F685" s="51">
        <v>3.4923104973977602E-4</v>
      </c>
      <c r="G685" s="37">
        <v>191260</v>
      </c>
    </row>
    <row r="686" spans="1:7" ht="15" customHeight="1" x14ac:dyDescent="0.3">
      <c r="A686" s="32" t="s">
        <v>2668</v>
      </c>
      <c r="B686" s="31">
        <v>191260</v>
      </c>
      <c r="C686" s="31">
        <v>1</v>
      </c>
      <c r="D686" s="31">
        <v>1</v>
      </c>
      <c r="E686" s="33">
        <v>1964</v>
      </c>
      <c r="F686" s="49">
        <v>3.4923104973977602E-4</v>
      </c>
      <c r="G686" s="31">
        <v>191260</v>
      </c>
    </row>
    <row r="687" spans="1:7" ht="15" customHeight="1" x14ac:dyDescent="0.3">
      <c r="A687" s="38" t="s">
        <v>1930</v>
      </c>
      <c r="B687" s="37">
        <v>191260</v>
      </c>
      <c r="C687" s="37">
        <v>1</v>
      </c>
      <c r="D687" s="37">
        <v>1</v>
      </c>
      <c r="E687" s="39">
        <v>1300</v>
      </c>
      <c r="F687" s="51">
        <v>3.4923104973977602E-4</v>
      </c>
      <c r="G687" s="37">
        <v>191260</v>
      </c>
    </row>
    <row r="688" spans="1:7" ht="15" customHeight="1" x14ac:dyDescent="0.3">
      <c r="A688" s="32" t="s">
        <v>1141</v>
      </c>
      <c r="B688" s="31">
        <v>191260</v>
      </c>
      <c r="C688" s="31">
        <v>1</v>
      </c>
      <c r="D688" s="31">
        <v>1</v>
      </c>
      <c r="E688" s="33">
        <v>1350</v>
      </c>
      <c r="F688" s="49">
        <v>3.4923104973977602E-4</v>
      </c>
      <c r="G688" s="31">
        <v>191260</v>
      </c>
    </row>
    <row r="689" spans="1:7" ht="15" customHeight="1" x14ac:dyDescent="0.3">
      <c r="A689" s="38" t="s">
        <v>2881</v>
      </c>
      <c r="B689" s="37">
        <v>191260</v>
      </c>
      <c r="C689" s="37">
        <v>1</v>
      </c>
      <c r="D689" s="37">
        <v>1</v>
      </c>
      <c r="E689" s="39">
        <v>450</v>
      </c>
      <c r="F689" s="51">
        <v>3.4923104973977602E-4</v>
      </c>
      <c r="G689" s="37">
        <v>191260</v>
      </c>
    </row>
    <row r="690" spans="1:7" ht="15" customHeight="1" x14ac:dyDescent="0.3">
      <c r="A690" s="32" t="s">
        <v>812</v>
      </c>
      <c r="B690" s="31">
        <v>191260</v>
      </c>
      <c r="C690" s="31">
        <v>1</v>
      </c>
      <c r="D690" s="31">
        <v>1</v>
      </c>
      <c r="E690" s="33">
        <v>1836</v>
      </c>
      <c r="F690" s="49">
        <v>3.4923104973977602E-4</v>
      </c>
      <c r="G690" s="31">
        <v>191260</v>
      </c>
    </row>
    <row r="691" spans="1:7" ht="15" customHeight="1" x14ac:dyDescent="0.3">
      <c r="A691" s="38" t="s">
        <v>1138</v>
      </c>
      <c r="B691" s="37">
        <v>191260</v>
      </c>
      <c r="C691" s="37">
        <v>1</v>
      </c>
      <c r="D691" s="37">
        <v>1</v>
      </c>
      <c r="E691" s="39">
        <v>641</v>
      </c>
      <c r="F691" s="51">
        <v>3.4923104973977602E-4</v>
      </c>
      <c r="G691" s="37">
        <v>191260</v>
      </c>
    </row>
    <row r="692" spans="1:7" ht="15" customHeight="1" x14ac:dyDescent="0.3">
      <c r="A692" s="32" t="s">
        <v>2941</v>
      </c>
      <c r="B692" s="31">
        <v>191260</v>
      </c>
      <c r="C692" s="31">
        <v>1</v>
      </c>
      <c r="D692" s="31">
        <v>1</v>
      </c>
      <c r="E692" s="33">
        <v>908</v>
      </c>
      <c r="F692" s="49">
        <v>3.4923104973977602E-4</v>
      </c>
      <c r="G692" s="31">
        <v>191260</v>
      </c>
    </row>
    <row r="693" spans="1:7" ht="15" customHeight="1" x14ac:dyDescent="0.3">
      <c r="A693" s="38" t="s">
        <v>1861</v>
      </c>
      <c r="B693" s="37">
        <v>191260</v>
      </c>
      <c r="C693" s="37">
        <v>1</v>
      </c>
      <c r="D693" s="37">
        <v>1</v>
      </c>
      <c r="E693" s="39">
        <v>940.43</v>
      </c>
      <c r="F693" s="51">
        <v>3.4923104973977602E-4</v>
      </c>
      <c r="G693" s="37">
        <v>191260</v>
      </c>
    </row>
    <row r="694" spans="1:7" ht="15" customHeight="1" x14ac:dyDescent="0.3">
      <c r="A694" s="32" t="s">
        <v>1923</v>
      </c>
      <c r="B694" s="31">
        <v>191260</v>
      </c>
      <c r="C694" s="31">
        <v>1</v>
      </c>
      <c r="D694" s="31">
        <v>1</v>
      </c>
      <c r="E694" s="33">
        <v>3362</v>
      </c>
      <c r="F694" s="49">
        <v>3.4923104973977602E-4</v>
      </c>
      <c r="G694" s="31">
        <v>191260</v>
      </c>
    </row>
    <row r="695" spans="1:7" ht="15" customHeight="1" x14ac:dyDescent="0.3">
      <c r="A695" s="38" t="s">
        <v>2476</v>
      </c>
      <c r="B695" s="37">
        <v>191260</v>
      </c>
      <c r="C695" s="37">
        <v>1</v>
      </c>
      <c r="D695" s="37">
        <v>1</v>
      </c>
      <c r="E695" s="39">
        <v>3245</v>
      </c>
      <c r="F695" s="51">
        <v>3.4923104973977602E-4</v>
      </c>
      <c r="G695" s="37">
        <v>191260</v>
      </c>
    </row>
    <row r="696" spans="1:7" ht="15" customHeight="1" x14ac:dyDescent="0.3">
      <c r="A696" s="32" t="s">
        <v>2140</v>
      </c>
      <c r="B696" s="31">
        <v>191260</v>
      </c>
      <c r="C696" s="31">
        <v>1</v>
      </c>
      <c r="D696" s="31">
        <v>1</v>
      </c>
      <c r="E696" s="33">
        <v>233</v>
      </c>
      <c r="F696" s="49">
        <v>3.4923104973977602E-4</v>
      </c>
      <c r="G696" s="31">
        <v>191260</v>
      </c>
    </row>
    <row r="697" spans="1:7" ht="15" customHeight="1" x14ac:dyDescent="0.3">
      <c r="A697" s="38" t="s">
        <v>2540</v>
      </c>
      <c r="B697" s="37">
        <v>191260</v>
      </c>
      <c r="C697" s="37">
        <v>1</v>
      </c>
      <c r="D697" s="37">
        <v>1</v>
      </c>
      <c r="E697" s="39">
        <v>462</v>
      </c>
      <c r="F697" s="51">
        <v>3.4923104973977602E-4</v>
      </c>
      <c r="G697" s="37">
        <v>191260</v>
      </c>
    </row>
    <row r="698" spans="1:7" ht="15" customHeight="1" x14ac:dyDescent="0.3">
      <c r="A698" s="32" t="s">
        <v>2424</v>
      </c>
      <c r="B698" s="31">
        <v>191260</v>
      </c>
      <c r="C698" s="31">
        <v>1</v>
      </c>
      <c r="D698" s="31">
        <v>1</v>
      </c>
      <c r="E698" s="33">
        <v>743</v>
      </c>
      <c r="F698" s="49">
        <v>3.4923104973977602E-4</v>
      </c>
      <c r="G698" s="31">
        <v>191260</v>
      </c>
    </row>
    <row r="699" spans="1:7" ht="15" customHeight="1" x14ac:dyDescent="0.3">
      <c r="A699" s="38" t="s">
        <v>1098</v>
      </c>
      <c r="B699" s="37">
        <v>191260</v>
      </c>
      <c r="C699" s="37">
        <v>1</v>
      </c>
      <c r="D699" s="37">
        <v>1</v>
      </c>
      <c r="E699" s="39">
        <v>403</v>
      </c>
      <c r="F699" s="51">
        <v>3.4923104973977602E-4</v>
      </c>
      <c r="G699" s="37">
        <v>191260</v>
      </c>
    </row>
    <row r="700" spans="1:7" ht="15" customHeight="1" x14ac:dyDescent="0.3">
      <c r="A700" s="32" t="s">
        <v>726</v>
      </c>
      <c r="B700" s="31">
        <v>190000</v>
      </c>
      <c r="C700" s="31">
        <v>1</v>
      </c>
      <c r="D700" s="31">
        <v>1</v>
      </c>
      <c r="E700" s="33">
        <v>2530</v>
      </c>
      <c r="F700" s="49">
        <v>3.4693035370991001E-4</v>
      </c>
      <c r="G700" s="31">
        <v>190000</v>
      </c>
    </row>
    <row r="701" spans="1:7" ht="15" customHeight="1" x14ac:dyDescent="0.3">
      <c r="A701" s="38" t="s">
        <v>302</v>
      </c>
      <c r="B701" s="37">
        <v>190000</v>
      </c>
      <c r="C701" s="37">
        <v>1</v>
      </c>
      <c r="D701" s="37">
        <v>1</v>
      </c>
      <c r="E701" s="39">
        <v>2010</v>
      </c>
      <c r="F701" s="51">
        <v>3.4693035370991001E-4</v>
      </c>
      <c r="G701" s="37">
        <v>190000</v>
      </c>
    </row>
    <row r="702" spans="1:7" ht="15" customHeight="1" x14ac:dyDescent="0.3">
      <c r="A702" s="32" t="s">
        <v>168</v>
      </c>
      <c r="B702" s="31">
        <v>190000</v>
      </c>
      <c r="C702" s="31">
        <v>1</v>
      </c>
      <c r="D702" s="31">
        <v>1</v>
      </c>
      <c r="E702" s="33">
        <v>924</v>
      </c>
      <c r="F702" s="49">
        <v>3.4693035370991001E-4</v>
      </c>
      <c r="G702" s="31">
        <v>190000</v>
      </c>
    </row>
    <row r="703" spans="1:7" ht="15" customHeight="1" x14ac:dyDescent="0.3">
      <c r="A703" s="38" t="s">
        <v>716</v>
      </c>
      <c r="B703" s="37">
        <v>190000</v>
      </c>
      <c r="C703" s="37">
        <v>1</v>
      </c>
      <c r="D703" s="37">
        <v>1</v>
      </c>
      <c r="E703" s="39">
        <v>600</v>
      </c>
      <c r="F703" s="51">
        <v>3.4693035370991001E-4</v>
      </c>
      <c r="G703" s="37">
        <v>190000</v>
      </c>
    </row>
    <row r="704" spans="1:7" ht="15" customHeight="1" x14ac:dyDescent="0.3">
      <c r="A704" s="32" t="s">
        <v>2461</v>
      </c>
      <c r="B704" s="31">
        <v>189000</v>
      </c>
      <c r="C704" s="31">
        <v>1</v>
      </c>
      <c r="D704" s="31">
        <v>1</v>
      </c>
      <c r="E704" s="33">
        <v>1777</v>
      </c>
      <c r="F704" s="49">
        <v>3.4510440447985802E-4</v>
      </c>
      <c r="G704" s="31">
        <v>189000</v>
      </c>
    </row>
    <row r="705" spans="1:7" ht="15" customHeight="1" x14ac:dyDescent="0.3">
      <c r="A705" s="38" t="s">
        <v>2585</v>
      </c>
      <c r="B705" s="37">
        <v>189000</v>
      </c>
      <c r="C705" s="37">
        <v>1</v>
      </c>
      <c r="D705" s="37">
        <v>1</v>
      </c>
      <c r="E705" s="39">
        <v>2626</v>
      </c>
      <c r="F705" s="51">
        <v>3.4510440447985802E-4</v>
      </c>
      <c r="G705" s="37">
        <v>189000</v>
      </c>
    </row>
    <row r="706" spans="1:7" ht="15" customHeight="1" x14ac:dyDescent="0.3">
      <c r="A706" s="32" t="s">
        <v>2403</v>
      </c>
      <c r="B706" s="31">
        <v>189000</v>
      </c>
      <c r="C706" s="31">
        <v>1</v>
      </c>
      <c r="D706" s="31">
        <v>1</v>
      </c>
      <c r="E706" s="33">
        <v>450</v>
      </c>
      <c r="F706" s="49">
        <v>3.4510440447985802E-4</v>
      </c>
      <c r="G706" s="31">
        <v>189000</v>
      </c>
    </row>
    <row r="707" spans="1:7" ht="15" customHeight="1" x14ac:dyDescent="0.3">
      <c r="A707" s="38" t="s">
        <v>1650</v>
      </c>
      <c r="B707" s="37">
        <v>181000</v>
      </c>
      <c r="C707" s="37">
        <v>1</v>
      </c>
      <c r="D707" s="37">
        <v>1</v>
      </c>
      <c r="E707" s="39">
        <v>550</v>
      </c>
      <c r="F707" s="51">
        <v>3.3049681063944099E-4</v>
      </c>
      <c r="G707" s="37">
        <v>181000</v>
      </c>
    </row>
    <row r="708" spans="1:7" ht="15" customHeight="1" x14ac:dyDescent="0.3">
      <c r="A708" s="32" t="s">
        <v>1072</v>
      </c>
      <c r="B708" s="31">
        <v>181000</v>
      </c>
      <c r="C708" s="31">
        <v>1</v>
      </c>
      <c r="D708" s="31">
        <v>1</v>
      </c>
      <c r="E708" s="33">
        <v>915</v>
      </c>
      <c r="F708" s="49">
        <v>3.3049681063944099E-4</v>
      </c>
      <c r="G708" s="31">
        <v>181000</v>
      </c>
    </row>
    <row r="709" spans="1:7" ht="15" customHeight="1" x14ac:dyDescent="0.3">
      <c r="A709" s="38" t="s">
        <v>948</v>
      </c>
      <c r="B709" s="37">
        <v>181000</v>
      </c>
      <c r="C709" s="37">
        <v>1</v>
      </c>
      <c r="D709" s="37">
        <v>1</v>
      </c>
      <c r="E709" s="39">
        <v>474</v>
      </c>
      <c r="F709" s="51">
        <v>3.3049681063944099E-4</v>
      </c>
      <c r="G709" s="37">
        <v>181000</v>
      </c>
    </row>
    <row r="710" spans="1:7" ht="15" customHeight="1" x14ac:dyDescent="0.3">
      <c r="A710" s="32" t="s">
        <v>1084</v>
      </c>
      <c r="B710" s="31">
        <v>181000</v>
      </c>
      <c r="C710" s="31">
        <v>1</v>
      </c>
      <c r="D710" s="31">
        <v>1</v>
      </c>
      <c r="E710" s="33">
        <v>1530</v>
      </c>
      <c r="F710" s="49">
        <v>3.3049681063944099E-4</v>
      </c>
      <c r="G710" s="31">
        <v>181000</v>
      </c>
    </row>
    <row r="711" spans="1:7" ht="15" customHeight="1" x14ac:dyDescent="0.3">
      <c r="A711" s="38" t="s">
        <v>1961</v>
      </c>
      <c r="B711" s="37">
        <v>181000</v>
      </c>
      <c r="C711" s="37">
        <v>1</v>
      </c>
      <c r="D711" s="37">
        <v>1</v>
      </c>
      <c r="E711" s="39">
        <v>486</v>
      </c>
      <c r="F711" s="51">
        <v>3.3049681063944099E-4</v>
      </c>
      <c r="G711" s="37">
        <v>181000</v>
      </c>
    </row>
    <row r="712" spans="1:7" ht="15" customHeight="1" x14ac:dyDescent="0.3">
      <c r="A712" s="32" t="s">
        <v>1368</v>
      </c>
      <c r="B712" s="31">
        <v>181000</v>
      </c>
      <c r="C712" s="31">
        <v>1</v>
      </c>
      <c r="D712" s="31">
        <v>1</v>
      </c>
      <c r="E712" s="33">
        <v>1862.96</v>
      </c>
      <c r="F712" s="49">
        <v>3.3049681063944099E-4</v>
      </c>
      <c r="G712" s="31">
        <v>181000</v>
      </c>
    </row>
    <row r="713" spans="1:7" ht="15" customHeight="1" x14ac:dyDescent="0.3">
      <c r="A713" s="38" t="s">
        <v>1749</v>
      </c>
      <c r="B713" s="37">
        <v>181000</v>
      </c>
      <c r="C713" s="37">
        <v>1</v>
      </c>
      <c r="D713" s="37">
        <v>1</v>
      </c>
      <c r="E713" s="39">
        <v>338.65</v>
      </c>
      <c r="F713" s="51">
        <v>3.3049681063944099E-4</v>
      </c>
      <c r="G713" s="37">
        <v>181000</v>
      </c>
    </row>
    <row r="714" spans="1:7" ht="15" customHeight="1" x14ac:dyDescent="0.3">
      <c r="A714" s="32" t="s">
        <v>1720</v>
      </c>
      <c r="B714" s="31">
        <v>181000</v>
      </c>
      <c r="C714" s="31">
        <v>1</v>
      </c>
      <c r="D714" s="31">
        <v>1</v>
      </c>
      <c r="E714" s="33">
        <v>1860</v>
      </c>
      <c r="F714" s="49">
        <v>3.3049681063944099E-4</v>
      </c>
      <c r="G714" s="31">
        <v>181000</v>
      </c>
    </row>
    <row r="715" spans="1:7" ht="15" customHeight="1" x14ac:dyDescent="0.3">
      <c r="A715" s="38" t="s">
        <v>1187</v>
      </c>
      <c r="B715" s="37">
        <v>181000</v>
      </c>
      <c r="C715" s="37">
        <v>1</v>
      </c>
      <c r="D715" s="37">
        <v>1</v>
      </c>
      <c r="E715" s="39">
        <v>2565</v>
      </c>
      <c r="F715" s="51">
        <v>3.3049681063944099E-4</v>
      </c>
      <c r="G715" s="37">
        <v>181000</v>
      </c>
    </row>
    <row r="716" spans="1:7" ht="15" customHeight="1" x14ac:dyDescent="0.3">
      <c r="A716" s="32" t="s">
        <v>912</v>
      </c>
      <c r="B716" s="31">
        <v>181000</v>
      </c>
      <c r="C716" s="31">
        <v>1</v>
      </c>
      <c r="D716" s="31">
        <v>1</v>
      </c>
      <c r="E716" s="33">
        <v>547</v>
      </c>
      <c r="F716" s="49">
        <v>3.3049681063944099E-4</v>
      </c>
      <c r="G716" s="31">
        <v>181000</v>
      </c>
    </row>
    <row r="717" spans="1:7" ht="15" customHeight="1" x14ac:dyDescent="0.3">
      <c r="A717" s="38" t="s">
        <v>1331</v>
      </c>
      <c r="B717" s="37">
        <v>181000</v>
      </c>
      <c r="C717" s="37">
        <v>1</v>
      </c>
      <c r="D717" s="37">
        <v>1</v>
      </c>
      <c r="E717" s="39">
        <v>2785</v>
      </c>
      <c r="F717" s="51">
        <v>3.3049681063944099E-4</v>
      </c>
      <c r="G717" s="37">
        <v>181000</v>
      </c>
    </row>
    <row r="718" spans="1:7" ht="15" customHeight="1" x14ac:dyDescent="0.3">
      <c r="A718" s="32" t="s">
        <v>1870</v>
      </c>
      <c r="B718" s="31">
        <v>181000</v>
      </c>
      <c r="C718" s="31">
        <v>1</v>
      </c>
      <c r="D718" s="31">
        <v>1</v>
      </c>
      <c r="E718" s="33">
        <v>1230</v>
      </c>
      <c r="F718" s="49">
        <v>3.3049681063944099E-4</v>
      </c>
      <c r="G718" s="31">
        <v>181000</v>
      </c>
    </row>
    <row r="719" spans="1:7" ht="15" customHeight="1" x14ac:dyDescent="0.3">
      <c r="A719" s="38" t="s">
        <v>976</v>
      </c>
      <c r="B719" s="37">
        <v>181000</v>
      </c>
      <c r="C719" s="37">
        <v>1</v>
      </c>
      <c r="D719" s="37">
        <v>1</v>
      </c>
      <c r="E719" s="39">
        <v>1006.4</v>
      </c>
      <c r="F719" s="51">
        <v>3.3049681063944099E-4</v>
      </c>
      <c r="G719" s="37">
        <v>181000</v>
      </c>
    </row>
    <row r="720" spans="1:7" ht="15" customHeight="1" x14ac:dyDescent="0.3">
      <c r="A720" s="32" t="s">
        <v>745</v>
      </c>
      <c r="B720" s="31">
        <v>172260</v>
      </c>
      <c r="C720" s="31">
        <v>1</v>
      </c>
      <c r="D720" s="31">
        <v>1</v>
      </c>
      <c r="E720" s="33">
        <v>497.11</v>
      </c>
      <c r="F720" s="49">
        <v>3.1453801436878497E-4</v>
      </c>
      <c r="G720" s="31">
        <v>172260</v>
      </c>
    </row>
    <row r="721" spans="1:7" ht="15" customHeight="1" x14ac:dyDescent="0.3">
      <c r="A721" s="38" t="s">
        <v>239</v>
      </c>
      <c r="B721" s="37">
        <v>172260</v>
      </c>
      <c r="C721" s="37">
        <v>1</v>
      </c>
      <c r="D721" s="37">
        <v>1</v>
      </c>
      <c r="E721" s="39">
        <v>593</v>
      </c>
      <c r="F721" s="51">
        <v>3.1453801436878497E-4</v>
      </c>
      <c r="G721" s="37">
        <v>172260</v>
      </c>
    </row>
    <row r="722" spans="1:7" ht="15" customHeight="1" x14ac:dyDescent="0.3">
      <c r="A722" s="32" t="s">
        <v>120</v>
      </c>
      <c r="B722" s="31">
        <v>172260</v>
      </c>
      <c r="C722" s="31">
        <v>1</v>
      </c>
      <c r="D722" s="31">
        <v>1</v>
      </c>
      <c r="E722" s="33">
        <v>761.5</v>
      </c>
      <c r="F722" s="49">
        <v>3.1453801436878497E-4</v>
      </c>
      <c r="G722" s="31">
        <v>172260</v>
      </c>
    </row>
    <row r="723" spans="1:7" ht="15" customHeight="1" x14ac:dyDescent="0.3">
      <c r="A723" s="38" t="s">
        <v>111</v>
      </c>
      <c r="B723" s="37">
        <v>172260</v>
      </c>
      <c r="C723" s="37">
        <v>1</v>
      </c>
      <c r="D723" s="37">
        <v>1</v>
      </c>
      <c r="E723" s="39">
        <v>120</v>
      </c>
      <c r="F723" s="51">
        <v>3.1453801436878497E-4</v>
      </c>
      <c r="G723" s="37">
        <v>172260</v>
      </c>
    </row>
    <row r="724" spans="1:7" ht="15" customHeight="1" x14ac:dyDescent="0.3">
      <c r="A724" s="32" t="s">
        <v>791</v>
      </c>
      <c r="B724" s="31">
        <v>172260</v>
      </c>
      <c r="C724" s="31">
        <v>1</v>
      </c>
      <c r="D724" s="31">
        <v>1</v>
      </c>
      <c r="E724" s="33">
        <v>1005</v>
      </c>
      <c r="F724" s="49">
        <v>3.1453801436878497E-4</v>
      </c>
      <c r="G724" s="31">
        <v>172260</v>
      </c>
    </row>
    <row r="725" spans="1:7" ht="15" customHeight="1" x14ac:dyDescent="0.3">
      <c r="A725" s="38" t="s">
        <v>419</v>
      </c>
      <c r="B725" s="37">
        <v>172260</v>
      </c>
      <c r="C725" s="37">
        <v>1</v>
      </c>
      <c r="D725" s="37">
        <v>1</v>
      </c>
      <c r="E725" s="39">
        <v>2699</v>
      </c>
      <c r="F725" s="51">
        <v>3.1453801436878497E-4</v>
      </c>
      <c r="G725" s="37">
        <v>172260</v>
      </c>
    </row>
    <row r="726" spans="1:7" ht="15" customHeight="1" x14ac:dyDescent="0.3">
      <c r="A726" s="32" t="s">
        <v>234</v>
      </c>
      <c r="B726" s="31">
        <v>172260</v>
      </c>
      <c r="C726" s="31">
        <v>1</v>
      </c>
      <c r="D726" s="31">
        <v>1</v>
      </c>
      <c r="E726" s="33">
        <v>349</v>
      </c>
      <c r="F726" s="49">
        <v>3.1453801436878497E-4</v>
      </c>
      <c r="G726" s="31">
        <v>172260</v>
      </c>
    </row>
    <row r="727" spans="1:7" ht="15" customHeight="1" x14ac:dyDescent="0.3">
      <c r="A727" s="38" t="s">
        <v>170</v>
      </c>
      <c r="B727" s="37">
        <v>172260</v>
      </c>
      <c r="C727" s="37">
        <v>1</v>
      </c>
      <c r="D727" s="37">
        <v>1</v>
      </c>
      <c r="E727" s="39">
        <v>560</v>
      </c>
      <c r="F727" s="51">
        <v>3.1453801436878497E-4</v>
      </c>
      <c r="G727" s="37">
        <v>172260</v>
      </c>
    </row>
    <row r="728" spans="1:7" ht="15" customHeight="1" x14ac:dyDescent="0.3">
      <c r="A728" s="32" t="s">
        <v>781</v>
      </c>
      <c r="B728" s="31">
        <v>172260</v>
      </c>
      <c r="C728" s="31">
        <v>1</v>
      </c>
      <c r="D728" s="31">
        <v>1</v>
      </c>
      <c r="E728" s="33">
        <v>831</v>
      </c>
      <c r="F728" s="49">
        <v>3.1453801436878497E-4</v>
      </c>
      <c r="G728" s="31">
        <v>172260</v>
      </c>
    </row>
    <row r="729" spans="1:7" ht="15" customHeight="1" x14ac:dyDescent="0.3">
      <c r="A729" s="38" t="s">
        <v>210</v>
      </c>
      <c r="B729" s="37">
        <v>172260</v>
      </c>
      <c r="C729" s="37">
        <v>1</v>
      </c>
      <c r="D729" s="37">
        <v>1</v>
      </c>
      <c r="E729" s="39">
        <v>364</v>
      </c>
      <c r="F729" s="51">
        <v>3.1453801436878497E-4</v>
      </c>
      <c r="G729" s="37">
        <v>172260</v>
      </c>
    </row>
    <row r="730" spans="1:7" ht="15" customHeight="1" x14ac:dyDescent="0.3">
      <c r="A730" s="32" t="s">
        <v>222</v>
      </c>
      <c r="B730" s="31">
        <v>172260</v>
      </c>
      <c r="C730" s="31">
        <v>1</v>
      </c>
      <c r="D730" s="31">
        <v>1</v>
      </c>
      <c r="E730" s="33">
        <v>374</v>
      </c>
      <c r="F730" s="49">
        <v>3.1453801436878497E-4</v>
      </c>
      <c r="G730" s="31">
        <v>172260</v>
      </c>
    </row>
    <row r="731" spans="1:7" ht="15" customHeight="1" x14ac:dyDescent="0.3">
      <c r="A731" s="38" t="s">
        <v>4057</v>
      </c>
      <c r="B731" s="37">
        <v>171800</v>
      </c>
      <c r="C731" s="37">
        <v>1</v>
      </c>
      <c r="D731" s="37">
        <v>1</v>
      </c>
      <c r="E731" s="39">
        <v>728</v>
      </c>
      <c r="F731" s="51">
        <v>3.1369807772296099E-4</v>
      </c>
      <c r="G731" s="37">
        <v>171800</v>
      </c>
    </row>
    <row r="732" spans="1:7" ht="15" customHeight="1" x14ac:dyDescent="0.3">
      <c r="A732" s="32" t="s">
        <v>4891</v>
      </c>
      <c r="B732" s="31">
        <v>171800</v>
      </c>
      <c r="C732" s="31">
        <v>1</v>
      </c>
      <c r="D732" s="31">
        <v>1</v>
      </c>
      <c r="E732" s="33">
        <v>144</v>
      </c>
      <c r="F732" s="49">
        <v>3.1369807772296099E-4</v>
      </c>
      <c r="G732" s="31">
        <v>171800</v>
      </c>
    </row>
    <row r="733" spans="1:7" ht="15" customHeight="1" x14ac:dyDescent="0.3">
      <c r="A733" s="38" t="s">
        <v>5303</v>
      </c>
      <c r="B733" s="37">
        <v>171800</v>
      </c>
      <c r="C733" s="37">
        <v>1</v>
      </c>
      <c r="D733" s="37">
        <v>1</v>
      </c>
      <c r="E733" s="39">
        <v>660</v>
      </c>
      <c r="F733" s="51">
        <v>3.1369807772296099E-4</v>
      </c>
      <c r="G733" s="37">
        <v>171800</v>
      </c>
    </row>
    <row r="734" spans="1:7" ht="15" customHeight="1" x14ac:dyDescent="0.3">
      <c r="A734" s="32" t="s">
        <v>2971</v>
      </c>
      <c r="B734" s="31">
        <v>171800</v>
      </c>
      <c r="C734" s="31">
        <v>1</v>
      </c>
      <c r="D734" s="31">
        <v>1</v>
      </c>
      <c r="E734" s="33">
        <v>2301</v>
      </c>
      <c r="F734" s="49">
        <v>3.1369807772296099E-4</v>
      </c>
      <c r="G734" s="31">
        <v>171800</v>
      </c>
    </row>
    <row r="735" spans="1:7" ht="15" customHeight="1" x14ac:dyDescent="0.3">
      <c r="A735" s="38" t="s">
        <v>5169</v>
      </c>
      <c r="B735" s="37">
        <v>171800</v>
      </c>
      <c r="C735" s="37">
        <v>1</v>
      </c>
      <c r="D735" s="37">
        <v>1</v>
      </c>
      <c r="E735" s="39">
        <v>389500</v>
      </c>
      <c r="F735" s="51">
        <v>3.1369807772296099E-4</v>
      </c>
      <c r="G735" s="37">
        <v>171800</v>
      </c>
    </row>
    <row r="736" spans="1:7" ht="15" customHeight="1" x14ac:dyDescent="0.3">
      <c r="A736" s="32" t="s">
        <v>5426</v>
      </c>
      <c r="B736" s="31">
        <v>171800</v>
      </c>
      <c r="C736" s="31">
        <v>1</v>
      </c>
      <c r="D736" s="31">
        <v>1</v>
      </c>
      <c r="E736" s="33">
        <v>154</v>
      </c>
      <c r="F736" s="49">
        <v>3.1369807772296099E-4</v>
      </c>
      <c r="G736" s="31">
        <v>171800</v>
      </c>
    </row>
    <row r="737" spans="1:7" ht="15" customHeight="1" x14ac:dyDescent="0.3">
      <c r="A737" s="38" t="s">
        <v>4400</v>
      </c>
      <c r="B737" s="37">
        <v>171800</v>
      </c>
      <c r="C737" s="37">
        <v>1</v>
      </c>
      <c r="D737" s="37">
        <v>1</v>
      </c>
      <c r="E737" s="39">
        <v>238</v>
      </c>
      <c r="F737" s="51">
        <v>3.1369807772296099E-4</v>
      </c>
      <c r="G737" s="37">
        <v>171800</v>
      </c>
    </row>
    <row r="738" spans="1:7" ht="15" customHeight="1" x14ac:dyDescent="0.3">
      <c r="A738" s="32" t="s">
        <v>5290</v>
      </c>
      <c r="B738" s="31">
        <v>171800</v>
      </c>
      <c r="C738" s="31">
        <v>1</v>
      </c>
      <c r="D738" s="31">
        <v>1</v>
      </c>
      <c r="E738" s="33">
        <v>400.4</v>
      </c>
      <c r="F738" s="49">
        <v>3.1369807772296099E-4</v>
      </c>
      <c r="G738" s="31">
        <v>171800</v>
      </c>
    </row>
    <row r="739" spans="1:7" ht="15" customHeight="1" x14ac:dyDescent="0.3">
      <c r="A739" s="38" t="s">
        <v>3683</v>
      </c>
      <c r="B739" s="37">
        <v>171800</v>
      </c>
      <c r="C739" s="37">
        <v>1</v>
      </c>
      <c r="D739" s="37">
        <v>1</v>
      </c>
      <c r="E739" s="39">
        <v>1084</v>
      </c>
      <c r="F739" s="51">
        <v>3.1369807772296099E-4</v>
      </c>
      <c r="G739" s="37">
        <v>171800</v>
      </c>
    </row>
    <row r="740" spans="1:7" ht="15" customHeight="1" x14ac:dyDescent="0.3">
      <c r="A740" s="32" t="s">
        <v>3330</v>
      </c>
      <c r="B740" s="31">
        <v>171800</v>
      </c>
      <c r="C740" s="31">
        <v>1</v>
      </c>
      <c r="D740" s="31">
        <v>1</v>
      </c>
      <c r="E740" s="33">
        <v>2972</v>
      </c>
      <c r="F740" s="49">
        <v>3.1369807772296099E-4</v>
      </c>
      <c r="G740" s="31">
        <v>171800</v>
      </c>
    </row>
    <row r="741" spans="1:7" ht="15" customHeight="1" x14ac:dyDescent="0.3">
      <c r="A741" s="38" t="s">
        <v>2988</v>
      </c>
      <c r="B741" s="37">
        <v>171800</v>
      </c>
      <c r="C741" s="37">
        <v>1</v>
      </c>
      <c r="D741" s="37">
        <v>1</v>
      </c>
      <c r="E741" s="39">
        <v>550</v>
      </c>
      <c r="F741" s="51">
        <v>3.1369807772296099E-4</v>
      </c>
      <c r="G741" s="37">
        <v>171800</v>
      </c>
    </row>
    <row r="742" spans="1:7" ht="15" customHeight="1" x14ac:dyDescent="0.3">
      <c r="A742" s="32" t="s">
        <v>4122</v>
      </c>
      <c r="B742" s="31">
        <v>171800</v>
      </c>
      <c r="C742" s="31">
        <v>1</v>
      </c>
      <c r="D742" s="31">
        <v>1</v>
      </c>
      <c r="E742" s="33">
        <v>155</v>
      </c>
      <c r="F742" s="49">
        <v>3.1369807772296099E-4</v>
      </c>
      <c r="G742" s="31">
        <v>171800</v>
      </c>
    </row>
    <row r="743" spans="1:7" ht="15" customHeight="1" x14ac:dyDescent="0.3">
      <c r="A743" s="38" t="s">
        <v>3815</v>
      </c>
      <c r="B743" s="37">
        <v>171800</v>
      </c>
      <c r="C743" s="37">
        <v>1</v>
      </c>
      <c r="D743" s="37">
        <v>1</v>
      </c>
      <c r="E743" s="39">
        <v>242</v>
      </c>
      <c r="F743" s="51">
        <v>3.1369807772296099E-4</v>
      </c>
      <c r="G743" s="37">
        <v>171800</v>
      </c>
    </row>
    <row r="744" spans="1:7" ht="15" customHeight="1" x14ac:dyDescent="0.3">
      <c r="A744" s="32" t="s">
        <v>3849</v>
      </c>
      <c r="B744" s="31">
        <v>171800</v>
      </c>
      <c r="C744" s="31">
        <v>1</v>
      </c>
      <c r="D744" s="31">
        <v>1</v>
      </c>
      <c r="E744" s="33">
        <v>2081</v>
      </c>
      <c r="F744" s="49">
        <v>3.1369807772296099E-4</v>
      </c>
      <c r="G744" s="31">
        <v>171800</v>
      </c>
    </row>
    <row r="745" spans="1:7" ht="15" customHeight="1" x14ac:dyDescent="0.3">
      <c r="A745" s="38" t="s">
        <v>3280</v>
      </c>
      <c r="B745" s="37">
        <v>171800</v>
      </c>
      <c r="C745" s="37">
        <v>1</v>
      </c>
      <c r="D745" s="37">
        <v>1</v>
      </c>
      <c r="E745" s="39">
        <v>465</v>
      </c>
      <c r="F745" s="51">
        <v>3.1369807772296099E-4</v>
      </c>
      <c r="G745" s="37">
        <v>171800</v>
      </c>
    </row>
    <row r="746" spans="1:7" ht="15" customHeight="1" x14ac:dyDescent="0.3">
      <c r="A746" s="32" t="s">
        <v>2966</v>
      </c>
      <c r="B746" s="31">
        <v>171800</v>
      </c>
      <c r="C746" s="31">
        <v>1</v>
      </c>
      <c r="D746" s="31">
        <v>1</v>
      </c>
      <c r="E746" s="33">
        <v>311</v>
      </c>
      <c r="F746" s="49">
        <v>3.1369807772296099E-4</v>
      </c>
      <c r="G746" s="31">
        <v>171800</v>
      </c>
    </row>
    <row r="747" spans="1:7" ht="15" customHeight="1" x14ac:dyDescent="0.3">
      <c r="A747" s="38" t="s">
        <v>3487</v>
      </c>
      <c r="B747" s="37">
        <v>171800</v>
      </c>
      <c r="C747" s="37">
        <v>1</v>
      </c>
      <c r="D747" s="37">
        <v>1</v>
      </c>
      <c r="E747" s="39">
        <v>1257</v>
      </c>
      <c r="F747" s="51">
        <v>3.1369807772296099E-4</v>
      </c>
      <c r="G747" s="37">
        <v>171800</v>
      </c>
    </row>
    <row r="748" spans="1:7" ht="15" customHeight="1" x14ac:dyDescent="0.3">
      <c r="A748" s="32" t="s">
        <v>3350</v>
      </c>
      <c r="B748" s="31">
        <v>171800</v>
      </c>
      <c r="C748" s="31">
        <v>1</v>
      </c>
      <c r="D748" s="31">
        <v>1</v>
      </c>
      <c r="E748" s="33">
        <v>79</v>
      </c>
      <c r="F748" s="49">
        <v>3.1369807772296099E-4</v>
      </c>
      <c r="G748" s="31">
        <v>171800</v>
      </c>
    </row>
    <row r="749" spans="1:7" ht="15" customHeight="1" x14ac:dyDescent="0.3">
      <c r="A749" s="38" t="s">
        <v>4447</v>
      </c>
      <c r="B749" s="37">
        <v>171800</v>
      </c>
      <c r="C749" s="37">
        <v>1</v>
      </c>
      <c r="D749" s="37">
        <v>1</v>
      </c>
      <c r="E749" s="39">
        <v>250</v>
      </c>
      <c r="F749" s="51">
        <v>3.1369807772296099E-4</v>
      </c>
      <c r="G749" s="37">
        <v>171800</v>
      </c>
    </row>
    <row r="750" spans="1:7" ht="15" customHeight="1" x14ac:dyDescent="0.3">
      <c r="A750" s="32" t="s">
        <v>3273</v>
      </c>
      <c r="B750" s="31">
        <v>171800</v>
      </c>
      <c r="C750" s="31">
        <v>1</v>
      </c>
      <c r="D750" s="31">
        <v>1</v>
      </c>
      <c r="E750" s="33">
        <v>846</v>
      </c>
      <c r="F750" s="49">
        <v>3.1369807772296099E-4</v>
      </c>
      <c r="G750" s="31">
        <v>171800</v>
      </c>
    </row>
    <row r="751" spans="1:7" ht="15" customHeight="1" x14ac:dyDescent="0.3">
      <c r="A751" s="38" t="s">
        <v>3303</v>
      </c>
      <c r="B751" s="37">
        <v>171800</v>
      </c>
      <c r="C751" s="37">
        <v>1</v>
      </c>
      <c r="D751" s="37">
        <v>1</v>
      </c>
      <c r="E751" s="39">
        <v>337</v>
      </c>
      <c r="F751" s="51">
        <v>3.1369807772296099E-4</v>
      </c>
      <c r="G751" s="37">
        <v>171800</v>
      </c>
    </row>
    <row r="752" spans="1:7" ht="15" customHeight="1" x14ac:dyDescent="0.3">
      <c r="A752" s="32" t="s">
        <v>4276</v>
      </c>
      <c r="B752" s="31">
        <v>171800</v>
      </c>
      <c r="C752" s="31">
        <v>1</v>
      </c>
      <c r="D752" s="31">
        <v>1</v>
      </c>
      <c r="E752" s="33">
        <v>232</v>
      </c>
      <c r="F752" s="49">
        <v>3.1369807772296099E-4</v>
      </c>
      <c r="G752" s="31">
        <v>171800</v>
      </c>
    </row>
    <row r="753" spans="1:7" ht="15" customHeight="1" x14ac:dyDescent="0.3">
      <c r="A753" s="38" t="s">
        <v>3911</v>
      </c>
      <c r="B753" s="37">
        <v>171800</v>
      </c>
      <c r="C753" s="37">
        <v>1</v>
      </c>
      <c r="D753" s="37">
        <v>1</v>
      </c>
      <c r="E753" s="39">
        <v>386</v>
      </c>
      <c r="F753" s="51">
        <v>3.1369807772296099E-4</v>
      </c>
      <c r="G753" s="37">
        <v>171800</v>
      </c>
    </row>
    <row r="754" spans="1:7" ht="15" customHeight="1" x14ac:dyDescent="0.3">
      <c r="A754" s="32" t="s">
        <v>3614</v>
      </c>
      <c r="B754" s="31">
        <v>171800</v>
      </c>
      <c r="C754" s="31">
        <v>1</v>
      </c>
      <c r="D754" s="31">
        <v>1</v>
      </c>
      <c r="E754" s="33">
        <v>550</v>
      </c>
      <c r="F754" s="49">
        <v>3.1369807772296099E-4</v>
      </c>
      <c r="G754" s="31">
        <v>171800</v>
      </c>
    </row>
    <row r="755" spans="1:7" ht="15" customHeight="1" x14ac:dyDescent="0.3">
      <c r="A755" s="38" t="s">
        <v>5278</v>
      </c>
      <c r="B755" s="37">
        <v>171800</v>
      </c>
      <c r="C755" s="37">
        <v>1</v>
      </c>
      <c r="D755" s="37">
        <v>1</v>
      </c>
      <c r="E755" s="39">
        <v>835</v>
      </c>
      <c r="F755" s="51">
        <v>3.1369807772296099E-4</v>
      </c>
      <c r="G755" s="37">
        <v>171800</v>
      </c>
    </row>
    <row r="756" spans="1:7" ht="15" customHeight="1" x14ac:dyDescent="0.3">
      <c r="A756" s="32" t="s">
        <v>4765</v>
      </c>
      <c r="B756" s="31">
        <v>171800</v>
      </c>
      <c r="C756" s="31">
        <v>1</v>
      </c>
      <c r="D756" s="31">
        <v>1</v>
      </c>
      <c r="E756" s="33">
        <v>166</v>
      </c>
      <c r="F756" s="49">
        <v>3.1369807772296099E-4</v>
      </c>
      <c r="G756" s="31">
        <v>171800</v>
      </c>
    </row>
    <row r="757" spans="1:7" ht="15" customHeight="1" x14ac:dyDescent="0.3">
      <c r="A757" s="38" t="s">
        <v>3012</v>
      </c>
      <c r="B757" s="37">
        <v>171800</v>
      </c>
      <c r="C757" s="37">
        <v>1</v>
      </c>
      <c r="D757" s="37">
        <v>1</v>
      </c>
      <c r="E757" s="39">
        <v>306</v>
      </c>
      <c r="F757" s="51">
        <v>3.1369807772296099E-4</v>
      </c>
      <c r="G757" s="37">
        <v>171800</v>
      </c>
    </row>
    <row r="758" spans="1:7" ht="15" customHeight="1" x14ac:dyDescent="0.3">
      <c r="A758" s="32" t="s">
        <v>3915</v>
      </c>
      <c r="B758" s="31">
        <v>171800</v>
      </c>
      <c r="C758" s="31">
        <v>1</v>
      </c>
      <c r="D758" s="31">
        <v>1</v>
      </c>
      <c r="E758" s="33">
        <v>621</v>
      </c>
      <c r="F758" s="49">
        <v>3.1369807772296099E-4</v>
      </c>
      <c r="G758" s="31">
        <v>171800</v>
      </c>
    </row>
    <row r="759" spans="1:7" ht="15" customHeight="1" x14ac:dyDescent="0.3">
      <c r="A759" s="38" t="s">
        <v>4563</v>
      </c>
      <c r="B759" s="37">
        <v>171800</v>
      </c>
      <c r="C759" s="37">
        <v>1</v>
      </c>
      <c r="D759" s="37">
        <v>1</v>
      </c>
      <c r="E759" s="39">
        <v>96</v>
      </c>
      <c r="F759" s="51">
        <v>3.1369807772296099E-4</v>
      </c>
      <c r="G759" s="37">
        <v>171800</v>
      </c>
    </row>
    <row r="760" spans="1:7" ht="15" customHeight="1" x14ac:dyDescent="0.3">
      <c r="A760" s="32" t="s">
        <v>3385</v>
      </c>
      <c r="B760" s="31">
        <v>171800</v>
      </c>
      <c r="C760" s="31">
        <v>1</v>
      </c>
      <c r="D760" s="31">
        <v>1</v>
      </c>
      <c r="E760" s="33">
        <v>1830.43</v>
      </c>
      <c r="F760" s="49">
        <v>3.1369807772296099E-4</v>
      </c>
      <c r="G760" s="31">
        <v>171800</v>
      </c>
    </row>
    <row r="761" spans="1:7" ht="15" customHeight="1" x14ac:dyDescent="0.3">
      <c r="A761" s="38" t="s">
        <v>4529</v>
      </c>
      <c r="B761" s="37">
        <v>171800</v>
      </c>
      <c r="C761" s="37">
        <v>1</v>
      </c>
      <c r="D761" s="37">
        <v>1</v>
      </c>
      <c r="E761" s="39">
        <v>450</v>
      </c>
      <c r="F761" s="51">
        <v>3.1369807772296099E-4</v>
      </c>
      <c r="G761" s="37">
        <v>171800</v>
      </c>
    </row>
    <row r="762" spans="1:7" ht="15" customHeight="1" x14ac:dyDescent="0.3">
      <c r="A762" s="32" t="s">
        <v>4952</v>
      </c>
      <c r="B762" s="31">
        <v>171800</v>
      </c>
      <c r="C762" s="31">
        <v>1</v>
      </c>
      <c r="D762" s="31">
        <v>1</v>
      </c>
      <c r="E762" s="33">
        <v>180</v>
      </c>
      <c r="F762" s="49">
        <v>3.1369807772296099E-4</v>
      </c>
      <c r="G762" s="31">
        <v>171800</v>
      </c>
    </row>
    <row r="763" spans="1:7" ht="15" customHeight="1" x14ac:dyDescent="0.3">
      <c r="A763" s="38" t="s">
        <v>4347</v>
      </c>
      <c r="B763" s="37">
        <v>170800</v>
      </c>
      <c r="C763" s="37">
        <v>1</v>
      </c>
      <c r="D763" s="37">
        <v>1</v>
      </c>
      <c r="E763" s="39">
        <v>188</v>
      </c>
      <c r="F763" s="51">
        <v>3.1187212849290901E-4</v>
      </c>
      <c r="G763" s="37">
        <v>170800</v>
      </c>
    </row>
    <row r="764" spans="1:7" ht="15" customHeight="1" x14ac:dyDescent="0.3">
      <c r="A764" s="32" t="s">
        <v>3624</v>
      </c>
      <c r="B764" s="31">
        <v>169000</v>
      </c>
      <c r="C764" s="31">
        <v>1</v>
      </c>
      <c r="D764" s="31">
        <v>1</v>
      </c>
      <c r="E764" s="33">
        <v>1606</v>
      </c>
      <c r="F764" s="49">
        <v>3.0858541987881499E-4</v>
      </c>
      <c r="G764" s="31">
        <v>169000</v>
      </c>
    </row>
    <row r="765" spans="1:7" ht="15" customHeight="1" x14ac:dyDescent="0.3">
      <c r="A765" s="38" t="s">
        <v>4033</v>
      </c>
      <c r="B765" s="37">
        <v>169000</v>
      </c>
      <c r="C765" s="37">
        <v>1</v>
      </c>
      <c r="D765" s="37">
        <v>1</v>
      </c>
      <c r="E765" s="39">
        <v>1046.25</v>
      </c>
      <c r="F765" s="51">
        <v>3.0858541987881499E-4</v>
      </c>
      <c r="G765" s="37">
        <v>169000</v>
      </c>
    </row>
    <row r="766" spans="1:7" ht="15" customHeight="1" x14ac:dyDescent="0.3">
      <c r="A766" s="32" t="s">
        <v>3030</v>
      </c>
      <c r="B766" s="31">
        <v>169000</v>
      </c>
      <c r="C766" s="31">
        <v>1</v>
      </c>
      <c r="D766" s="31">
        <v>1</v>
      </c>
      <c r="E766" s="33">
        <v>241</v>
      </c>
      <c r="F766" s="49">
        <v>3.0858541987881499E-4</v>
      </c>
      <c r="G766" s="31">
        <v>169000</v>
      </c>
    </row>
    <row r="767" spans="1:7" ht="15" customHeight="1" x14ac:dyDescent="0.3">
      <c r="A767" s="38" t="s">
        <v>3220</v>
      </c>
      <c r="B767" s="37">
        <v>169000</v>
      </c>
      <c r="C767" s="37">
        <v>1</v>
      </c>
      <c r="D767" s="37">
        <v>1</v>
      </c>
      <c r="E767" s="39">
        <v>620</v>
      </c>
      <c r="F767" s="51">
        <v>3.0858541987881499E-4</v>
      </c>
      <c r="G767" s="37">
        <v>169000</v>
      </c>
    </row>
    <row r="768" spans="1:7" ht="15" customHeight="1" x14ac:dyDescent="0.3">
      <c r="A768" s="32" t="s">
        <v>4479</v>
      </c>
      <c r="B768" s="31">
        <v>169000</v>
      </c>
      <c r="C768" s="31">
        <v>1</v>
      </c>
      <c r="D768" s="31">
        <v>1</v>
      </c>
      <c r="E768" s="33">
        <v>1295</v>
      </c>
      <c r="F768" s="49">
        <v>3.0858541987881499E-4</v>
      </c>
      <c r="G768" s="31">
        <v>169000</v>
      </c>
    </row>
    <row r="769" spans="1:7" ht="15" customHeight="1" x14ac:dyDescent="0.3">
      <c r="A769" s="38" t="s">
        <v>3377</v>
      </c>
      <c r="B769" s="37">
        <v>169000</v>
      </c>
      <c r="C769" s="37">
        <v>1</v>
      </c>
      <c r="D769" s="37">
        <v>1</v>
      </c>
      <c r="E769" s="39">
        <v>227.76</v>
      </c>
      <c r="F769" s="51">
        <v>3.0858541987881499E-4</v>
      </c>
      <c r="G769" s="37">
        <v>169000</v>
      </c>
    </row>
    <row r="770" spans="1:7" ht="15" customHeight="1" x14ac:dyDescent="0.3">
      <c r="A770" s="32" t="s">
        <v>3505</v>
      </c>
      <c r="B770" s="31">
        <v>169000</v>
      </c>
      <c r="C770" s="31">
        <v>1</v>
      </c>
      <c r="D770" s="31">
        <v>1</v>
      </c>
      <c r="E770" s="33">
        <v>1866</v>
      </c>
      <c r="F770" s="49">
        <v>3.0858541987881499E-4</v>
      </c>
      <c r="G770" s="31">
        <v>169000</v>
      </c>
    </row>
    <row r="771" spans="1:7" ht="15" customHeight="1" x14ac:dyDescent="0.3">
      <c r="A771" s="38" t="s">
        <v>3393</v>
      </c>
      <c r="B771" s="37">
        <v>169000</v>
      </c>
      <c r="C771" s="37">
        <v>1</v>
      </c>
      <c r="D771" s="37">
        <v>1</v>
      </c>
      <c r="E771" s="39">
        <v>727</v>
      </c>
      <c r="F771" s="51">
        <v>3.0858541987881499E-4</v>
      </c>
      <c r="G771" s="37">
        <v>169000</v>
      </c>
    </row>
    <row r="772" spans="1:7" ht="15" customHeight="1" x14ac:dyDescent="0.3">
      <c r="A772" s="32" t="s">
        <v>3590</v>
      </c>
      <c r="B772" s="31">
        <v>169000</v>
      </c>
      <c r="C772" s="31">
        <v>1</v>
      </c>
      <c r="D772" s="31">
        <v>1</v>
      </c>
      <c r="E772" s="33">
        <v>244</v>
      </c>
      <c r="F772" s="49">
        <v>3.0858541987881499E-4</v>
      </c>
      <c r="G772" s="31">
        <v>169000</v>
      </c>
    </row>
    <row r="773" spans="1:7" ht="15" customHeight="1" x14ac:dyDescent="0.3">
      <c r="A773" s="38" t="s">
        <v>3794</v>
      </c>
      <c r="B773" s="37">
        <v>169000</v>
      </c>
      <c r="C773" s="37">
        <v>1</v>
      </c>
      <c r="D773" s="37">
        <v>1</v>
      </c>
      <c r="E773" s="39">
        <v>1600</v>
      </c>
      <c r="F773" s="51">
        <v>3.0858541987881499E-4</v>
      </c>
      <c r="G773" s="37">
        <v>169000</v>
      </c>
    </row>
    <row r="774" spans="1:7" ht="15" customHeight="1" x14ac:dyDescent="0.3">
      <c r="A774" s="32" t="s">
        <v>4322</v>
      </c>
      <c r="B774" s="31">
        <v>169000</v>
      </c>
      <c r="C774" s="31">
        <v>1</v>
      </c>
      <c r="D774" s="31">
        <v>1</v>
      </c>
      <c r="E774" s="33">
        <v>464</v>
      </c>
      <c r="F774" s="49">
        <v>3.0858541987881499E-4</v>
      </c>
      <c r="G774" s="31">
        <v>169000</v>
      </c>
    </row>
    <row r="775" spans="1:7" ht="15" customHeight="1" x14ac:dyDescent="0.3">
      <c r="A775" s="38" t="s">
        <v>4863</v>
      </c>
      <c r="B775" s="37">
        <v>169000</v>
      </c>
      <c r="C775" s="37">
        <v>1</v>
      </c>
      <c r="D775" s="37">
        <v>1</v>
      </c>
      <c r="E775" s="39">
        <v>806</v>
      </c>
      <c r="F775" s="51">
        <v>3.0858541987881499E-4</v>
      </c>
      <c r="G775" s="37">
        <v>169000</v>
      </c>
    </row>
    <row r="776" spans="1:7" ht="15" customHeight="1" x14ac:dyDescent="0.3">
      <c r="A776" s="32" t="s">
        <v>3211</v>
      </c>
      <c r="B776" s="31">
        <v>169000</v>
      </c>
      <c r="C776" s="31">
        <v>1</v>
      </c>
      <c r="D776" s="31">
        <v>1</v>
      </c>
      <c r="E776" s="33">
        <v>854</v>
      </c>
      <c r="F776" s="49">
        <v>3.0858541987881499E-4</v>
      </c>
      <c r="G776" s="31">
        <v>169000</v>
      </c>
    </row>
    <row r="777" spans="1:7" ht="15" customHeight="1" x14ac:dyDescent="0.3">
      <c r="A777" s="38" t="s">
        <v>3270</v>
      </c>
      <c r="B777" s="37">
        <v>169000</v>
      </c>
      <c r="C777" s="37">
        <v>1</v>
      </c>
      <c r="D777" s="37">
        <v>1</v>
      </c>
      <c r="E777" s="39">
        <v>684</v>
      </c>
      <c r="F777" s="51">
        <v>3.0858541987881499E-4</v>
      </c>
      <c r="G777" s="37">
        <v>169000</v>
      </c>
    </row>
    <row r="778" spans="1:7" ht="15" customHeight="1" x14ac:dyDescent="0.3">
      <c r="A778" s="32" t="s">
        <v>3952</v>
      </c>
      <c r="B778" s="31">
        <v>169000</v>
      </c>
      <c r="C778" s="31">
        <v>1</v>
      </c>
      <c r="D778" s="31">
        <v>1</v>
      </c>
      <c r="E778" s="33">
        <v>1288</v>
      </c>
      <c r="F778" s="49">
        <v>3.0858541987881499E-4</v>
      </c>
      <c r="G778" s="31">
        <v>169000</v>
      </c>
    </row>
    <row r="779" spans="1:7" ht="15" customHeight="1" x14ac:dyDescent="0.3">
      <c r="A779" s="38" t="s">
        <v>4997</v>
      </c>
      <c r="B779" s="37">
        <v>169000</v>
      </c>
      <c r="C779" s="37">
        <v>1</v>
      </c>
      <c r="D779" s="37">
        <v>1</v>
      </c>
      <c r="E779" s="39">
        <v>484</v>
      </c>
      <c r="F779" s="51">
        <v>3.0858541987881499E-4</v>
      </c>
      <c r="G779" s="37">
        <v>169000</v>
      </c>
    </row>
    <row r="780" spans="1:7" ht="15" customHeight="1" x14ac:dyDescent="0.3">
      <c r="A780" s="32" t="s">
        <v>3340</v>
      </c>
      <c r="B780" s="31">
        <v>169000</v>
      </c>
      <c r="C780" s="31">
        <v>1</v>
      </c>
      <c r="D780" s="31">
        <v>1</v>
      </c>
      <c r="E780" s="33">
        <v>504</v>
      </c>
      <c r="F780" s="49">
        <v>3.0858541987881499E-4</v>
      </c>
      <c r="G780" s="31">
        <v>169000</v>
      </c>
    </row>
    <row r="781" spans="1:7" ht="15" customHeight="1" x14ac:dyDescent="0.3">
      <c r="A781" s="38" t="s">
        <v>3371</v>
      </c>
      <c r="B781" s="37">
        <v>169000</v>
      </c>
      <c r="C781" s="37">
        <v>1</v>
      </c>
      <c r="D781" s="37">
        <v>1</v>
      </c>
      <c r="E781" s="39">
        <v>559.20000000000005</v>
      </c>
      <c r="F781" s="51">
        <v>3.0858541987881499E-4</v>
      </c>
      <c r="G781" s="37">
        <v>169000</v>
      </c>
    </row>
    <row r="782" spans="1:7" ht="15" customHeight="1" x14ac:dyDescent="0.3">
      <c r="A782" s="32" t="s">
        <v>3976</v>
      </c>
      <c r="B782" s="31">
        <v>169000</v>
      </c>
      <c r="C782" s="31">
        <v>1</v>
      </c>
      <c r="D782" s="31">
        <v>1</v>
      </c>
      <c r="E782" s="33">
        <v>1449.2</v>
      </c>
      <c r="F782" s="49">
        <v>3.0858541987881499E-4</v>
      </c>
      <c r="G782" s="31">
        <v>169000</v>
      </c>
    </row>
    <row r="783" spans="1:7" ht="15" customHeight="1" x14ac:dyDescent="0.3">
      <c r="A783" s="38" t="s">
        <v>4959</v>
      </c>
      <c r="B783" s="37">
        <v>169000</v>
      </c>
      <c r="C783" s="37">
        <v>1</v>
      </c>
      <c r="D783" s="37">
        <v>1</v>
      </c>
      <c r="E783" s="39">
        <v>1035</v>
      </c>
      <c r="F783" s="51">
        <v>3.0858541987881499E-4</v>
      </c>
      <c r="G783" s="37">
        <v>169000</v>
      </c>
    </row>
    <row r="784" spans="1:7" ht="15" customHeight="1" x14ac:dyDescent="0.3">
      <c r="A784" s="32" t="s">
        <v>4089</v>
      </c>
      <c r="B784" s="31">
        <v>169000</v>
      </c>
      <c r="C784" s="31">
        <v>1</v>
      </c>
      <c r="D784" s="31">
        <v>1</v>
      </c>
      <c r="E784" s="33">
        <v>382</v>
      </c>
      <c r="F784" s="49">
        <v>3.0858541987881499E-4</v>
      </c>
      <c r="G784" s="31">
        <v>169000</v>
      </c>
    </row>
    <row r="785" spans="1:7" ht="15" customHeight="1" x14ac:dyDescent="0.3">
      <c r="A785" s="38" t="s">
        <v>3969</v>
      </c>
      <c r="B785" s="37">
        <v>169000</v>
      </c>
      <c r="C785" s="37">
        <v>1</v>
      </c>
      <c r="D785" s="37">
        <v>1</v>
      </c>
      <c r="E785" s="39">
        <v>200</v>
      </c>
      <c r="F785" s="51">
        <v>3.0858541987881499E-4</v>
      </c>
      <c r="G785" s="37">
        <v>169000</v>
      </c>
    </row>
    <row r="786" spans="1:7" ht="15" customHeight="1" x14ac:dyDescent="0.3">
      <c r="A786" s="32" t="s">
        <v>4380</v>
      </c>
      <c r="B786" s="31">
        <v>168000</v>
      </c>
      <c r="C786" s="31">
        <v>1</v>
      </c>
      <c r="D786" s="31">
        <v>1</v>
      </c>
      <c r="E786" s="33">
        <v>241</v>
      </c>
      <c r="F786" s="49">
        <v>3.06759470648763E-4</v>
      </c>
      <c r="G786" s="31">
        <v>168000</v>
      </c>
    </row>
    <row r="787" spans="1:7" ht="15" customHeight="1" x14ac:dyDescent="0.3">
      <c r="A787" s="38" t="s">
        <v>2577</v>
      </c>
      <c r="B787" s="37">
        <v>163260</v>
      </c>
      <c r="C787" s="37">
        <v>1</v>
      </c>
      <c r="D787" s="37">
        <v>1</v>
      </c>
      <c r="E787" s="39">
        <v>486.4</v>
      </c>
      <c r="F787" s="51">
        <v>2.9810447129831498E-4</v>
      </c>
      <c r="G787" s="37">
        <v>163260</v>
      </c>
    </row>
    <row r="788" spans="1:7" ht="15" customHeight="1" x14ac:dyDescent="0.3">
      <c r="A788" s="32" t="s">
        <v>2591</v>
      </c>
      <c r="B788" s="31">
        <v>163260</v>
      </c>
      <c r="C788" s="31">
        <v>1</v>
      </c>
      <c r="D788" s="31">
        <v>1</v>
      </c>
      <c r="E788" s="33">
        <v>227</v>
      </c>
      <c r="F788" s="49">
        <v>2.9810447129831498E-4</v>
      </c>
      <c r="G788" s="31">
        <v>163260</v>
      </c>
    </row>
    <row r="789" spans="1:7" ht="15" customHeight="1" x14ac:dyDescent="0.3">
      <c r="A789" s="38" t="s">
        <v>2051</v>
      </c>
      <c r="B789" s="37">
        <v>163260</v>
      </c>
      <c r="C789" s="37">
        <v>1</v>
      </c>
      <c r="D789" s="37">
        <v>1</v>
      </c>
      <c r="E789" s="39">
        <v>384.51</v>
      </c>
      <c r="F789" s="51">
        <v>2.9810447129831498E-4</v>
      </c>
      <c r="G789" s="37">
        <v>163260</v>
      </c>
    </row>
    <row r="790" spans="1:7" ht="15" customHeight="1" x14ac:dyDescent="0.3">
      <c r="A790" s="32" t="s">
        <v>2360</v>
      </c>
      <c r="B790" s="31">
        <v>163260</v>
      </c>
      <c r="C790" s="31">
        <v>1</v>
      </c>
      <c r="D790" s="31">
        <v>1</v>
      </c>
      <c r="E790" s="33">
        <v>1577</v>
      </c>
      <c r="F790" s="49">
        <v>2.9810447129831498E-4</v>
      </c>
      <c r="G790" s="31">
        <v>163260</v>
      </c>
    </row>
    <row r="791" spans="1:7" ht="15" customHeight="1" x14ac:dyDescent="0.3">
      <c r="A791" s="38" t="s">
        <v>1839</v>
      </c>
      <c r="B791" s="37">
        <v>163260</v>
      </c>
      <c r="C791" s="37">
        <v>1</v>
      </c>
      <c r="D791" s="37">
        <v>1</v>
      </c>
      <c r="E791" s="39">
        <v>849</v>
      </c>
      <c r="F791" s="51">
        <v>2.9810447129831498E-4</v>
      </c>
      <c r="G791" s="37">
        <v>163260</v>
      </c>
    </row>
    <row r="792" spans="1:7" ht="15" customHeight="1" x14ac:dyDescent="0.3">
      <c r="A792" s="32" t="s">
        <v>2087</v>
      </c>
      <c r="B792" s="31">
        <v>163260</v>
      </c>
      <c r="C792" s="31">
        <v>1</v>
      </c>
      <c r="D792" s="31">
        <v>1</v>
      </c>
      <c r="E792" s="33">
        <v>1503.492</v>
      </c>
      <c r="F792" s="49">
        <v>2.9810447129831498E-4</v>
      </c>
      <c r="G792" s="31">
        <v>163260</v>
      </c>
    </row>
    <row r="793" spans="1:7" ht="15" customHeight="1" x14ac:dyDescent="0.3">
      <c r="A793" s="38" t="s">
        <v>2105</v>
      </c>
      <c r="B793" s="37">
        <v>163260</v>
      </c>
      <c r="C793" s="37">
        <v>1</v>
      </c>
      <c r="D793" s="37">
        <v>1</v>
      </c>
      <c r="E793" s="39">
        <v>153</v>
      </c>
      <c r="F793" s="51">
        <v>2.9810447129831498E-4</v>
      </c>
      <c r="G793" s="37">
        <v>163260</v>
      </c>
    </row>
    <row r="794" spans="1:7" ht="15" customHeight="1" x14ac:dyDescent="0.3">
      <c r="A794" s="32" t="s">
        <v>2002</v>
      </c>
      <c r="B794" s="31">
        <v>163260</v>
      </c>
      <c r="C794" s="31">
        <v>1</v>
      </c>
      <c r="D794" s="31">
        <v>1</v>
      </c>
      <c r="E794" s="33">
        <v>330</v>
      </c>
      <c r="F794" s="49">
        <v>2.9810447129831498E-4</v>
      </c>
      <c r="G794" s="31">
        <v>163260</v>
      </c>
    </row>
    <row r="795" spans="1:7" ht="15" customHeight="1" x14ac:dyDescent="0.3">
      <c r="A795" s="38" t="s">
        <v>1905</v>
      </c>
      <c r="B795" s="37">
        <v>163260</v>
      </c>
      <c r="C795" s="37">
        <v>1</v>
      </c>
      <c r="D795" s="37">
        <v>1</v>
      </c>
      <c r="E795" s="39">
        <v>1188</v>
      </c>
      <c r="F795" s="51">
        <v>2.9810447129831498E-4</v>
      </c>
      <c r="G795" s="37">
        <v>163260</v>
      </c>
    </row>
    <row r="796" spans="1:7" ht="15" customHeight="1" x14ac:dyDescent="0.3">
      <c r="A796" s="32" t="s">
        <v>2212</v>
      </c>
      <c r="B796" s="31">
        <v>163260</v>
      </c>
      <c r="C796" s="31">
        <v>1</v>
      </c>
      <c r="D796" s="31">
        <v>1</v>
      </c>
      <c r="E796" s="33">
        <v>786</v>
      </c>
      <c r="F796" s="49">
        <v>2.9810447129831498E-4</v>
      </c>
      <c r="G796" s="31">
        <v>163260</v>
      </c>
    </row>
    <row r="797" spans="1:7" ht="15" customHeight="1" x14ac:dyDescent="0.3">
      <c r="A797" s="38" t="s">
        <v>2249</v>
      </c>
      <c r="B797" s="37">
        <v>163260</v>
      </c>
      <c r="C797" s="37">
        <v>1</v>
      </c>
      <c r="D797" s="37">
        <v>1</v>
      </c>
      <c r="E797" s="39">
        <v>1790</v>
      </c>
      <c r="F797" s="51">
        <v>2.9810447129831498E-4</v>
      </c>
      <c r="G797" s="37">
        <v>163260</v>
      </c>
    </row>
    <row r="798" spans="1:7" ht="15" customHeight="1" x14ac:dyDescent="0.3">
      <c r="A798" s="32" t="s">
        <v>1321</v>
      </c>
      <c r="B798" s="31">
        <v>163260</v>
      </c>
      <c r="C798" s="31">
        <v>1</v>
      </c>
      <c r="D798" s="31">
        <v>1</v>
      </c>
      <c r="E798" s="33">
        <v>360</v>
      </c>
      <c r="F798" s="49">
        <v>2.9810447129831498E-4</v>
      </c>
      <c r="G798" s="31">
        <v>163260</v>
      </c>
    </row>
    <row r="799" spans="1:7" ht="15" customHeight="1" x14ac:dyDescent="0.3">
      <c r="A799" s="38" t="s">
        <v>1438</v>
      </c>
      <c r="B799" s="37">
        <v>163260</v>
      </c>
      <c r="C799" s="37">
        <v>1</v>
      </c>
      <c r="D799" s="37">
        <v>1</v>
      </c>
      <c r="E799" s="39">
        <v>1034</v>
      </c>
      <c r="F799" s="51">
        <v>2.9810447129831498E-4</v>
      </c>
      <c r="G799" s="37">
        <v>163260</v>
      </c>
    </row>
    <row r="800" spans="1:7" ht="15" customHeight="1" x14ac:dyDescent="0.3">
      <c r="A800" s="32" t="s">
        <v>2394</v>
      </c>
      <c r="B800" s="31">
        <v>163260</v>
      </c>
      <c r="C800" s="31">
        <v>1</v>
      </c>
      <c r="D800" s="31">
        <v>1</v>
      </c>
      <c r="E800" s="33">
        <v>2403</v>
      </c>
      <c r="F800" s="49">
        <v>2.9810447129831498E-4</v>
      </c>
      <c r="G800" s="31">
        <v>163260</v>
      </c>
    </row>
    <row r="801" spans="1:7" ht="15" customHeight="1" x14ac:dyDescent="0.3">
      <c r="A801" s="38" t="s">
        <v>2075</v>
      </c>
      <c r="B801" s="37">
        <v>163260</v>
      </c>
      <c r="C801" s="37">
        <v>1</v>
      </c>
      <c r="D801" s="37">
        <v>1</v>
      </c>
      <c r="E801" s="39">
        <v>1600</v>
      </c>
      <c r="F801" s="51">
        <v>2.9810447129831498E-4</v>
      </c>
      <c r="G801" s="37">
        <v>163260</v>
      </c>
    </row>
    <row r="802" spans="1:7" ht="15" customHeight="1" x14ac:dyDescent="0.3">
      <c r="A802" s="32" t="s">
        <v>1126</v>
      </c>
      <c r="B802" s="31">
        <v>163260</v>
      </c>
      <c r="C802" s="31">
        <v>1</v>
      </c>
      <c r="D802" s="31">
        <v>1</v>
      </c>
      <c r="E802" s="33">
        <v>364</v>
      </c>
      <c r="F802" s="49">
        <v>2.9810447129831498E-4</v>
      </c>
      <c r="G802" s="31">
        <v>163260</v>
      </c>
    </row>
    <row r="803" spans="1:7" ht="15" customHeight="1" x14ac:dyDescent="0.3">
      <c r="A803" s="38" t="s">
        <v>2603</v>
      </c>
      <c r="B803" s="37">
        <v>163260</v>
      </c>
      <c r="C803" s="37">
        <v>1</v>
      </c>
      <c r="D803" s="37">
        <v>1</v>
      </c>
      <c r="E803" s="39">
        <v>740</v>
      </c>
      <c r="F803" s="51">
        <v>2.9810447129831498E-4</v>
      </c>
      <c r="G803" s="37">
        <v>163260</v>
      </c>
    </row>
    <row r="804" spans="1:7" ht="15" customHeight="1" x14ac:dyDescent="0.3">
      <c r="A804" s="32" t="s">
        <v>2580</v>
      </c>
      <c r="B804" s="31">
        <v>163260</v>
      </c>
      <c r="C804" s="31">
        <v>1</v>
      </c>
      <c r="D804" s="31">
        <v>1</v>
      </c>
      <c r="E804" s="33">
        <v>1108</v>
      </c>
      <c r="F804" s="49">
        <v>2.9810447129831498E-4</v>
      </c>
      <c r="G804" s="31">
        <v>163260</v>
      </c>
    </row>
    <row r="805" spans="1:7" ht="15" customHeight="1" x14ac:dyDescent="0.3">
      <c r="A805" s="38" t="s">
        <v>831</v>
      </c>
      <c r="B805" s="37">
        <v>163260</v>
      </c>
      <c r="C805" s="37">
        <v>1</v>
      </c>
      <c r="D805" s="37">
        <v>1</v>
      </c>
      <c r="E805" s="39">
        <v>2021</v>
      </c>
      <c r="F805" s="51">
        <v>2.9810447129831498E-4</v>
      </c>
      <c r="G805" s="37">
        <v>163260</v>
      </c>
    </row>
    <row r="806" spans="1:7" ht="15" customHeight="1" x14ac:dyDescent="0.3">
      <c r="A806" s="32" t="s">
        <v>2620</v>
      </c>
      <c r="B806" s="31">
        <v>163260</v>
      </c>
      <c r="C806" s="31">
        <v>1</v>
      </c>
      <c r="D806" s="31">
        <v>1</v>
      </c>
      <c r="E806" s="33">
        <v>273</v>
      </c>
      <c r="F806" s="49">
        <v>2.9810447129831498E-4</v>
      </c>
      <c r="G806" s="31">
        <v>163260</v>
      </c>
    </row>
    <row r="807" spans="1:7" ht="15" customHeight="1" x14ac:dyDescent="0.3">
      <c r="A807" s="38" t="s">
        <v>1890</v>
      </c>
      <c r="B807" s="37">
        <v>163260</v>
      </c>
      <c r="C807" s="37">
        <v>1</v>
      </c>
      <c r="D807" s="37">
        <v>1</v>
      </c>
      <c r="E807" s="39">
        <v>1032</v>
      </c>
      <c r="F807" s="51">
        <v>2.9810447129831498E-4</v>
      </c>
      <c r="G807" s="37">
        <v>163260</v>
      </c>
    </row>
    <row r="808" spans="1:7" ht="15" customHeight="1" x14ac:dyDescent="0.3">
      <c r="A808" s="32" t="s">
        <v>923</v>
      </c>
      <c r="B808" s="31">
        <v>163260</v>
      </c>
      <c r="C808" s="31">
        <v>1</v>
      </c>
      <c r="D808" s="31">
        <v>1</v>
      </c>
      <c r="E808" s="33">
        <v>684</v>
      </c>
      <c r="F808" s="49">
        <v>2.9810447129831498E-4</v>
      </c>
      <c r="G808" s="31">
        <v>163260</v>
      </c>
    </row>
    <row r="809" spans="1:7" ht="15" customHeight="1" x14ac:dyDescent="0.3">
      <c r="A809" s="38" t="s">
        <v>1971</v>
      </c>
      <c r="B809" s="37">
        <v>163260</v>
      </c>
      <c r="C809" s="37">
        <v>1</v>
      </c>
      <c r="D809" s="37">
        <v>1</v>
      </c>
      <c r="E809" s="39">
        <v>239</v>
      </c>
      <c r="F809" s="51">
        <v>2.9810447129831498E-4</v>
      </c>
      <c r="G809" s="37">
        <v>163260</v>
      </c>
    </row>
    <row r="810" spans="1:7" ht="15" customHeight="1" x14ac:dyDescent="0.3">
      <c r="A810" s="32" t="s">
        <v>1473</v>
      </c>
      <c r="B810" s="31">
        <v>163260</v>
      </c>
      <c r="C810" s="31">
        <v>1</v>
      </c>
      <c r="D810" s="31">
        <v>1</v>
      </c>
      <c r="E810" s="33">
        <v>437</v>
      </c>
      <c r="F810" s="49">
        <v>2.9810447129831498E-4</v>
      </c>
      <c r="G810" s="31">
        <v>163260</v>
      </c>
    </row>
    <row r="811" spans="1:7" ht="15" customHeight="1" x14ac:dyDescent="0.3">
      <c r="A811" s="38" t="s">
        <v>1214</v>
      </c>
      <c r="B811" s="37">
        <v>163260</v>
      </c>
      <c r="C811" s="37">
        <v>1</v>
      </c>
      <c r="D811" s="37">
        <v>1</v>
      </c>
      <c r="E811" s="39">
        <v>750</v>
      </c>
      <c r="F811" s="51">
        <v>2.9810447129831498E-4</v>
      </c>
      <c r="G811" s="37">
        <v>163260</v>
      </c>
    </row>
    <row r="812" spans="1:7" ht="15" customHeight="1" x14ac:dyDescent="0.3">
      <c r="A812" s="32" t="s">
        <v>2782</v>
      </c>
      <c r="B812" s="31">
        <v>163260</v>
      </c>
      <c r="C812" s="31">
        <v>1</v>
      </c>
      <c r="D812" s="31">
        <v>1</v>
      </c>
      <c r="E812" s="33">
        <v>950</v>
      </c>
      <c r="F812" s="49">
        <v>2.9810447129831498E-4</v>
      </c>
      <c r="G812" s="31">
        <v>163260</v>
      </c>
    </row>
    <row r="813" spans="1:7" ht="15" customHeight="1" x14ac:dyDescent="0.3">
      <c r="A813" s="38" t="s">
        <v>2706</v>
      </c>
      <c r="B813" s="37">
        <v>163260</v>
      </c>
      <c r="C813" s="37">
        <v>1</v>
      </c>
      <c r="D813" s="37">
        <v>1</v>
      </c>
      <c r="E813" s="39">
        <v>1274</v>
      </c>
      <c r="F813" s="51">
        <v>2.9810447129831498E-4</v>
      </c>
      <c r="G813" s="37">
        <v>163260</v>
      </c>
    </row>
    <row r="814" spans="1:7" ht="15" customHeight="1" x14ac:dyDescent="0.3">
      <c r="A814" s="32" t="s">
        <v>2035</v>
      </c>
      <c r="B814" s="31">
        <v>163260</v>
      </c>
      <c r="C814" s="31">
        <v>1</v>
      </c>
      <c r="D814" s="31">
        <v>1</v>
      </c>
      <c r="E814" s="33">
        <v>1440.41</v>
      </c>
      <c r="F814" s="49">
        <v>2.9810447129831498E-4</v>
      </c>
      <c r="G814" s="31">
        <v>163260</v>
      </c>
    </row>
    <row r="815" spans="1:7" ht="15" customHeight="1" x14ac:dyDescent="0.3">
      <c r="A815" s="38" t="s">
        <v>2380</v>
      </c>
      <c r="B815" s="37">
        <v>163260</v>
      </c>
      <c r="C815" s="37">
        <v>1</v>
      </c>
      <c r="D815" s="37">
        <v>1</v>
      </c>
      <c r="E815" s="39">
        <v>316</v>
      </c>
      <c r="F815" s="51">
        <v>2.9810447129831498E-4</v>
      </c>
      <c r="G815" s="37">
        <v>163260</v>
      </c>
    </row>
    <row r="816" spans="1:7" ht="15" customHeight="1" x14ac:dyDescent="0.3">
      <c r="A816" s="32" t="s">
        <v>2943</v>
      </c>
      <c r="B816" s="31">
        <v>163260</v>
      </c>
      <c r="C816" s="31">
        <v>1</v>
      </c>
      <c r="D816" s="31">
        <v>1</v>
      </c>
      <c r="E816" s="33">
        <v>1752</v>
      </c>
      <c r="F816" s="49">
        <v>2.9810447129831498E-4</v>
      </c>
      <c r="G816" s="31">
        <v>163260</v>
      </c>
    </row>
    <row r="817" spans="1:7" ht="15" customHeight="1" x14ac:dyDescent="0.3">
      <c r="A817" s="38" t="s">
        <v>1521</v>
      </c>
      <c r="B817" s="37">
        <v>163260</v>
      </c>
      <c r="C817" s="37">
        <v>1</v>
      </c>
      <c r="D817" s="37">
        <v>1</v>
      </c>
      <c r="E817" s="39">
        <v>150</v>
      </c>
      <c r="F817" s="51">
        <v>2.9810447129831498E-4</v>
      </c>
      <c r="G817" s="37">
        <v>163260</v>
      </c>
    </row>
    <row r="818" spans="1:7" ht="15" customHeight="1" x14ac:dyDescent="0.3">
      <c r="A818" s="32" t="s">
        <v>1081</v>
      </c>
      <c r="B818" s="31">
        <v>163260</v>
      </c>
      <c r="C818" s="31">
        <v>1</v>
      </c>
      <c r="D818" s="31">
        <v>1</v>
      </c>
      <c r="E818" s="33">
        <v>582.91</v>
      </c>
      <c r="F818" s="49">
        <v>2.9810447129831498E-4</v>
      </c>
      <c r="G818" s="31">
        <v>163260</v>
      </c>
    </row>
    <row r="819" spans="1:7" ht="15" customHeight="1" x14ac:dyDescent="0.3">
      <c r="A819" s="38" t="s">
        <v>1270</v>
      </c>
      <c r="B819" s="37">
        <v>163260</v>
      </c>
      <c r="C819" s="37">
        <v>1</v>
      </c>
      <c r="D819" s="37">
        <v>1</v>
      </c>
      <c r="E819" s="39">
        <v>215</v>
      </c>
      <c r="F819" s="51">
        <v>2.9810447129831498E-4</v>
      </c>
      <c r="G819" s="37">
        <v>163260</v>
      </c>
    </row>
    <row r="820" spans="1:7" ht="15" customHeight="1" x14ac:dyDescent="0.3">
      <c r="A820" s="32" t="s">
        <v>1322</v>
      </c>
      <c r="B820" s="31">
        <v>163260</v>
      </c>
      <c r="C820" s="31">
        <v>1</v>
      </c>
      <c r="D820" s="31">
        <v>1</v>
      </c>
      <c r="E820" s="33">
        <v>265</v>
      </c>
      <c r="F820" s="49">
        <v>2.9810447129831498E-4</v>
      </c>
      <c r="G820" s="31">
        <v>163260</v>
      </c>
    </row>
    <row r="821" spans="1:7" ht="15" customHeight="1" x14ac:dyDescent="0.3">
      <c r="A821" s="38" t="s">
        <v>2184</v>
      </c>
      <c r="B821" s="37">
        <v>163260</v>
      </c>
      <c r="C821" s="37">
        <v>1</v>
      </c>
      <c r="D821" s="37">
        <v>1</v>
      </c>
      <c r="E821" s="39">
        <v>228</v>
      </c>
      <c r="F821" s="51">
        <v>2.9810447129831498E-4</v>
      </c>
      <c r="G821" s="37">
        <v>163260</v>
      </c>
    </row>
    <row r="822" spans="1:7" ht="15" customHeight="1" x14ac:dyDescent="0.3">
      <c r="A822" s="32" t="s">
        <v>1491</v>
      </c>
      <c r="B822" s="31">
        <v>163260</v>
      </c>
      <c r="C822" s="31">
        <v>1</v>
      </c>
      <c r="D822" s="31">
        <v>1</v>
      </c>
      <c r="E822" s="33">
        <v>279</v>
      </c>
      <c r="F822" s="49">
        <v>2.9810447129831498E-4</v>
      </c>
      <c r="G822" s="31">
        <v>163260</v>
      </c>
    </row>
    <row r="823" spans="1:7" ht="15" customHeight="1" x14ac:dyDescent="0.3">
      <c r="A823" s="38" t="s">
        <v>1398</v>
      </c>
      <c r="B823" s="37">
        <v>163260</v>
      </c>
      <c r="C823" s="37">
        <v>1</v>
      </c>
      <c r="D823" s="37">
        <v>1</v>
      </c>
      <c r="E823" s="39">
        <v>223</v>
      </c>
      <c r="F823" s="51">
        <v>2.9810447129831498E-4</v>
      </c>
      <c r="G823" s="37">
        <v>163260</v>
      </c>
    </row>
    <row r="824" spans="1:7" ht="15" customHeight="1" x14ac:dyDescent="0.3">
      <c r="A824" s="32" t="s">
        <v>1258</v>
      </c>
      <c r="B824" s="31">
        <v>163260</v>
      </c>
      <c r="C824" s="31">
        <v>1</v>
      </c>
      <c r="D824" s="31">
        <v>1</v>
      </c>
      <c r="E824" s="33">
        <v>250</v>
      </c>
      <c r="F824" s="49">
        <v>2.9810447129831498E-4</v>
      </c>
      <c r="G824" s="31">
        <v>163260</v>
      </c>
    </row>
    <row r="825" spans="1:7" ht="15" customHeight="1" x14ac:dyDescent="0.3">
      <c r="A825" s="38" t="s">
        <v>1511</v>
      </c>
      <c r="B825" s="37">
        <v>163260</v>
      </c>
      <c r="C825" s="37">
        <v>1</v>
      </c>
      <c r="D825" s="37">
        <v>1</v>
      </c>
      <c r="E825" s="39">
        <v>262</v>
      </c>
      <c r="F825" s="51">
        <v>2.9810447129831498E-4</v>
      </c>
      <c r="G825" s="37">
        <v>163260</v>
      </c>
    </row>
    <row r="826" spans="1:7" ht="15" customHeight="1" x14ac:dyDescent="0.3">
      <c r="A826" s="32" t="s">
        <v>203</v>
      </c>
      <c r="B826" s="31">
        <v>162000</v>
      </c>
      <c r="C826" s="31">
        <v>1</v>
      </c>
      <c r="D826" s="31">
        <v>1</v>
      </c>
      <c r="E826" s="33">
        <v>380</v>
      </c>
      <c r="F826" s="49">
        <v>2.9580377526845E-4</v>
      </c>
      <c r="G826" s="31">
        <v>162000</v>
      </c>
    </row>
    <row r="827" spans="1:7" ht="15" customHeight="1" x14ac:dyDescent="0.3">
      <c r="A827" s="38" t="s">
        <v>553</v>
      </c>
      <c r="B827" s="37">
        <v>162000</v>
      </c>
      <c r="C827" s="37">
        <v>1</v>
      </c>
      <c r="D827" s="37">
        <v>1</v>
      </c>
      <c r="E827" s="39">
        <v>1408</v>
      </c>
      <c r="F827" s="51">
        <v>2.9580377526845E-4</v>
      </c>
      <c r="G827" s="37">
        <v>162000</v>
      </c>
    </row>
    <row r="828" spans="1:7" ht="15" customHeight="1" x14ac:dyDescent="0.3">
      <c r="A828" s="32" t="s">
        <v>683</v>
      </c>
      <c r="B828" s="31">
        <v>162000</v>
      </c>
      <c r="C828" s="31">
        <v>1</v>
      </c>
      <c r="D828" s="31">
        <v>1</v>
      </c>
      <c r="E828" s="33">
        <v>3366</v>
      </c>
      <c r="F828" s="49">
        <v>2.9580377526845E-4</v>
      </c>
      <c r="G828" s="31">
        <v>162000</v>
      </c>
    </row>
    <row r="829" spans="1:7" ht="15" customHeight="1" x14ac:dyDescent="0.3">
      <c r="A829" s="38" t="s">
        <v>559</v>
      </c>
      <c r="B829" s="37">
        <v>162000</v>
      </c>
      <c r="C829" s="37">
        <v>1</v>
      </c>
      <c r="D829" s="37">
        <v>1</v>
      </c>
      <c r="E829" s="39">
        <v>1275</v>
      </c>
      <c r="F829" s="51">
        <v>2.9580377526845E-4</v>
      </c>
      <c r="G829" s="37">
        <v>162000</v>
      </c>
    </row>
    <row r="830" spans="1:7" ht="15" customHeight="1" x14ac:dyDescent="0.3">
      <c r="A830" s="32" t="s">
        <v>770</v>
      </c>
      <c r="B830" s="31">
        <v>162000</v>
      </c>
      <c r="C830" s="31">
        <v>1</v>
      </c>
      <c r="D830" s="31">
        <v>1</v>
      </c>
      <c r="E830" s="33">
        <v>926.25</v>
      </c>
      <c r="F830" s="49">
        <v>2.9580377526845E-4</v>
      </c>
      <c r="G830" s="31">
        <v>162000</v>
      </c>
    </row>
    <row r="831" spans="1:7" ht="15" customHeight="1" x14ac:dyDescent="0.3">
      <c r="A831" s="38" t="s">
        <v>363</v>
      </c>
      <c r="B831" s="37">
        <v>162000</v>
      </c>
      <c r="C831" s="37">
        <v>1</v>
      </c>
      <c r="D831" s="37">
        <v>1</v>
      </c>
      <c r="E831" s="39">
        <v>2722</v>
      </c>
      <c r="F831" s="51">
        <v>2.9580377526845E-4</v>
      </c>
      <c r="G831" s="37">
        <v>162000</v>
      </c>
    </row>
    <row r="832" spans="1:7" ht="15" customHeight="1" x14ac:dyDescent="0.3">
      <c r="A832" s="32" t="s">
        <v>434</v>
      </c>
      <c r="B832" s="31">
        <v>162000</v>
      </c>
      <c r="C832" s="31">
        <v>1</v>
      </c>
      <c r="D832" s="31">
        <v>1</v>
      </c>
      <c r="E832" s="33">
        <v>947</v>
      </c>
      <c r="F832" s="49">
        <v>2.9580377526845E-4</v>
      </c>
      <c r="G832" s="31">
        <v>162000</v>
      </c>
    </row>
    <row r="833" spans="1:7" ht="15" customHeight="1" x14ac:dyDescent="0.3">
      <c r="A833" s="38" t="s">
        <v>283</v>
      </c>
      <c r="B833" s="37">
        <v>162000</v>
      </c>
      <c r="C833" s="37">
        <v>1</v>
      </c>
      <c r="D833" s="37">
        <v>1</v>
      </c>
      <c r="E833" s="39">
        <v>654</v>
      </c>
      <c r="F833" s="51">
        <v>2.9580377526845E-4</v>
      </c>
      <c r="G833" s="37">
        <v>162000</v>
      </c>
    </row>
    <row r="834" spans="1:7" ht="15" customHeight="1" x14ac:dyDescent="0.3">
      <c r="A834" s="32" t="s">
        <v>767</v>
      </c>
      <c r="B834" s="31">
        <v>162000</v>
      </c>
      <c r="C834" s="31">
        <v>1</v>
      </c>
      <c r="D834" s="31">
        <v>1</v>
      </c>
      <c r="E834" s="33">
        <v>910</v>
      </c>
      <c r="F834" s="49">
        <v>2.9580377526845E-4</v>
      </c>
      <c r="G834" s="31">
        <v>162000</v>
      </c>
    </row>
    <row r="835" spans="1:7" ht="15" customHeight="1" x14ac:dyDescent="0.3">
      <c r="A835" s="38" t="s">
        <v>2709</v>
      </c>
      <c r="B835" s="37">
        <v>161000</v>
      </c>
      <c r="C835" s="37">
        <v>1</v>
      </c>
      <c r="D835" s="37">
        <v>1</v>
      </c>
      <c r="E835" s="39">
        <v>230</v>
      </c>
      <c r="F835" s="51">
        <v>2.9397782603839801E-4</v>
      </c>
      <c r="G835" s="37">
        <v>161000</v>
      </c>
    </row>
    <row r="836" spans="1:7" ht="15" customHeight="1" x14ac:dyDescent="0.3">
      <c r="A836" s="32" t="s">
        <v>2368</v>
      </c>
      <c r="B836" s="31">
        <v>161000</v>
      </c>
      <c r="C836" s="31">
        <v>1</v>
      </c>
      <c r="D836" s="31">
        <v>1</v>
      </c>
      <c r="E836" s="33">
        <v>814</v>
      </c>
      <c r="F836" s="49">
        <v>2.9397782603839801E-4</v>
      </c>
      <c r="G836" s="31">
        <v>161000</v>
      </c>
    </row>
    <row r="837" spans="1:7" ht="15" customHeight="1" x14ac:dyDescent="0.3">
      <c r="A837" s="38" t="s">
        <v>2854</v>
      </c>
      <c r="B837" s="37">
        <v>161000</v>
      </c>
      <c r="C837" s="37">
        <v>1</v>
      </c>
      <c r="D837" s="37">
        <v>1</v>
      </c>
      <c r="E837" s="39">
        <v>550</v>
      </c>
      <c r="F837" s="51">
        <v>2.9397782603839801E-4</v>
      </c>
      <c r="G837" s="37">
        <v>161000</v>
      </c>
    </row>
    <row r="838" spans="1:7" ht="15" customHeight="1" x14ac:dyDescent="0.3">
      <c r="A838" s="32" t="s">
        <v>2453</v>
      </c>
      <c r="B838" s="31">
        <v>161000</v>
      </c>
      <c r="C838" s="31">
        <v>1</v>
      </c>
      <c r="D838" s="31">
        <v>1</v>
      </c>
      <c r="E838" s="33">
        <v>710</v>
      </c>
      <c r="F838" s="49">
        <v>2.9397782603839801E-4</v>
      </c>
      <c r="G838" s="31">
        <v>161000</v>
      </c>
    </row>
    <row r="839" spans="1:7" ht="15" customHeight="1" x14ac:dyDescent="0.3">
      <c r="A839" s="38" t="s">
        <v>2929</v>
      </c>
      <c r="B839" s="37">
        <v>161000</v>
      </c>
      <c r="C839" s="37">
        <v>1</v>
      </c>
      <c r="D839" s="37">
        <v>1</v>
      </c>
      <c r="E839" s="39">
        <v>2262</v>
      </c>
      <c r="F839" s="51">
        <v>2.9397782603839801E-4</v>
      </c>
      <c r="G839" s="37">
        <v>161000</v>
      </c>
    </row>
    <row r="840" spans="1:7" ht="15" customHeight="1" x14ac:dyDescent="0.3">
      <c r="A840" s="32" t="s">
        <v>2297</v>
      </c>
      <c r="B840" s="31">
        <v>161000</v>
      </c>
      <c r="C840" s="31">
        <v>1</v>
      </c>
      <c r="D840" s="31">
        <v>1</v>
      </c>
      <c r="E840" s="33">
        <v>950</v>
      </c>
      <c r="F840" s="49">
        <v>2.9397782603839801E-4</v>
      </c>
      <c r="G840" s="31">
        <v>161000</v>
      </c>
    </row>
    <row r="841" spans="1:7" ht="15" customHeight="1" x14ac:dyDescent="0.3">
      <c r="A841" s="38" t="s">
        <v>416</v>
      </c>
      <c r="B841" s="37">
        <v>153700</v>
      </c>
      <c r="C841" s="37">
        <v>2</v>
      </c>
      <c r="D841" s="37">
        <v>2</v>
      </c>
      <c r="E841" s="39">
        <v>4177</v>
      </c>
      <c r="F841" s="51">
        <v>2.8064839665901698E-4</v>
      </c>
      <c r="G841" s="37">
        <v>76850</v>
      </c>
    </row>
    <row r="842" spans="1:7" ht="15" customHeight="1" x14ac:dyDescent="0.3">
      <c r="A842" s="32" t="s">
        <v>2264</v>
      </c>
      <c r="B842" s="31">
        <v>153000</v>
      </c>
      <c r="C842" s="31">
        <v>1</v>
      </c>
      <c r="D842" s="31">
        <v>1</v>
      </c>
      <c r="E842" s="33">
        <v>749.98</v>
      </c>
      <c r="F842" s="49">
        <v>2.7937023219798E-4</v>
      </c>
      <c r="G842" s="31">
        <v>153000</v>
      </c>
    </row>
    <row r="843" spans="1:7" ht="15" customHeight="1" x14ac:dyDescent="0.3">
      <c r="A843" s="38" t="s">
        <v>1524</v>
      </c>
      <c r="B843" s="37">
        <v>153000</v>
      </c>
      <c r="C843" s="37">
        <v>1</v>
      </c>
      <c r="D843" s="37">
        <v>1</v>
      </c>
      <c r="E843" s="39">
        <v>604</v>
      </c>
      <c r="F843" s="51">
        <v>2.7937023219798E-4</v>
      </c>
      <c r="G843" s="37">
        <v>153000</v>
      </c>
    </row>
    <row r="844" spans="1:7" ht="15" customHeight="1" x14ac:dyDescent="0.3">
      <c r="A844" s="32" t="s">
        <v>1244</v>
      </c>
      <c r="B844" s="31">
        <v>153000</v>
      </c>
      <c r="C844" s="31">
        <v>1</v>
      </c>
      <c r="D844" s="31">
        <v>1</v>
      </c>
      <c r="E844" s="33">
        <v>551</v>
      </c>
      <c r="F844" s="49">
        <v>2.7937023219798E-4</v>
      </c>
      <c r="G844" s="31">
        <v>153000</v>
      </c>
    </row>
    <row r="845" spans="1:7" ht="15" customHeight="1" x14ac:dyDescent="0.3">
      <c r="A845" s="38" t="s">
        <v>2751</v>
      </c>
      <c r="B845" s="37">
        <v>153000</v>
      </c>
      <c r="C845" s="37">
        <v>1</v>
      </c>
      <c r="D845" s="37">
        <v>1</v>
      </c>
      <c r="E845" s="39">
        <v>1020</v>
      </c>
      <c r="F845" s="51">
        <v>2.7937023219798E-4</v>
      </c>
      <c r="G845" s="37">
        <v>153000</v>
      </c>
    </row>
    <row r="846" spans="1:7" ht="15" customHeight="1" x14ac:dyDescent="0.3">
      <c r="A846" s="32" t="s">
        <v>833</v>
      </c>
      <c r="B846" s="31">
        <v>153000</v>
      </c>
      <c r="C846" s="31">
        <v>1</v>
      </c>
      <c r="D846" s="31">
        <v>1</v>
      </c>
      <c r="E846" s="33">
        <v>1760</v>
      </c>
      <c r="F846" s="49">
        <v>2.7937023219798E-4</v>
      </c>
      <c r="G846" s="31">
        <v>153000</v>
      </c>
    </row>
    <row r="847" spans="1:7" ht="15" customHeight="1" x14ac:dyDescent="0.3">
      <c r="A847" s="38" t="s">
        <v>2054</v>
      </c>
      <c r="B847" s="37">
        <v>153000</v>
      </c>
      <c r="C847" s="37">
        <v>1</v>
      </c>
      <c r="D847" s="37">
        <v>1</v>
      </c>
      <c r="E847" s="39">
        <v>2313</v>
      </c>
      <c r="F847" s="51">
        <v>2.7937023219798E-4</v>
      </c>
      <c r="G847" s="37">
        <v>153000</v>
      </c>
    </row>
    <row r="848" spans="1:7" ht="15" customHeight="1" x14ac:dyDescent="0.3">
      <c r="A848" s="32" t="s">
        <v>1864</v>
      </c>
      <c r="B848" s="31">
        <v>153000</v>
      </c>
      <c r="C848" s="31">
        <v>1</v>
      </c>
      <c r="D848" s="31">
        <v>1</v>
      </c>
      <c r="E848" s="33">
        <v>1288</v>
      </c>
      <c r="F848" s="49">
        <v>2.7937023219798E-4</v>
      </c>
      <c r="G848" s="31">
        <v>153000</v>
      </c>
    </row>
    <row r="849" spans="1:7" ht="15" customHeight="1" x14ac:dyDescent="0.3">
      <c r="A849" s="38" t="s">
        <v>1981</v>
      </c>
      <c r="B849" s="37">
        <v>153000</v>
      </c>
      <c r="C849" s="37">
        <v>1</v>
      </c>
      <c r="D849" s="37">
        <v>1</v>
      </c>
      <c r="E849" s="39">
        <v>431</v>
      </c>
      <c r="F849" s="51">
        <v>2.7937023219798E-4</v>
      </c>
      <c r="G849" s="37">
        <v>153000</v>
      </c>
    </row>
    <row r="850" spans="1:7" ht="15" customHeight="1" x14ac:dyDescent="0.3">
      <c r="A850" s="32" t="s">
        <v>2025</v>
      </c>
      <c r="B850" s="31">
        <v>153000</v>
      </c>
      <c r="C850" s="31">
        <v>1</v>
      </c>
      <c r="D850" s="31">
        <v>1</v>
      </c>
      <c r="E850" s="33">
        <v>280</v>
      </c>
      <c r="F850" s="49">
        <v>2.7937023219798E-4</v>
      </c>
      <c r="G850" s="31">
        <v>153000</v>
      </c>
    </row>
    <row r="851" spans="1:7" ht="15" customHeight="1" x14ac:dyDescent="0.3">
      <c r="A851" s="38" t="s">
        <v>2059</v>
      </c>
      <c r="B851" s="37">
        <v>153000</v>
      </c>
      <c r="C851" s="37">
        <v>1</v>
      </c>
      <c r="D851" s="37">
        <v>1</v>
      </c>
      <c r="E851" s="39">
        <v>1130</v>
      </c>
      <c r="F851" s="51">
        <v>2.7937023219798E-4</v>
      </c>
      <c r="G851" s="37">
        <v>153000</v>
      </c>
    </row>
    <row r="852" spans="1:7" ht="15" customHeight="1" x14ac:dyDescent="0.3">
      <c r="A852" s="32" t="s">
        <v>1842</v>
      </c>
      <c r="B852" s="31">
        <v>153000</v>
      </c>
      <c r="C852" s="31">
        <v>1</v>
      </c>
      <c r="D852" s="31">
        <v>1</v>
      </c>
      <c r="E852" s="33">
        <v>300</v>
      </c>
      <c r="F852" s="49">
        <v>2.7937023219798E-4</v>
      </c>
      <c r="G852" s="31">
        <v>153000</v>
      </c>
    </row>
    <row r="853" spans="1:7" ht="15" customHeight="1" x14ac:dyDescent="0.3">
      <c r="A853" s="38" t="s">
        <v>1343</v>
      </c>
      <c r="B853" s="37">
        <v>153000</v>
      </c>
      <c r="C853" s="37">
        <v>1</v>
      </c>
      <c r="D853" s="37">
        <v>1</v>
      </c>
      <c r="E853" s="39">
        <v>165</v>
      </c>
      <c r="F853" s="51">
        <v>2.7937023219798E-4</v>
      </c>
      <c r="G853" s="37">
        <v>153000</v>
      </c>
    </row>
    <row r="854" spans="1:7" ht="15" customHeight="1" x14ac:dyDescent="0.3">
      <c r="A854" s="32" t="s">
        <v>1146</v>
      </c>
      <c r="B854" s="31">
        <v>153000</v>
      </c>
      <c r="C854" s="31">
        <v>1</v>
      </c>
      <c r="D854" s="31">
        <v>1</v>
      </c>
      <c r="E854" s="33">
        <v>465</v>
      </c>
      <c r="F854" s="49">
        <v>2.7937023219798E-4</v>
      </c>
      <c r="G854" s="31">
        <v>153000</v>
      </c>
    </row>
    <row r="855" spans="1:7" ht="15" customHeight="1" x14ac:dyDescent="0.3">
      <c r="A855" s="38" t="s">
        <v>878</v>
      </c>
      <c r="B855" s="37">
        <v>153000</v>
      </c>
      <c r="C855" s="37">
        <v>1</v>
      </c>
      <c r="D855" s="37">
        <v>1</v>
      </c>
      <c r="E855" s="39">
        <v>470</v>
      </c>
      <c r="F855" s="51">
        <v>2.7937023219798E-4</v>
      </c>
      <c r="G855" s="37">
        <v>153000</v>
      </c>
    </row>
    <row r="856" spans="1:7" ht="15" customHeight="1" x14ac:dyDescent="0.3">
      <c r="A856" s="32" t="s">
        <v>4591</v>
      </c>
      <c r="B856" s="31">
        <v>145800</v>
      </c>
      <c r="C856" s="31">
        <v>1</v>
      </c>
      <c r="D856" s="31">
        <v>1</v>
      </c>
      <c r="E856" s="33">
        <v>340</v>
      </c>
      <c r="F856" s="49">
        <v>2.6622339774160501E-4</v>
      </c>
      <c r="G856" s="31">
        <v>145800</v>
      </c>
    </row>
    <row r="857" spans="1:7" ht="15" customHeight="1" x14ac:dyDescent="0.3">
      <c r="A857" s="38" t="s">
        <v>3481</v>
      </c>
      <c r="B857" s="37">
        <v>145800</v>
      </c>
      <c r="C857" s="37">
        <v>1</v>
      </c>
      <c r="D857" s="37">
        <v>1</v>
      </c>
      <c r="E857" s="39">
        <v>100</v>
      </c>
      <c r="F857" s="51">
        <v>2.6622339774160501E-4</v>
      </c>
      <c r="G857" s="37">
        <v>145800</v>
      </c>
    </row>
    <row r="858" spans="1:7" ht="15" customHeight="1" x14ac:dyDescent="0.3">
      <c r="A858" s="32" t="s">
        <v>3138</v>
      </c>
      <c r="B858" s="31">
        <v>145800</v>
      </c>
      <c r="C858" s="31">
        <v>1</v>
      </c>
      <c r="D858" s="31">
        <v>1</v>
      </c>
      <c r="E858" s="33">
        <v>150</v>
      </c>
      <c r="F858" s="49">
        <v>2.6622339774160501E-4</v>
      </c>
      <c r="G858" s="31">
        <v>145800</v>
      </c>
    </row>
    <row r="859" spans="1:7" ht="15" customHeight="1" x14ac:dyDescent="0.3">
      <c r="A859" s="38" t="s">
        <v>3638</v>
      </c>
      <c r="B859" s="37">
        <v>145800</v>
      </c>
      <c r="C859" s="37">
        <v>1</v>
      </c>
      <c r="D859" s="37">
        <v>1</v>
      </c>
      <c r="E859" s="39">
        <v>30</v>
      </c>
      <c r="F859" s="51">
        <v>2.6622339774160501E-4</v>
      </c>
      <c r="G859" s="37">
        <v>145800</v>
      </c>
    </row>
    <row r="860" spans="1:7" ht="15" customHeight="1" x14ac:dyDescent="0.3">
      <c r="A860" s="32" t="s">
        <v>4683</v>
      </c>
      <c r="B860" s="31">
        <v>145800</v>
      </c>
      <c r="C860" s="31">
        <v>1</v>
      </c>
      <c r="D860" s="31">
        <v>1</v>
      </c>
      <c r="E860" s="33">
        <v>163</v>
      </c>
      <c r="F860" s="49">
        <v>2.6622339774160501E-4</v>
      </c>
      <c r="G860" s="31">
        <v>145800</v>
      </c>
    </row>
    <row r="861" spans="1:7" ht="15" customHeight="1" x14ac:dyDescent="0.3">
      <c r="A861" s="38" t="s">
        <v>3253</v>
      </c>
      <c r="B861" s="37">
        <v>145800</v>
      </c>
      <c r="C861" s="37">
        <v>1</v>
      </c>
      <c r="D861" s="37">
        <v>1</v>
      </c>
      <c r="E861" s="39">
        <v>100</v>
      </c>
      <c r="F861" s="51">
        <v>2.6622339774160501E-4</v>
      </c>
      <c r="G861" s="37">
        <v>145800</v>
      </c>
    </row>
    <row r="862" spans="1:7" ht="15" customHeight="1" x14ac:dyDescent="0.3">
      <c r="A862" s="32" t="s">
        <v>3569</v>
      </c>
      <c r="B862" s="31">
        <v>145800</v>
      </c>
      <c r="C862" s="31">
        <v>1</v>
      </c>
      <c r="D862" s="31">
        <v>1</v>
      </c>
      <c r="E862" s="33">
        <v>202</v>
      </c>
      <c r="F862" s="49">
        <v>2.6622339774160501E-4</v>
      </c>
      <c r="G862" s="31">
        <v>145800</v>
      </c>
    </row>
    <row r="863" spans="1:7" ht="15" customHeight="1" x14ac:dyDescent="0.3">
      <c r="A863" s="38" t="s">
        <v>5052</v>
      </c>
      <c r="B863" s="37">
        <v>145800</v>
      </c>
      <c r="C863" s="37">
        <v>1</v>
      </c>
      <c r="D863" s="37">
        <v>1</v>
      </c>
      <c r="E863" s="39">
        <v>178</v>
      </c>
      <c r="F863" s="51">
        <v>2.6622339774160501E-4</v>
      </c>
      <c r="G863" s="37">
        <v>145800</v>
      </c>
    </row>
    <row r="864" spans="1:7" ht="15" customHeight="1" x14ac:dyDescent="0.3">
      <c r="A864" s="32" t="s">
        <v>381</v>
      </c>
      <c r="B864" s="31">
        <v>145800</v>
      </c>
      <c r="C864" s="31">
        <v>1</v>
      </c>
      <c r="D864" s="31">
        <v>1</v>
      </c>
      <c r="E864" s="33">
        <v>190</v>
      </c>
      <c r="F864" s="49">
        <v>2.6622339774160501E-4</v>
      </c>
      <c r="G864" s="31">
        <v>145800</v>
      </c>
    </row>
    <row r="865" spans="1:7" ht="15" customHeight="1" x14ac:dyDescent="0.3">
      <c r="A865" s="38" t="s">
        <v>4103</v>
      </c>
      <c r="B865" s="37">
        <v>145800</v>
      </c>
      <c r="C865" s="37">
        <v>1</v>
      </c>
      <c r="D865" s="37">
        <v>1</v>
      </c>
      <c r="E865" s="39">
        <v>232.7</v>
      </c>
      <c r="F865" s="51">
        <v>2.6622339774160501E-4</v>
      </c>
      <c r="G865" s="37">
        <v>145800</v>
      </c>
    </row>
    <row r="866" spans="1:7" ht="15" customHeight="1" x14ac:dyDescent="0.3">
      <c r="A866" s="32" t="s">
        <v>4728</v>
      </c>
      <c r="B866" s="31">
        <v>145800</v>
      </c>
      <c r="C866" s="31">
        <v>1</v>
      </c>
      <c r="D866" s="31">
        <v>1</v>
      </c>
      <c r="E866" s="33">
        <v>70</v>
      </c>
      <c r="F866" s="49">
        <v>2.6622339774160501E-4</v>
      </c>
      <c r="G866" s="31">
        <v>145800</v>
      </c>
    </row>
    <row r="867" spans="1:7" ht="15" customHeight="1" x14ac:dyDescent="0.3">
      <c r="A867" s="38" t="s">
        <v>4048</v>
      </c>
      <c r="B867" s="37">
        <v>145800</v>
      </c>
      <c r="C867" s="37">
        <v>1</v>
      </c>
      <c r="D867" s="37">
        <v>1</v>
      </c>
      <c r="E867" s="39">
        <v>130</v>
      </c>
      <c r="F867" s="51">
        <v>2.6622339774160501E-4</v>
      </c>
      <c r="G867" s="37">
        <v>145800</v>
      </c>
    </row>
    <row r="868" spans="1:7" ht="15" customHeight="1" x14ac:dyDescent="0.3">
      <c r="A868" s="32" t="s">
        <v>4816</v>
      </c>
      <c r="B868" s="31">
        <v>145800</v>
      </c>
      <c r="C868" s="31">
        <v>1</v>
      </c>
      <c r="D868" s="31">
        <v>1</v>
      </c>
      <c r="E868" s="33">
        <v>70</v>
      </c>
      <c r="F868" s="49">
        <v>2.6622339774160501E-4</v>
      </c>
      <c r="G868" s="31">
        <v>145800</v>
      </c>
    </row>
    <row r="869" spans="1:7" ht="15" customHeight="1" x14ac:dyDescent="0.3">
      <c r="A869" s="38" t="s">
        <v>3290</v>
      </c>
      <c r="B869" s="37">
        <v>145800</v>
      </c>
      <c r="C869" s="37">
        <v>1</v>
      </c>
      <c r="D869" s="37">
        <v>1</v>
      </c>
      <c r="E869" s="39">
        <v>260</v>
      </c>
      <c r="F869" s="51">
        <v>2.6622339774160501E-4</v>
      </c>
      <c r="G869" s="37">
        <v>145800</v>
      </c>
    </row>
    <row r="870" spans="1:7" ht="15" customHeight="1" x14ac:dyDescent="0.3">
      <c r="A870" s="32" t="s">
        <v>5059</v>
      </c>
      <c r="B870" s="31">
        <v>145800</v>
      </c>
      <c r="C870" s="31">
        <v>1</v>
      </c>
      <c r="D870" s="31">
        <v>1</v>
      </c>
      <c r="E870" s="33">
        <v>135.5</v>
      </c>
      <c r="F870" s="49">
        <v>2.6622339774160501E-4</v>
      </c>
      <c r="G870" s="31">
        <v>145800</v>
      </c>
    </row>
    <row r="871" spans="1:7" ht="15" customHeight="1" x14ac:dyDescent="0.3">
      <c r="A871" s="38" t="s">
        <v>4725</v>
      </c>
      <c r="B871" s="37">
        <v>145800</v>
      </c>
      <c r="C871" s="37">
        <v>1</v>
      </c>
      <c r="D871" s="37">
        <v>1</v>
      </c>
      <c r="E871" s="39">
        <v>183</v>
      </c>
      <c r="F871" s="51">
        <v>2.6622339774160501E-4</v>
      </c>
      <c r="G871" s="37">
        <v>145800</v>
      </c>
    </row>
    <row r="872" spans="1:7" ht="15" customHeight="1" x14ac:dyDescent="0.3">
      <c r="A872" s="32" t="s">
        <v>3119</v>
      </c>
      <c r="B872" s="31">
        <v>145800</v>
      </c>
      <c r="C872" s="31">
        <v>1</v>
      </c>
      <c r="D872" s="31">
        <v>1</v>
      </c>
      <c r="E872" s="33">
        <v>345</v>
      </c>
      <c r="F872" s="49">
        <v>2.6622339774160501E-4</v>
      </c>
      <c r="G872" s="31">
        <v>145800</v>
      </c>
    </row>
    <row r="873" spans="1:7" ht="15" customHeight="1" x14ac:dyDescent="0.3">
      <c r="A873" s="38" t="s">
        <v>4459</v>
      </c>
      <c r="B873" s="37">
        <v>145800</v>
      </c>
      <c r="C873" s="37">
        <v>1</v>
      </c>
      <c r="D873" s="37">
        <v>1</v>
      </c>
      <c r="E873" s="39">
        <v>524</v>
      </c>
      <c r="F873" s="51">
        <v>2.6622339774160501E-4</v>
      </c>
      <c r="G873" s="37">
        <v>145800</v>
      </c>
    </row>
    <row r="874" spans="1:7" ht="15" customHeight="1" x14ac:dyDescent="0.3">
      <c r="A874" s="32" t="s">
        <v>4315</v>
      </c>
      <c r="B874" s="31">
        <v>145800</v>
      </c>
      <c r="C874" s="31">
        <v>1</v>
      </c>
      <c r="D874" s="31">
        <v>1</v>
      </c>
      <c r="E874" s="33">
        <v>129</v>
      </c>
      <c r="F874" s="49">
        <v>2.6622339774160501E-4</v>
      </c>
      <c r="G874" s="31">
        <v>145800</v>
      </c>
    </row>
    <row r="875" spans="1:7" ht="15" customHeight="1" x14ac:dyDescent="0.3">
      <c r="A875" s="38" t="s">
        <v>4982</v>
      </c>
      <c r="B875" s="37">
        <v>145800</v>
      </c>
      <c r="C875" s="37">
        <v>1</v>
      </c>
      <c r="D875" s="37">
        <v>1</v>
      </c>
      <c r="E875" s="39">
        <v>930</v>
      </c>
      <c r="F875" s="51">
        <v>2.6622339774160501E-4</v>
      </c>
      <c r="G875" s="37">
        <v>145800</v>
      </c>
    </row>
    <row r="876" spans="1:7" ht="15" customHeight="1" x14ac:dyDescent="0.3">
      <c r="A876" s="32" t="s">
        <v>3503</v>
      </c>
      <c r="B876" s="31">
        <v>145800</v>
      </c>
      <c r="C876" s="31">
        <v>1</v>
      </c>
      <c r="D876" s="31">
        <v>1</v>
      </c>
      <c r="E876" s="33">
        <v>195</v>
      </c>
      <c r="F876" s="49">
        <v>2.6622339774160501E-4</v>
      </c>
      <c r="G876" s="31">
        <v>145800</v>
      </c>
    </row>
    <row r="877" spans="1:7" ht="15" customHeight="1" x14ac:dyDescent="0.3">
      <c r="A877" s="38" t="s">
        <v>3107</v>
      </c>
      <c r="B877" s="37">
        <v>145800</v>
      </c>
      <c r="C877" s="37">
        <v>1</v>
      </c>
      <c r="D877" s="37">
        <v>1</v>
      </c>
      <c r="E877" s="39">
        <v>570</v>
      </c>
      <c r="F877" s="51">
        <v>2.6622339774160501E-4</v>
      </c>
      <c r="G877" s="37">
        <v>145800</v>
      </c>
    </row>
    <row r="878" spans="1:7" ht="15" customHeight="1" x14ac:dyDescent="0.3">
      <c r="A878" s="32" t="s">
        <v>3939</v>
      </c>
      <c r="B878" s="31">
        <v>145800</v>
      </c>
      <c r="C878" s="31">
        <v>1</v>
      </c>
      <c r="D878" s="31">
        <v>1</v>
      </c>
      <c r="E878" s="33">
        <v>497.1</v>
      </c>
      <c r="F878" s="49">
        <v>2.6622339774160501E-4</v>
      </c>
      <c r="G878" s="31">
        <v>145800</v>
      </c>
    </row>
    <row r="879" spans="1:7" ht="15" customHeight="1" x14ac:dyDescent="0.3">
      <c r="A879" s="38" t="s">
        <v>4391</v>
      </c>
      <c r="B879" s="37">
        <v>145800</v>
      </c>
      <c r="C879" s="37">
        <v>1</v>
      </c>
      <c r="D879" s="37">
        <v>1</v>
      </c>
      <c r="E879" s="39">
        <v>149</v>
      </c>
      <c r="F879" s="51">
        <v>2.6622339774160501E-4</v>
      </c>
      <c r="G879" s="37">
        <v>145800</v>
      </c>
    </row>
    <row r="880" spans="1:7" ht="15" customHeight="1" x14ac:dyDescent="0.3">
      <c r="A880" s="32" t="s">
        <v>3770</v>
      </c>
      <c r="B880" s="31">
        <v>145800</v>
      </c>
      <c r="C880" s="31">
        <v>1</v>
      </c>
      <c r="D880" s="31">
        <v>1</v>
      </c>
      <c r="E880" s="33">
        <v>529.96</v>
      </c>
      <c r="F880" s="49">
        <v>2.6622339774160501E-4</v>
      </c>
      <c r="G880" s="31">
        <v>145800</v>
      </c>
    </row>
    <row r="881" spans="1:7" ht="15" customHeight="1" x14ac:dyDescent="0.3">
      <c r="A881" s="38" t="s">
        <v>5252</v>
      </c>
      <c r="B881" s="37">
        <v>145800</v>
      </c>
      <c r="C881" s="37">
        <v>1</v>
      </c>
      <c r="D881" s="37">
        <v>1</v>
      </c>
      <c r="E881" s="39">
        <v>156</v>
      </c>
      <c r="F881" s="51">
        <v>2.6622339774160501E-4</v>
      </c>
      <c r="G881" s="37">
        <v>145800</v>
      </c>
    </row>
    <row r="882" spans="1:7" ht="15" customHeight="1" x14ac:dyDescent="0.3">
      <c r="A882" s="32" t="s">
        <v>4411</v>
      </c>
      <c r="B882" s="31">
        <v>145800</v>
      </c>
      <c r="C882" s="31">
        <v>1</v>
      </c>
      <c r="D882" s="31">
        <v>1</v>
      </c>
      <c r="E882" s="33">
        <v>51</v>
      </c>
      <c r="F882" s="49">
        <v>2.6622339774160501E-4</v>
      </c>
      <c r="G882" s="31">
        <v>145800</v>
      </c>
    </row>
    <row r="883" spans="1:7" ht="15" customHeight="1" x14ac:dyDescent="0.3">
      <c r="A883" s="38" t="s">
        <v>4686</v>
      </c>
      <c r="B883" s="37">
        <v>145800</v>
      </c>
      <c r="C883" s="37">
        <v>1</v>
      </c>
      <c r="D883" s="37">
        <v>1</v>
      </c>
      <c r="E883" s="39">
        <v>30</v>
      </c>
      <c r="F883" s="51">
        <v>2.6622339774160501E-4</v>
      </c>
      <c r="G883" s="37">
        <v>145800</v>
      </c>
    </row>
    <row r="884" spans="1:7" ht="15" customHeight="1" x14ac:dyDescent="0.3">
      <c r="A884" s="32" t="s">
        <v>2961</v>
      </c>
      <c r="B884" s="31">
        <v>145800</v>
      </c>
      <c r="C884" s="31">
        <v>1</v>
      </c>
      <c r="D884" s="31">
        <v>1</v>
      </c>
      <c r="E884" s="33">
        <v>71</v>
      </c>
      <c r="F884" s="49">
        <v>2.6622339774160501E-4</v>
      </c>
      <c r="G884" s="31">
        <v>145800</v>
      </c>
    </row>
    <row r="885" spans="1:7" ht="15" customHeight="1" x14ac:dyDescent="0.3">
      <c r="A885" s="38" t="s">
        <v>3116</v>
      </c>
      <c r="B885" s="37">
        <v>145800</v>
      </c>
      <c r="C885" s="37">
        <v>1</v>
      </c>
      <c r="D885" s="37">
        <v>1</v>
      </c>
      <c r="E885" s="39">
        <v>443</v>
      </c>
      <c r="F885" s="51">
        <v>2.6622339774160501E-4</v>
      </c>
      <c r="G885" s="37">
        <v>145800</v>
      </c>
    </row>
    <row r="886" spans="1:7" ht="15" customHeight="1" x14ac:dyDescent="0.3">
      <c r="A886" s="32" t="s">
        <v>3494</v>
      </c>
      <c r="B886" s="31">
        <v>145800</v>
      </c>
      <c r="C886" s="31">
        <v>1</v>
      </c>
      <c r="D886" s="31">
        <v>1</v>
      </c>
      <c r="E886" s="33">
        <v>300</v>
      </c>
      <c r="F886" s="49">
        <v>2.6622339774160501E-4</v>
      </c>
      <c r="G886" s="31">
        <v>145800</v>
      </c>
    </row>
    <row r="887" spans="1:7" ht="15" customHeight="1" x14ac:dyDescent="0.3">
      <c r="A887" s="38" t="s">
        <v>3762</v>
      </c>
      <c r="B887" s="37">
        <v>145800</v>
      </c>
      <c r="C887" s="37">
        <v>1</v>
      </c>
      <c r="D887" s="37">
        <v>1</v>
      </c>
      <c r="E887" s="39">
        <v>500</v>
      </c>
      <c r="F887" s="51">
        <v>2.6622339774160501E-4</v>
      </c>
      <c r="G887" s="37">
        <v>145800</v>
      </c>
    </row>
    <row r="888" spans="1:7" ht="15" customHeight="1" x14ac:dyDescent="0.3">
      <c r="A888" s="32" t="s">
        <v>3982</v>
      </c>
      <c r="B888" s="31">
        <v>145800</v>
      </c>
      <c r="C888" s="31">
        <v>1</v>
      </c>
      <c r="D888" s="31">
        <v>1</v>
      </c>
      <c r="E888" s="33">
        <v>402</v>
      </c>
      <c r="F888" s="49">
        <v>2.6622339774160501E-4</v>
      </c>
      <c r="G888" s="31">
        <v>145800</v>
      </c>
    </row>
    <row r="889" spans="1:7" ht="15" customHeight="1" x14ac:dyDescent="0.3">
      <c r="A889" s="38" t="s">
        <v>3420</v>
      </c>
      <c r="B889" s="37">
        <v>145800</v>
      </c>
      <c r="C889" s="37">
        <v>1</v>
      </c>
      <c r="D889" s="37">
        <v>1</v>
      </c>
      <c r="E889" s="39">
        <v>255</v>
      </c>
      <c r="F889" s="51">
        <v>2.6622339774160501E-4</v>
      </c>
      <c r="G889" s="37">
        <v>145800</v>
      </c>
    </row>
    <row r="890" spans="1:7" ht="15" customHeight="1" x14ac:dyDescent="0.3">
      <c r="A890" s="32" t="s">
        <v>3428</v>
      </c>
      <c r="B890" s="31">
        <v>145800</v>
      </c>
      <c r="C890" s="31">
        <v>1</v>
      </c>
      <c r="D890" s="31">
        <v>1</v>
      </c>
      <c r="E890" s="33">
        <v>680</v>
      </c>
      <c r="F890" s="49">
        <v>2.6622339774160501E-4</v>
      </c>
      <c r="G890" s="31">
        <v>145800</v>
      </c>
    </row>
    <row r="891" spans="1:7" ht="15" customHeight="1" x14ac:dyDescent="0.3">
      <c r="A891" s="38" t="s">
        <v>2996</v>
      </c>
      <c r="B891" s="37">
        <v>145800</v>
      </c>
      <c r="C891" s="37">
        <v>1</v>
      </c>
      <c r="D891" s="37">
        <v>1</v>
      </c>
      <c r="E891" s="39">
        <v>486</v>
      </c>
      <c r="F891" s="51">
        <v>2.6622339774160501E-4</v>
      </c>
      <c r="G891" s="37">
        <v>145800</v>
      </c>
    </row>
    <row r="892" spans="1:7" ht="15" customHeight="1" x14ac:dyDescent="0.3">
      <c r="A892" s="32" t="s">
        <v>5109</v>
      </c>
      <c r="B892" s="31">
        <v>145800</v>
      </c>
      <c r="C892" s="31">
        <v>1</v>
      </c>
      <c r="D892" s="31">
        <v>1</v>
      </c>
      <c r="E892" s="33">
        <v>316</v>
      </c>
      <c r="F892" s="49">
        <v>2.6622339774160501E-4</v>
      </c>
      <c r="G892" s="31">
        <v>145800</v>
      </c>
    </row>
    <row r="893" spans="1:7" ht="15" customHeight="1" x14ac:dyDescent="0.3">
      <c r="A893" s="38" t="s">
        <v>4500</v>
      </c>
      <c r="B893" s="37">
        <v>145800</v>
      </c>
      <c r="C893" s="37">
        <v>1</v>
      </c>
      <c r="D893" s="37">
        <v>1</v>
      </c>
      <c r="E893" s="39">
        <v>378780</v>
      </c>
      <c r="F893" s="51">
        <v>2.6622339774160501E-4</v>
      </c>
      <c r="G893" s="37">
        <v>145800</v>
      </c>
    </row>
    <row r="894" spans="1:7" ht="15" customHeight="1" x14ac:dyDescent="0.3">
      <c r="A894" s="32" t="s">
        <v>3525</v>
      </c>
      <c r="B894" s="31">
        <v>145800</v>
      </c>
      <c r="C894" s="31">
        <v>1</v>
      </c>
      <c r="D894" s="31">
        <v>1</v>
      </c>
      <c r="E894" s="33">
        <v>182</v>
      </c>
      <c r="F894" s="49">
        <v>2.6622339774160501E-4</v>
      </c>
      <c r="G894" s="31">
        <v>145800</v>
      </c>
    </row>
    <row r="895" spans="1:7" ht="15" customHeight="1" x14ac:dyDescent="0.3">
      <c r="A895" s="38" t="s">
        <v>4475</v>
      </c>
      <c r="B895" s="37">
        <v>145800</v>
      </c>
      <c r="C895" s="37">
        <v>1</v>
      </c>
      <c r="D895" s="37">
        <v>1</v>
      </c>
      <c r="E895" s="39">
        <v>216</v>
      </c>
      <c r="F895" s="51">
        <v>2.6622339774160501E-4</v>
      </c>
      <c r="G895" s="37">
        <v>145800</v>
      </c>
    </row>
    <row r="896" spans="1:7" ht="15" customHeight="1" x14ac:dyDescent="0.3">
      <c r="A896" s="32" t="s">
        <v>3685</v>
      </c>
      <c r="B896" s="31">
        <v>145800</v>
      </c>
      <c r="C896" s="31">
        <v>1</v>
      </c>
      <c r="D896" s="31">
        <v>1</v>
      </c>
      <c r="E896" s="33">
        <v>85</v>
      </c>
      <c r="F896" s="49">
        <v>2.6622339774160501E-4</v>
      </c>
      <c r="G896" s="31">
        <v>145800</v>
      </c>
    </row>
    <row r="897" spans="1:7" ht="15" customHeight="1" x14ac:dyDescent="0.3">
      <c r="A897" s="38" t="s">
        <v>3644</v>
      </c>
      <c r="B897" s="37">
        <v>145800</v>
      </c>
      <c r="C897" s="37">
        <v>1</v>
      </c>
      <c r="D897" s="37">
        <v>1</v>
      </c>
      <c r="E897" s="39">
        <v>190</v>
      </c>
      <c r="F897" s="51">
        <v>2.6622339774160501E-4</v>
      </c>
      <c r="G897" s="37">
        <v>145800</v>
      </c>
    </row>
    <row r="898" spans="1:7" ht="15" customHeight="1" x14ac:dyDescent="0.3">
      <c r="A898" s="32" t="s">
        <v>3276</v>
      </c>
      <c r="B898" s="31">
        <v>145800</v>
      </c>
      <c r="C898" s="31">
        <v>1</v>
      </c>
      <c r="D898" s="31">
        <v>1</v>
      </c>
      <c r="E898" s="33">
        <v>171</v>
      </c>
      <c r="F898" s="49">
        <v>2.6622339774160501E-4</v>
      </c>
      <c r="G898" s="31">
        <v>145800</v>
      </c>
    </row>
    <row r="899" spans="1:7" ht="15" customHeight="1" x14ac:dyDescent="0.3">
      <c r="A899" s="38" t="s">
        <v>3263</v>
      </c>
      <c r="B899" s="37">
        <v>145800</v>
      </c>
      <c r="C899" s="37">
        <v>1</v>
      </c>
      <c r="D899" s="37">
        <v>1</v>
      </c>
      <c r="E899" s="39">
        <v>350</v>
      </c>
      <c r="F899" s="51">
        <v>2.6622339774160501E-4</v>
      </c>
      <c r="G899" s="37">
        <v>145800</v>
      </c>
    </row>
    <row r="900" spans="1:7" ht="15" customHeight="1" x14ac:dyDescent="0.3">
      <c r="A900" s="32" t="s">
        <v>5228</v>
      </c>
      <c r="B900" s="31">
        <v>145800</v>
      </c>
      <c r="C900" s="31">
        <v>1</v>
      </c>
      <c r="D900" s="31">
        <v>1</v>
      </c>
      <c r="E900" s="33">
        <v>58.85</v>
      </c>
      <c r="F900" s="49">
        <v>2.6622339774160501E-4</v>
      </c>
      <c r="G900" s="31">
        <v>145800</v>
      </c>
    </row>
    <row r="901" spans="1:7" ht="15" customHeight="1" x14ac:dyDescent="0.3">
      <c r="A901" s="38" t="s">
        <v>3746</v>
      </c>
      <c r="B901" s="37">
        <v>145800</v>
      </c>
      <c r="C901" s="37">
        <v>1</v>
      </c>
      <c r="D901" s="37">
        <v>1</v>
      </c>
      <c r="E901" s="39">
        <v>305</v>
      </c>
      <c r="F901" s="51">
        <v>2.6622339774160501E-4</v>
      </c>
      <c r="G901" s="37">
        <v>145800</v>
      </c>
    </row>
    <row r="902" spans="1:7" ht="15" customHeight="1" x14ac:dyDescent="0.3">
      <c r="A902" s="32" t="s">
        <v>3032</v>
      </c>
      <c r="B902" s="31">
        <v>145800</v>
      </c>
      <c r="C902" s="31">
        <v>1</v>
      </c>
      <c r="D902" s="31">
        <v>1</v>
      </c>
      <c r="E902" s="33">
        <v>935.15</v>
      </c>
      <c r="F902" s="49">
        <v>2.6622339774160501E-4</v>
      </c>
      <c r="G902" s="31">
        <v>145800</v>
      </c>
    </row>
    <row r="903" spans="1:7" ht="15" customHeight="1" x14ac:dyDescent="0.3">
      <c r="A903" s="38" t="s">
        <v>5311</v>
      </c>
      <c r="B903" s="37">
        <v>145800</v>
      </c>
      <c r="C903" s="37">
        <v>1</v>
      </c>
      <c r="D903" s="37">
        <v>1</v>
      </c>
      <c r="E903" s="39">
        <v>520</v>
      </c>
      <c r="F903" s="51">
        <v>2.6622339774160501E-4</v>
      </c>
      <c r="G903" s="37">
        <v>145800</v>
      </c>
    </row>
    <row r="904" spans="1:7" ht="15" customHeight="1" x14ac:dyDescent="0.3">
      <c r="A904" s="32" t="s">
        <v>2990</v>
      </c>
      <c r="B904" s="31">
        <v>145800</v>
      </c>
      <c r="C904" s="31">
        <v>1</v>
      </c>
      <c r="D904" s="31">
        <v>1</v>
      </c>
      <c r="E904" s="33">
        <v>330</v>
      </c>
      <c r="F904" s="49">
        <v>2.6622339774160501E-4</v>
      </c>
      <c r="G904" s="31">
        <v>145800</v>
      </c>
    </row>
    <row r="905" spans="1:7" ht="15" customHeight="1" x14ac:dyDescent="0.3">
      <c r="A905" s="38" t="s">
        <v>3781</v>
      </c>
      <c r="B905" s="37">
        <v>145800</v>
      </c>
      <c r="C905" s="37">
        <v>1</v>
      </c>
      <c r="D905" s="37">
        <v>1</v>
      </c>
      <c r="E905" s="39">
        <v>85</v>
      </c>
      <c r="F905" s="51">
        <v>2.6622339774160501E-4</v>
      </c>
      <c r="G905" s="37">
        <v>145800</v>
      </c>
    </row>
    <row r="906" spans="1:7" ht="15" customHeight="1" x14ac:dyDescent="0.3">
      <c r="A906" s="32" t="s">
        <v>3784</v>
      </c>
      <c r="B906" s="31">
        <v>145800</v>
      </c>
      <c r="C906" s="31">
        <v>1</v>
      </c>
      <c r="D906" s="31">
        <v>1</v>
      </c>
      <c r="E906" s="33">
        <v>620</v>
      </c>
      <c r="F906" s="49">
        <v>2.6622339774160501E-4</v>
      </c>
      <c r="G906" s="31">
        <v>145800</v>
      </c>
    </row>
    <row r="907" spans="1:7" ht="15" customHeight="1" x14ac:dyDescent="0.3">
      <c r="A907" s="38" t="s">
        <v>4516</v>
      </c>
      <c r="B907" s="37">
        <v>145000</v>
      </c>
      <c r="C907" s="37">
        <v>1</v>
      </c>
      <c r="D907" s="37">
        <v>1</v>
      </c>
      <c r="E907" s="39">
        <v>274</v>
      </c>
      <c r="F907" s="51">
        <v>2.6476263835756297E-4</v>
      </c>
      <c r="G907" s="37">
        <v>145000</v>
      </c>
    </row>
    <row r="908" spans="1:7" ht="15" customHeight="1" x14ac:dyDescent="0.3">
      <c r="A908" s="32" t="s">
        <v>4820</v>
      </c>
      <c r="B908" s="31">
        <v>145000</v>
      </c>
      <c r="C908" s="31">
        <v>1</v>
      </c>
      <c r="D908" s="31">
        <v>1</v>
      </c>
      <c r="E908" s="33">
        <v>64</v>
      </c>
      <c r="F908" s="49">
        <v>2.6476263835756297E-4</v>
      </c>
      <c r="G908" s="31">
        <v>145000</v>
      </c>
    </row>
    <row r="909" spans="1:7" ht="15" customHeight="1" x14ac:dyDescent="0.3">
      <c r="A909" s="38" t="s">
        <v>4296</v>
      </c>
      <c r="B909" s="37">
        <v>145000</v>
      </c>
      <c r="C909" s="37">
        <v>1</v>
      </c>
      <c r="D909" s="37">
        <v>1</v>
      </c>
      <c r="E909" s="39">
        <v>165</v>
      </c>
      <c r="F909" s="51">
        <v>2.6476263835756297E-4</v>
      </c>
      <c r="G909" s="37">
        <v>145000</v>
      </c>
    </row>
    <row r="910" spans="1:7" ht="15" customHeight="1" x14ac:dyDescent="0.3">
      <c r="A910" s="32" t="s">
        <v>159</v>
      </c>
      <c r="B910" s="31">
        <v>144260</v>
      </c>
      <c r="C910" s="31">
        <v>1</v>
      </c>
      <c r="D910" s="31">
        <v>1</v>
      </c>
      <c r="E910" s="33">
        <v>179</v>
      </c>
      <c r="F910" s="49">
        <v>2.6341143592732399E-4</v>
      </c>
      <c r="G910" s="31">
        <v>144260</v>
      </c>
    </row>
    <row r="911" spans="1:7" ht="15" customHeight="1" x14ac:dyDescent="0.3">
      <c r="A911" s="38" t="s">
        <v>258</v>
      </c>
      <c r="B911" s="37">
        <v>144260</v>
      </c>
      <c r="C911" s="37">
        <v>1</v>
      </c>
      <c r="D911" s="37">
        <v>1</v>
      </c>
      <c r="E911" s="39">
        <v>1043</v>
      </c>
      <c r="F911" s="51">
        <v>2.6341143592732399E-4</v>
      </c>
      <c r="G911" s="37">
        <v>144260</v>
      </c>
    </row>
    <row r="912" spans="1:7" ht="15" customHeight="1" x14ac:dyDescent="0.3">
      <c r="A912" s="32" t="s">
        <v>510</v>
      </c>
      <c r="B912" s="31">
        <v>144260</v>
      </c>
      <c r="C912" s="31">
        <v>1</v>
      </c>
      <c r="D912" s="31">
        <v>1</v>
      </c>
      <c r="E912" s="33">
        <v>472.18</v>
      </c>
      <c r="F912" s="49">
        <v>2.6341143592732399E-4</v>
      </c>
      <c r="G912" s="31">
        <v>144260</v>
      </c>
    </row>
    <row r="913" spans="1:7" ht="15" customHeight="1" x14ac:dyDescent="0.3">
      <c r="A913" s="38" t="s">
        <v>109</v>
      </c>
      <c r="B913" s="37">
        <v>144260</v>
      </c>
      <c r="C913" s="37">
        <v>1</v>
      </c>
      <c r="D913" s="37">
        <v>1</v>
      </c>
      <c r="E913" s="39">
        <v>120</v>
      </c>
      <c r="F913" s="51">
        <v>2.6341143592732399E-4</v>
      </c>
      <c r="G913" s="37">
        <v>144260</v>
      </c>
    </row>
    <row r="914" spans="1:7" ht="15" customHeight="1" x14ac:dyDescent="0.3">
      <c r="A914" s="32" t="s">
        <v>378</v>
      </c>
      <c r="B914" s="31">
        <v>144260</v>
      </c>
      <c r="C914" s="31">
        <v>1</v>
      </c>
      <c r="D914" s="31">
        <v>1</v>
      </c>
      <c r="E914" s="33">
        <v>469.8</v>
      </c>
      <c r="F914" s="49">
        <v>2.6341143592732399E-4</v>
      </c>
      <c r="G914" s="31">
        <v>144260</v>
      </c>
    </row>
    <row r="915" spans="1:7" ht="15" customHeight="1" x14ac:dyDescent="0.3">
      <c r="A915" s="38" t="s">
        <v>589</v>
      </c>
      <c r="B915" s="37">
        <v>144260</v>
      </c>
      <c r="C915" s="37">
        <v>1</v>
      </c>
      <c r="D915" s="37">
        <v>1</v>
      </c>
      <c r="E915" s="39">
        <v>200</v>
      </c>
      <c r="F915" s="51">
        <v>2.6341143592732399E-4</v>
      </c>
      <c r="G915" s="37">
        <v>144260</v>
      </c>
    </row>
    <row r="916" spans="1:7" ht="15" customHeight="1" x14ac:dyDescent="0.3">
      <c r="A916" s="32" t="s">
        <v>351</v>
      </c>
      <c r="B916" s="31">
        <v>144260</v>
      </c>
      <c r="C916" s="31">
        <v>1</v>
      </c>
      <c r="D916" s="31">
        <v>1</v>
      </c>
      <c r="E916" s="33">
        <v>257</v>
      </c>
      <c r="F916" s="49">
        <v>2.6341143592732399E-4</v>
      </c>
      <c r="G916" s="31">
        <v>144260</v>
      </c>
    </row>
    <row r="917" spans="1:7" ht="15" customHeight="1" x14ac:dyDescent="0.3">
      <c r="A917" s="38" t="s">
        <v>568</v>
      </c>
      <c r="B917" s="37">
        <v>144260</v>
      </c>
      <c r="C917" s="37">
        <v>1</v>
      </c>
      <c r="D917" s="37">
        <v>1</v>
      </c>
      <c r="E917" s="39">
        <v>350</v>
      </c>
      <c r="F917" s="51">
        <v>2.6341143592732399E-4</v>
      </c>
      <c r="G917" s="37">
        <v>144260</v>
      </c>
    </row>
    <row r="918" spans="1:7" ht="15" customHeight="1" x14ac:dyDescent="0.3">
      <c r="A918" s="32" t="s">
        <v>502</v>
      </c>
      <c r="B918" s="31">
        <v>144260</v>
      </c>
      <c r="C918" s="31">
        <v>1</v>
      </c>
      <c r="D918" s="31">
        <v>1</v>
      </c>
      <c r="E918" s="33">
        <v>380</v>
      </c>
      <c r="F918" s="49">
        <v>2.6341143592732399E-4</v>
      </c>
      <c r="G918" s="31">
        <v>144260</v>
      </c>
    </row>
    <row r="919" spans="1:7" ht="15" customHeight="1" x14ac:dyDescent="0.3">
      <c r="A919" s="38" t="s">
        <v>225</v>
      </c>
      <c r="B919" s="37">
        <v>144260</v>
      </c>
      <c r="C919" s="37">
        <v>1</v>
      </c>
      <c r="D919" s="37">
        <v>1</v>
      </c>
      <c r="E919" s="39">
        <v>449</v>
      </c>
      <c r="F919" s="51">
        <v>2.6341143592732399E-4</v>
      </c>
      <c r="G919" s="37">
        <v>144260</v>
      </c>
    </row>
    <row r="920" spans="1:7" ht="15" customHeight="1" x14ac:dyDescent="0.3">
      <c r="A920" s="32" t="s">
        <v>422</v>
      </c>
      <c r="B920" s="31">
        <v>144260</v>
      </c>
      <c r="C920" s="31">
        <v>1</v>
      </c>
      <c r="D920" s="31">
        <v>1</v>
      </c>
      <c r="E920" s="33">
        <v>728</v>
      </c>
      <c r="F920" s="49">
        <v>2.6341143592732399E-4</v>
      </c>
      <c r="G920" s="31">
        <v>144260</v>
      </c>
    </row>
    <row r="921" spans="1:7" ht="15" customHeight="1" x14ac:dyDescent="0.3">
      <c r="A921" s="38" t="s">
        <v>269</v>
      </c>
      <c r="B921" s="37">
        <v>144260</v>
      </c>
      <c r="C921" s="37">
        <v>1</v>
      </c>
      <c r="D921" s="37">
        <v>1</v>
      </c>
      <c r="E921" s="39">
        <v>914</v>
      </c>
      <c r="F921" s="51">
        <v>2.6341143592732399E-4</v>
      </c>
      <c r="G921" s="37">
        <v>144260</v>
      </c>
    </row>
    <row r="922" spans="1:7" ht="15" customHeight="1" x14ac:dyDescent="0.3">
      <c r="A922" s="32" t="s">
        <v>601</v>
      </c>
      <c r="B922" s="31">
        <v>144260</v>
      </c>
      <c r="C922" s="31">
        <v>1</v>
      </c>
      <c r="D922" s="31">
        <v>1</v>
      </c>
      <c r="E922" s="33">
        <v>338</v>
      </c>
      <c r="F922" s="49">
        <v>2.6341143592732399E-4</v>
      </c>
      <c r="G922" s="31">
        <v>144260</v>
      </c>
    </row>
    <row r="923" spans="1:7" ht="15" customHeight="1" x14ac:dyDescent="0.3">
      <c r="A923" s="38" t="s">
        <v>102</v>
      </c>
      <c r="B923" s="37">
        <v>144260</v>
      </c>
      <c r="C923" s="37">
        <v>1</v>
      </c>
      <c r="D923" s="37">
        <v>1</v>
      </c>
      <c r="E923" s="39">
        <v>498.25200000000001</v>
      </c>
      <c r="F923" s="51">
        <v>2.6341143592732399E-4</v>
      </c>
      <c r="G923" s="37">
        <v>144260</v>
      </c>
    </row>
    <row r="924" spans="1:7" ht="15" customHeight="1" x14ac:dyDescent="0.3">
      <c r="A924" s="32" t="s">
        <v>464</v>
      </c>
      <c r="B924" s="31">
        <v>144260</v>
      </c>
      <c r="C924" s="31">
        <v>1</v>
      </c>
      <c r="D924" s="31">
        <v>1</v>
      </c>
      <c r="E924" s="33">
        <v>70</v>
      </c>
      <c r="F924" s="49">
        <v>2.6341143592732399E-4</v>
      </c>
      <c r="G924" s="31">
        <v>144260</v>
      </c>
    </row>
    <row r="925" spans="1:7" ht="15" customHeight="1" x14ac:dyDescent="0.3">
      <c r="A925" s="38" t="s">
        <v>544</v>
      </c>
      <c r="B925" s="37">
        <v>144260</v>
      </c>
      <c r="C925" s="37">
        <v>1</v>
      </c>
      <c r="D925" s="37">
        <v>1</v>
      </c>
      <c r="E925" s="39">
        <v>450</v>
      </c>
      <c r="F925" s="51">
        <v>2.6341143592732399E-4</v>
      </c>
      <c r="G925" s="37">
        <v>144260</v>
      </c>
    </row>
    <row r="926" spans="1:7" ht="15" customHeight="1" x14ac:dyDescent="0.3">
      <c r="A926" s="32" t="s">
        <v>148</v>
      </c>
      <c r="B926" s="31">
        <v>144260</v>
      </c>
      <c r="C926" s="31">
        <v>1</v>
      </c>
      <c r="D926" s="31">
        <v>1</v>
      </c>
      <c r="E926" s="33">
        <v>514.83299999999997</v>
      </c>
      <c r="F926" s="49">
        <v>2.6341143592732399E-4</v>
      </c>
      <c r="G926" s="31">
        <v>144260</v>
      </c>
    </row>
    <row r="927" spans="1:7" ht="15" customHeight="1" x14ac:dyDescent="0.3">
      <c r="A927" s="38" t="s">
        <v>577</v>
      </c>
      <c r="B927" s="37">
        <v>144260</v>
      </c>
      <c r="C927" s="37">
        <v>1</v>
      </c>
      <c r="D927" s="37">
        <v>1</v>
      </c>
      <c r="E927" s="39">
        <v>1288.3</v>
      </c>
      <c r="F927" s="51">
        <v>2.6341143592732399E-4</v>
      </c>
      <c r="G927" s="37">
        <v>144260</v>
      </c>
    </row>
    <row r="928" spans="1:7" ht="15" customHeight="1" x14ac:dyDescent="0.3">
      <c r="A928" s="32" t="s">
        <v>654</v>
      </c>
      <c r="B928" s="31">
        <v>144260</v>
      </c>
      <c r="C928" s="31">
        <v>1</v>
      </c>
      <c r="D928" s="31">
        <v>1</v>
      </c>
      <c r="E928" s="33">
        <v>195</v>
      </c>
      <c r="F928" s="49">
        <v>2.6341143592732399E-4</v>
      </c>
      <c r="G928" s="31">
        <v>144260</v>
      </c>
    </row>
    <row r="929" spans="1:7" ht="15" customHeight="1" x14ac:dyDescent="0.3">
      <c r="A929" s="38" t="s">
        <v>319</v>
      </c>
      <c r="B929" s="37">
        <v>144260</v>
      </c>
      <c r="C929" s="37">
        <v>1</v>
      </c>
      <c r="D929" s="37">
        <v>1</v>
      </c>
      <c r="E929" s="39">
        <v>1893</v>
      </c>
      <c r="F929" s="51">
        <v>2.6341143592732399E-4</v>
      </c>
      <c r="G929" s="37">
        <v>144260</v>
      </c>
    </row>
    <row r="930" spans="1:7" ht="15" customHeight="1" x14ac:dyDescent="0.3">
      <c r="A930" s="32" t="s">
        <v>390</v>
      </c>
      <c r="B930" s="31">
        <v>144260</v>
      </c>
      <c r="C930" s="31">
        <v>1</v>
      </c>
      <c r="D930" s="31">
        <v>1</v>
      </c>
      <c r="E930" s="33">
        <v>683</v>
      </c>
      <c r="F930" s="49">
        <v>2.6341143592732399E-4</v>
      </c>
      <c r="G930" s="31">
        <v>144260</v>
      </c>
    </row>
    <row r="931" spans="1:7" ht="15" customHeight="1" x14ac:dyDescent="0.3">
      <c r="A931" s="38" t="s">
        <v>5217</v>
      </c>
      <c r="B931" s="37">
        <v>143000</v>
      </c>
      <c r="C931" s="37">
        <v>1</v>
      </c>
      <c r="D931" s="37">
        <v>1</v>
      </c>
      <c r="E931" s="39">
        <v>245</v>
      </c>
      <c r="F931" s="51">
        <v>2.61110739897459E-4</v>
      </c>
      <c r="G931" s="37">
        <v>143000</v>
      </c>
    </row>
    <row r="932" spans="1:7" ht="15" customHeight="1" x14ac:dyDescent="0.3">
      <c r="A932" s="32" t="s">
        <v>4559</v>
      </c>
      <c r="B932" s="31">
        <v>143000</v>
      </c>
      <c r="C932" s="31">
        <v>1</v>
      </c>
      <c r="D932" s="31">
        <v>1</v>
      </c>
      <c r="E932" s="33">
        <v>72</v>
      </c>
      <c r="F932" s="49">
        <v>2.61110739897459E-4</v>
      </c>
      <c r="G932" s="31">
        <v>143000</v>
      </c>
    </row>
    <row r="933" spans="1:7" ht="15" customHeight="1" x14ac:dyDescent="0.3">
      <c r="A933" s="38" t="s">
        <v>3809</v>
      </c>
      <c r="B933" s="37">
        <v>143000</v>
      </c>
      <c r="C933" s="37">
        <v>1</v>
      </c>
      <c r="D933" s="37">
        <v>1</v>
      </c>
      <c r="E933" s="39">
        <v>816</v>
      </c>
      <c r="F933" s="51">
        <v>2.61110739897459E-4</v>
      </c>
      <c r="G933" s="37">
        <v>143000</v>
      </c>
    </row>
    <row r="934" spans="1:7" ht="15" customHeight="1" x14ac:dyDescent="0.3">
      <c r="A934" s="32" t="s">
        <v>3057</v>
      </c>
      <c r="B934" s="31">
        <v>143000</v>
      </c>
      <c r="C934" s="31">
        <v>1</v>
      </c>
      <c r="D934" s="31">
        <v>1</v>
      </c>
      <c r="E934" s="33">
        <v>161</v>
      </c>
      <c r="F934" s="49">
        <v>2.61110739897459E-4</v>
      </c>
      <c r="G934" s="31">
        <v>143000</v>
      </c>
    </row>
    <row r="935" spans="1:7" ht="15" customHeight="1" x14ac:dyDescent="0.3">
      <c r="A935" s="38" t="s">
        <v>4244</v>
      </c>
      <c r="B935" s="37">
        <v>143000</v>
      </c>
      <c r="C935" s="37">
        <v>1</v>
      </c>
      <c r="D935" s="37">
        <v>1</v>
      </c>
      <c r="E935" s="39">
        <v>100</v>
      </c>
      <c r="F935" s="51">
        <v>2.61110739897459E-4</v>
      </c>
      <c r="G935" s="37">
        <v>143000</v>
      </c>
    </row>
    <row r="936" spans="1:7" ht="15" customHeight="1" x14ac:dyDescent="0.3">
      <c r="A936" s="32" t="s">
        <v>3038</v>
      </c>
      <c r="B936" s="31">
        <v>143000</v>
      </c>
      <c r="C936" s="31">
        <v>1</v>
      </c>
      <c r="D936" s="31">
        <v>1</v>
      </c>
      <c r="E936" s="33">
        <v>880</v>
      </c>
      <c r="F936" s="49">
        <v>2.61110739897459E-4</v>
      </c>
      <c r="G936" s="31">
        <v>143000</v>
      </c>
    </row>
    <row r="937" spans="1:7" ht="15" customHeight="1" x14ac:dyDescent="0.3">
      <c r="A937" s="38" t="s">
        <v>4472</v>
      </c>
      <c r="B937" s="37">
        <v>143000</v>
      </c>
      <c r="C937" s="37">
        <v>1</v>
      </c>
      <c r="D937" s="37">
        <v>1</v>
      </c>
      <c r="E937" s="39">
        <v>30</v>
      </c>
      <c r="F937" s="51">
        <v>2.61110739897459E-4</v>
      </c>
      <c r="G937" s="37">
        <v>143000</v>
      </c>
    </row>
    <row r="938" spans="1:7" ht="15" customHeight="1" x14ac:dyDescent="0.3">
      <c r="A938" s="32" t="s">
        <v>3283</v>
      </c>
      <c r="B938" s="31">
        <v>143000</v>
      </c>
      <c r="C938" s="31">
        <v>1</v>
      </c>
      <c r="D938" s="31">
        <v>1</v>
      </c>
      <c r="E938" s="33">
        <v>34</v>
      </c>
      <c r="F938" s="49">
        <v>2.61110739897459E-4</v>
      </c>
      <c r="G938" s="31">
        <v>143000</v>
      </c>
    </row>
    <row r="939" spans="1:7" ht="15" customHeight="1" x14ac:dyDescent="0.3">
      <c r="A939" s="38" t="s">
        <v>3532</v>
      </c>
      <c r="B939" s="37">
        <v>143000</v>
      </c>
      <c r="C939" s="37">
        <v>1</v>
      </c>
      <c r="D939" s="37">
        <v>1</v>
      </c>
      <c r="E939" s="39">
        <v>178</v>
      </c>
      <c r="F939" s="51">
        <v>2.61110739897459E-4</v>
      </c>
      <c r="G939" s="37">
        <v>143000</v>
      </c>
    </row>
    <row r="940" spans="1:7" ht="15" customHeight="1" x14ac:dyDescent="0.3">
      <c r="A940" s="32" t="s">
        <v>3655</v>
      </c>
      <c r="B940" s="31">
        <v>143000</v>
      </c>
      <c r="C940" s="31">
        <v>1</v>
      </c>
      <c r="D940" s="31">
        <v>1</v>
      </c>
      <c r="E940" s="33">
        <v>156</v>
      </c>
      <c r="F940" s="49">
        <v>2.61110739897459E-4</v>
      </c>
      <c r="G940" s="31">
        <v>143000</v>
      </c>
    </row>
    <row r="941" spans="1:7" ht="15" customHeight="1" x14ac:dyDescent="0.3">
      <c r="A941" s="38" t="s">
        <v>3598</v>
      </c>
      <c r="B941" s="37">
        <v>143000</v>
      </c>
      <c r="C941" s="37">
        <v>1</v>
      </c>
      <c r="D941" s="37">
        <v>1</v>
      </c>
      <c r="E941" s="39">
        <v>88</v>
      </c>
      <c r="F941" s="51">
        <v>2.61110739897459E-4</v>
      </c>
      <c r="G941" s="37">
        <v>143000</v>
      </c>
    </row>
    <row r="942" spans="1:7" ht="15" customHeight="1" x14ac:dyDescent="0.3">
      <c r="A942" s="32" t="s">
        <v>3010</v>
      </c>
      <c r="B942" s="31">
        <v>143000</v>
      </c>
      <c r="C942" s="31">
        <v>1</v>
      </c>
      <c r="D942" s="31">
        <v>1</v>
      </c>
      <c r="E942" s="33">
        <v>760</v>
      </c>
      <c r="F942" s="49">
        <v>2.61110739897459E-4</v>
      </c>
      <c r="G942" s="31">
        <v>143000</v>
      </c>
    </row>
    <row r="943" spans="1:7" ht="15" customHeight="1" x14ac:dyDescent="0.3">
      <c r="A943" s="38" t="s">
        <v>3036</v>
      </c>
      <c r="B943" s="37">
        <v>143000</v>
      </c>
      <c r="C943" s="37">
        <v>1</v>
      </c>
      <c r="D943" s="37">
        <v>1</v>
      </c>
      <c r="E943" s="39">
        <v>109.6</v>
      </c>
      <c r="F943" s="51">
        <v>2.61110739897459E-4</v>
      </c>
      <c r="G943" s="37">
        <v>143000</v>
      </c>
    </row>
    <row r="944" spans="1:7" ht="15" customHeight="1" x14ac:dyDescent="0.3">
      <c r="A944" s="32" t="s">
        <v>3580</v>
      </c>
      <c r="B944" s="31">
        <v>143000</v>
      </c>
      <c r="C944" s="31">
        <v>1</v>
      </c>
      <c r="D944" s="31">
        <v>1</v>
      </c>
      <c r="E944" s="33">
        <v>414</v>
      </c>
      <c r="F944" s="49">
        <v>2.61110739897459E-4</v>
      </c>
      <c r="G944" s="31">
        <v>143000</v>
      </c>
    </row>
    <row r="945" spans="1:7" ht="15" customHeight="1" x14ac:dyDescent="0.3">
      <c r="A945" s="38" t="s">
        <v>4036</v>
      </c>
      <c r="B945" s="37">
        <v>143000</v>
      </c>
      <c r="C945" s="37">
        <v>1</v>
      </c>
      <c r="D945" s="37">
        <v>1</v>
      </c>
      <c r="E945" s="39">
        <v>390</v>
      </c>
      <c r="F945" s="51">
        <v>2.61110739897459E-4</v>
      </c>
      <c r="G945" s="37">
        <v>143000</v>
      </c>
    </row>
    <row r="946" spans="1:7" ht="15" customHeight="1" x14ac:dyDescent="0.3">
      <c r="A946" s="32" t="s">
        <v>4086</v>
      </c>
      <c r="B946" s="31">
        <v>143000</v>
      </c>
      <c r="C946" s="31">
        <v>1</v>
      </c>
      <c r="D946" s="31">
        <v>1</v>
      </c>
      <c r="E946" s="33">
        <v>420</v>
      </c>
      <c r="F946" s="49">
        <v>2.61110739897459E-4</v>
      </c>
      <c r="G946" s="31">
        <v>143000</v>
      </c>
    </row>
    <row r="947" spans="1:7" ht="15" customHeight="1" x14ac:dyDescent="0.3">
      <c r="A947" s="38" t="s">
        <v>3484</v>
      </c>
      <c r="B947" s="37">
        <v>143000</v>
      </c>
      <c r="C947" s="37">
        <v>1</v>
      </c>
      <c r="D947" s="37">
        <v>1</v>
      </c>
      <c r="E947" s="39">
        <v>77</v>
      </c>
      <c r="F947" s="51">
        <v>2.61110739897459E-4</v>
      </c>
      <c r="G947" s="37">
        <v>143000</v>
      </c>
    </row>
    <row r="948" spans="1:7" ht="15" customHeight="1" x14ac:dyDescent="0.3">
      <c r="A948" s="32" t="s">
        <v>3321</v>
      </c>
      <c r="B948" s="31">
        <v>143000</v>
      </c>
      <c r="C948" s="31">
        <v>1</v>
      </c>
      <c r="D948" s="31">
        <v>1</v>
      </c>
      <c r="E948" s="33">
        <v>92</v>
      </c>
      <c r="F948" s="49">
        <v>2.61110739897459E-4</v>
      </c>
      <c r="G948" s="31">
        <v>143000</v>
      </c>
    </row>
    <row r="949" spans="1:7" ht="15" customHeight="1" x14ac:dyDescent="0.3">
      <c r="A949" s="38" t="s">
        <v>2985</v>
      </c>
      <c r="B949" s="37">
        <v>143000</v>
      </c>
      <c r="C949" s="37">
        <v>1</v>
      </c>
      <c r="D949" s="37">
        <v>1</v>
      </c>
      <c r="E949" s="39">
        <v>352</v>
      </c>
      <c r="F949" s="51">
        <v>2.61110739897459E-4</v>
      </c>
      <c r="G949" s="37">
        <v>143000</v>
      </c>
    </row>
    <row r="950" spans="1:7" ht="15" customHeight="1" x14ac:dyDescent="0.3">
      <c r="A950" s="32" t="s">
        <v>4184</v>
      </c>
      <c r="B950" s="31">
        <v>143000</v>
      </c>
      <c r="C950" s="31">
        <v>1</v>
      </c>
      <c r="D950" s="31">
        <v>1</v>
      </c>
      <c r="E950" s="33">
        <v>138</v>
      </c>
      <c r="F950" s="49">
        <v>2.61110739897459E-4</v>
      </c>
      <c r="G950" s="31">
        <v>143000</v>
      </c>
    </row>
    <row r="951" spans="1:7" ht="15" customHeight="1" x14ac:dyDescent="0.3">
      <c r="A951" s="38" t="s">
        <v>5160</v>
      </c>
      <c r="B951" s="37">
        <v>143000</v>
      </c>
      <c r="C951" s="37">
        <v>1</v>
      </c>
      <c r="D951" s="37">
        <v>1</v>
      </c>
      <c r="E951" s="39">
        <v>1220</v>
      </c>
      <c r="F951" s="51">
        <v>2.61110739897459E-4</v>
      </c>
      <c r="G951" s="37">
        <v>143000</v>
      </c>
    </row>
    <row r="952" spans="1:7" ht="15" customHeight="1" x14ac:dyDescent="0.3">
      <c r="A952" s="32" t="s">
        <v>3034</v>
      </c>
      <c r="B952" s="31">
        <v>143000</v>
      </c>
      <c r="C952" s="31">
        <v>1</v>
      </c>
      <c r="D952" s="31">
        <v>1</v>
      </c>
      <c r="E952" s="33">
        <v>380</v>
      </c>
      <c r="F952" s="49">
        <v>2.61110739897459E-4</v>
      </c>
      <c r="G952" s="31">
        <v>143000</v>
      </c>
    </row>
    <row r="953" spans="1:7" ht="15" customHeight="1" x14ac:dyDescent="0.3">
      <c r="A953" s="38" t="s">
        <v>4061</v>
      </c>
      <c r="B953" s="37">
        <v>143000</v>
      </c>
      <c r="C953" s="37">
        <v>1</v>
      </c>
      <c r="D953" s="37">
        <v>1</v>
      </c>
      <c r="E953" s="39">
        <v>56</v>
      </c>
      <c r="F953" s="51">
        <v>2.61110739897459E-4</v>
      </c>
      <c r="G953" s="37">
        <v>143000</v>
      </c>
    </row>
    <row r="954" spans="1:7" ht="15" customHeight="1" x14ac:dyDescent="0.3">
      <c r="A954" s="32" t="s">
        <v>3066</v>
      </c>
      <c r="B954" s="31">
        <v>143000</v>
      </c>
      <c r="C954" s="31">
        <v>1</v>
      </c>
      <c r="D954" s="31">
        <v>1</v>
      </c>
      <c r="E954" s="33">
        <v>92.65</v>
      </c>
      <c r="F954" s="49">
        <v>2.61110739897459E-4</v>
      </c>
      <c r="G954" s="31">
        <v>143000</v>
      </c>
    </row>
    <row r="955" spans="1:7" ht="15" customHeight="1" x14ac:dyDescent="0.3">
      <c r="A955" s="38" t="s">
        <v>3413</v>
      </c>
      <c r="B955" s="37">
        <v>143000</v>
      </c>
      <c r="C955" s="37">
        <v>1</v>
      </c>
      <c r="D955" s="37">
        <v>1</v>
      </c>
      <c r="E955" s="39">
        <v>600</v>
      </c>
      <c r="F955" s="51">
        <v>2.61110739897459E-4</v>
      </c>
      <c r="G955" s="37">
        <v>143000</v>
      </c>
    </row>
    <row r="956" spans="1:7" ht="15" customHeight="1" x14ac:dyDescent="0.3">
      <c r="A956" s="32" t="s">
        <v>3196</v>
      </c>
      <c r="B956" s="31">
        <v>143000</v>
      </c>
      <c r="C956" s="31">
        <v>1</v>
      </c>
      <c r="D956" s="31">
        <v>1</v>
      </c>
      <c r="E956" s="33">
        <v>585</v>
      </c>
      <c r="F956" s="49">
        <v>2.61110739897459E-4</v>
      </c>
      <c r="G956" s="31">
        <v>143000</v>
      </c>
    </row>
    <row r="957" spans="1:7" ht="15" customHeight="1" x14ac:dyDescent="0.3">
      <c r="A957" s="38" t="s">
        <v>3151</v>
      </c>
      <c r="B957" s="37">
        <v>143000</v>
      </c>
      <c r="C957" s="37">
        <v>1</v>
      </c>
      <c r="D957" s="37">
        <v>1</v>
      </c>
      <c r="E957" s="39">
        <v>301</v>
      </c>
      <c r="F957" s="51">
        <v>2.61110739897459E-4</v>
      </c>
      <c r="G957" s="37">
        <v>143000</v>
      </c>
    </row>
    <row r="958" spans="1:7" ht="15" customHeight="1" x14ac:dyDescent="0.3">
      <c r="A958" s="32" t="s">
        <v>2218</v>
      </c>
      <c r="B958" s="31">
        <v>137260</v>
      </c>
      <c r="C958" s="31">
        <v>1</v>
      </c>
      <c r="D958" s="31">
        <v>1</v>
      </c>
      <c r="E958" s="33">
        <v>222</v>
      </c>
      <c r="F958" s="49">
        <v>2.50629791316959E-4</v>
      </c>
      <c r="G958" s="31">
        <v>137260</v>
      </c>
    </row>
    <row r="959" spans="1:7" ht="15" customHeight="1" x14ac:dyDescent="0.3">
      <c r="A959" s="38" t="s">
        <v>720</v>
      </c>
      <c r="B959" s="37">
        <v>137260</v>
      </c>
      <c r="C959" s="37">
        <v>1</v>
      </c>
      <c r="D959" s="37">
        <v>1</v>
      </c>
      <c r="E959" s="39">
        <v>250</v>
      </c>
      <c r="F959" s="51">
        <v>2.50629791316959E-4</v>
      </c>
      <c r="G959" s="37">
        <v>137260</v>
      </c>
    </row>
    <row r="960" spans="1:7" ht="15" customHeight="1" x14ac:dyDescent="0.3">
      <c r="A960" s="32" t="s">
        <v>2685</v>
      </c>
      <c r="B960" s="31">
        <v>137260</v>
      </c>
      <c r="C960" s="31">
        <v>1</v>
      </c>
      <c r="D960" s="31">
        <v>1</v>
      </c>
      <c r="E960" s="33">
        <v>104</v>
      </c>
      <c r="F960" s="49">
        <v>2.50629791316959E-4</v>
      </c>
      <c r="G960" s="31">
        <v>137260</v>
      </c>
    </row>
    <row r="961" spans="1:7" ht="15" customHeight="1" x14ac:dyDescent="0.3">
      <c r="A961" s="38" t="s">
        <v>2356</v>
      </c>
      <c r="B961" s="37">
        <v>137260</v>
      </c>
      <c r="C961" s="37">
        <v>1</v>
      </c>
      <c r="D961" s="37">
        <v>1</v>
      </c>
      <c r="E961" s="39">
        <v>167</v>
      </c>
      <c r="F961" s="51">
        <v>2.50629791316959E-4</v>
      </c>
      <c r="G961" s="37">
        <v>137260</v>
      </c>
    </row>
    <row r="962" spans="1:7" ht="15" customHeight="1" x14ac:dyDescent="0.3">
      <c r="A962" s="32" t="s">
        <v>2467</v>
      </c>
      <c r="B962" s="31">
        <v>137260</v>
      </c>
      <c r="C962" s="31">
        <v>1</v>
      </c>
      <c r="D962" s="31">
        <v>1</v>
      </c>
      <c r="E962" s="33">
        <v>61</v>
      </c>
      <c r="F962" s="49">
        <v>2.50629791316959E-4</v>
      </c>
      <c r="G962" s="31">
        <v>137260</v>
      </c>
    </row>
    <row r="963" spans="1:7" ht="15" customHeight="1" x14ac:dyDescent="0.3">
      <c r="A963" s="38" t="s">
        <v>1069</v>
      </c>
      <c r="B963" s="37">
        <v>137260</v>
      </c>
      <c r="C963" s="37">
        <v>1</v>
      </c>
      <c r="D963" s="37">
        <v>1</v>
      </c>
      <c r="E963" s="39">
        <v>10</v>
      </c>
      <c r="F963" s="51">
        <v>2.50629791316959E-4</v>
      </c>
      <c r="G963" s="37">
        <v>137260</v>
      </c>
    </row>
    <row r="964" spans="1:7" ht="15" customHeight="1" x14ac:dyDescent="0.3">
      <c r="A964" s="32" t="s">
        <v>1767</v>
      </c>
      <c r="B964" s="31">
        <v>137260</v>
      </c>
      <c r="C964" s="31">
        <v>1</v>
      </c>
      <c r="D964" s="31">
        <v>1</v>
      </c>
      <c r="E964" s="33">
        <v>246.8</v>
      </c>
      <c r="F964" s="49">
        <v>2.50629791316959E-4</v>
      </c>
      <c r="G964" s="31">
        <v>137260</v>
      </c>
    </row>
    <row r="965" spans="1:7" ht="15" customHeight="1" x14ac:dyDescent="0.3">
      <c r="A965" s="38" t="s">
        <v>2746</v>
      </c>
      <c r="B965" s="37">
        <v>137260</v>
      </c>
      <c r="C965" s="37">
        <v>1</v>
      </c>
      <c r="D965" s="37">
        <v>1</v>
      </c>
      <c r="E965" s="39">
        <v>67</v>
      </c>
      <c r="F965" s="51">
        <v>2.50629791316959E-4</v>
      </c>
      <c r="G965" s="37">
        <v>137260</v>
      </c>
    </row>
    <row r="966" spans="1:7" ht="15" customHeight="1" x14ac:dyDescent="0.3">
      <c r="A966" s="32" t="s">
        <v>1849</v>
      </c>
      <c r="B966" s="31">
        <v>137260</v>
      </c>
      <c r="C966" s="31">
        <v>1</v>
      </c>
      <c r="D966" s="31">
        <v>1</v>
      </c>
      <c r="E966" s="33">
        <v>149</v>
      </c>
      <c r="F966" s="49">
        <v>2.50629791316959E-4</v>
      </c>
      <c r="G966" s="31">
        <v>137260</v>
      </c>
    </row>
    <row r="967" spans="1:7" ht="15" customHeight="1" x14ac:dyDescent="0.3">
      <c r="A967" s="38" t="s">
        <v>1626</v>
      </c>
      <c r="B967" s="37">
        <v>137260</v>
      </c>
      <c r="C967" s="37">
        <v>1</v>
      </c>
      <c r="D967" s="37">
        <v>1</v>
      </c>
      <c r="E967" s="39">
        <v>185.6</v>
      </c>
      <c r="F967" s="51">
        <v>2.50629791316959E-4</v>
      </c>
      <c r="G967" s="37">
        <v>137260</v>
      </c>
    </row>
    <row r="968" spans="1:7" ht="15" customHeight="1" x14ac:dyDescent="0.3">
      <c r="A968" s="32" t="s">
        <v>2269</v>
      </c>
      <c r="B968" s="31">
        <v>137260</v>
      </c>
      <c r="C968" s="31">
        <v>1</v>
      </c>
      <c r="D968" s="31">
        <v>1</v>
      </c>
      <c r="E968" s="33">
        <v>366.82</v>
      </c>
      <c r="F968" s="49">
        <v>2.50629791316959E-4</v>
      </c>
      <c r="G968" s="31">
        <v>137260</v>
      </c>
    </row>
    <row r="969" spans="1:7" ht="15" customHeight="1" x14ac:dyDescent="0.3">
      <c r="A969" s="38" t="s">
        <v>829</v>
      </c>
      <c r="B969" s="37">
        <v>137260</v>
      </c>
      <c r="C969" s="37">
        <v>1</v>
      </c>
      <c r="D969" s="37">
        <v>1</v>
      </c>
      <c r="E969" s="39">
        <v>200</v>
      </c>
      <c r="F969" s="51">
        <v>2.50629791316959E-4</v>
      </c>
      <c r="G969" s="37">
        <v>137260</v>
      </c>
    </row>
    <row r="970" spans="1:7" ht="15" customHeight="1" x14ac:dyDescent="0.3">
      <c r="A970" s="32" t="s">
        <v>1410</v>
      </c>
      <c r="B970" s="31">
        <v>137260</v>
      </c>
      <c r="C970" s="31">
        <v>1</v>
      </c>
      <c r="D970" s="31">
        <v>1</v>
      </c>
      <c r="E970" s="33">
        <v>129.33000000000001</v>
      </c>
      <c r="F970" s="49">
        <v>2.50629791316959E-4</v>
      </c>
      <c r="G970" s="31">
        <v>137260</v>
      </c>
    </row>
    <row r="971" spans="1:7" ht="15" customHeight="1" x14ac:dyDescent="0.3">
      <c r="A971" s="38" t="s">
        <v>2818</v>
      </c>
      <c r="B971" s="37">
        <v>137260</v>
      </c>
      <c r="C971" s="37">
        <v>1</v>
      </c>
      <c r="D971" s="37">
        <v>1</v>
      </c>
      <c r="E971" s="39">
        <v>209</v>
      </c>
      <c r="F971" s="51">
        <v>2.50629791316959E-4</v>
      </c>
      <c r="G971" s="37">
        <v>137260</v>
      </c>
    </row>
    <row r="972" spans="1:7" ht="15" customHeight="1" x14ac:dyDescent="0.3">
      <c r="A972" s="32" t="s">
        <v>2932</v>
      </c>
      <c r="B972" s="31">
        <v>137260</v>
      </c>
      <c r="C972" s="31">
        <v>1</v>
      </c>
      <c r="D972" s="31">
        <v>1</v>
      </c>
      <c r="E972" s="33">
        <v>1050</v>
      </c>
      <c r="F972" s="49">
        <v>2.50629791316959E-4</v>
      </c>
      <c r="G972" s="31">
        <v>137260</v>
      </c>
    </row>
    <row r="973" spans="1:7" ht="15" customHeight="1" x14ac:dyDescent="0.3">
      <c r="A973" s="38" t="s">
        <v>1484</v>
      </c>
      <c r="B973" s="37">
        <v>137260</v>
      </c>
      <c r="C973" s="37">
        <v>1</v>
      </c>
      <c r="D973" s="37">
        <v>1</v>
      </c>
      <c r="E973" s="39">
        <v>176</v>
      </c>
      <c r="F973" s="51">
        <v>2.50629791316959E-4</v>
      </c>
      <c r="G973" s="37">
        <v>137260</v>
      </c>
    </row>
    <row r="974" spans="1:7" ht="15" customHeight="1" x14ac:dyDescent="0.3">
      <c r="A974" s="32" t="s">
        <v>994</v>
      </c>
      <c r="B974" s="31">
        <v>137260</v>
      </c>
      <c r="C974" s="31">
        <v>1</v>
      </c>
      <c r="D974" s="31">
        <v>1</v>
      </c>
      <c r="E974" s="33">
        <v>1070</v>
      </c>
      <c r="F974" s="49">
        <v>2.50629791316959E-4</v>
      </c>
      <c r="G974" s="31">
        <v>137260</v>
      </c>
    </row>
    <row r="975" spans="1:7" ht="15" customHeight="1" x14ac:dyDescent="0.3">
      <c r="A975" s="38" t="s">
        <v>1365</v>
      </c>
      <c r="B975" s="37">
        <v>137260</v>
      </c>
      <c r="C975" s="37">
        <v>1</v>
      </c>
      <c r="D975" s="37">
        <v>1</v>
      </c>
      <c r="E975" s="39">
        <v>195.4</v>
      </c>
      <c r="F975" s="51">
        <v>2.50629791316959E-4</v>
      </c>
      <c r="G975" s="37">
        <v>137260</v>
      </c>
    </row>
    <row r="976" spans="1:7" ht="15" customHeight="1" x14ac:dyDescent="0.3">
      <c r="A976" s="32" t="s">
        <v>2646</v>
      </c>
      <c r="B976" s="31">
        <v>137260</v>
      </c>
      <c r="C976" s="31">
        <v>1</v>
      </c>
      <c r="D976" s="31">
        <v>1</v>
      </c>
      <c r="E976" s="33">
        <v>320</v>
      </c>
      <c r="F976" s="49">
        <v>2.50629791316959E-4</v>
      </c>
      <c r="G976" s="31">
        <v>137260</v>
      </c>
    </row>
    <row r="977" spans="1:7" ht="15" customHeight="1" x14ac:dyDescent="0.3">
      <c r="A977" s="38" t="s">
        <v>1433</v>
      </c>
      <c r="B977" s="37">
        <v>137260</v>
      </c>
      <c r="C977" s="37">
        <v>1</v>
      </c>
      <c r="D977" s="37">
        <v>1</v>
      </c>
      <c r="E977" s="39">
        <v>220</v>
      </c>
      <c r="F977" s="51">
        <v>2.50629791316959E-4</v>
      </c>
      <c r="G977" s="37">
        <v>137260</v>
      </c>
    </row>
    <row r="978" spans="1:7" ht="15" customHeight="1" x14ac:dyDescent="0.3">
      <c r="A978" s="32" t="s">
        <v>2910</v>
      </c>
      <c r="B978" s="31">
        <v>137260</v>
      </c>
      <c r="C978" s="31">
        <v>1</v>
      </c>
      <c r="D978" s="31">
        <v>1</v>
      </c>
      <c r="E978" s="33">
        <v>356</v>
      </c>
      <c r="F978" s="49">
        <v>2.50629791316959E-4</v>
      </c>
      <c r="G978" s="31">
        <v>137260</v>
      </c>
    </row>
    <row r="979" spans="1:7" ht="15" customHeight="1" x14ac:dyDescent="0.3">
      <c r="A979" s="38" t="s">
        <v>991</v>
      </c>
      <c r="B979" s="37">
        <v>137260</v>
      </c>
      <c r="C979" s="37">
        <v>1</v>
      </c>
      <c r="D979" s="37">
        <v>1</v>
      </c>
      <c r="E979" s="39">
        <v>350</v>
      </c>
      <c r="F979" s="51">
        <v>2.50629791316959E-4</v>
      </c>
      <c r="G979" s="37">
        <v>137260</v>
      </c>
    </row>
    <row r="980" spans="1:7" ht="15" customHeight="1" x14ac:dyDescent="0.3">
      <c r="A980" s="32" t="s">
        <v>1222</v>
      </c>
      <c r="B980" s="31">
        <v>137260</v>
      </c>
      <c r="C980" s="31">
        <v>1</v>
      </c>
      <c r="D980" s="31">
        <v>1</v>
      </c>
      <c r="E980" s="33">
        <v>28.5</v>
      </c>
      <c r="F980" s="49">
        <v>2.50629791316959E-4</v>
      </c>
      <c r="G980" s="31">
        <v>137260</v>
      </c>
    </row>
    <row r="981" spans="1:7" ht="15" customHeight="1" x14ac:dyDescent="0.3">
      <c r="A981" s="38" t="s">
        <v>2589</v>
      </c>
      <c r="B981" s="37">
        <v>137260</v>
      </c>
      <c r="C981" s="37">
        <v>1</v>
      </c>
      <c r="D981" s="37">
        <v>1</v>
      </c>
      <c r="E981" s="39">
        <v>163</v>
      </c>
      <c r="F981" s="51">
        <v>2.50629791316959E-4</v>
      </c>
      <c r="G981" s="37">
        <v>137260</v>
      </c>
    </row>
    <row r="982" spans="1:7" ht="15" customHeight="1" x14ac:dyDescent="0.3">
      <c r="A982" s="32" t="s">
        <v>580</v>
      </c>
      <c r="B982" s="31">
        <v>137260</v>
      </c>
      <c r="C982" s="31">
        <v>1</v>
      </c>
      <c r="D982" s="31">
        <v>1</v>
      </c>
      <c r="E982" s="33">
        <v>453</v>
      </c>
      <c r="F982" s="49">
        <v>2.50629791316959E-4</v>
      </c>
      <c r="G982" s="31">
        <v>137260</v>
      </c>
    </row>
    <row r="983" spans="1:7" ht="15" customHeight="1" x14ac:dyDescent="0.3">
      <c r="A983" s="38" t="s">
        <v>2083</v>
      </c>
      <c r="B983" s="37">
        <v>137260</v>
      </c>
      <c r="C983" s="37">
        <v>1</v>
      </c>
      <c r="D983" s="37">
        <v>1</v>
      </c>
      <c r="E983" s="39">
        <v>415</v>
      </c>
      <c r="F983" s="51">
        <v>2.50629791316959E-4</v>
      </c>
      <c r="G983" s="37">
        <v>137260</v>
      </c>
    </row>
    <row r="984" spans="1:7" ht="15" customHeight="1" x14ac:dyDescent="0.3">
      <c r="A984" s="32" t="s">
        <v>1920</v>
      </c>
      <c r="B984" s="31">
        <v>137260</v>
      </c>
      <c r="C984" s="31">
        <v>1</v>
      </c>
      <c r="D984" s="31">
        <v>1</v>
      </c>
      <c r="E984" s="33">
        <v>120</v>
      </c>
      <c r="F984" s="49">
        <v>2.50629791316959E-4</v>
      </c>
      <c r="G984" s="31">
        <v>137260</v>
      </c>
    </row>
    <row r="985" spans="1:7" ht="15" customHeight="1" x14ac:dyDescent="0.3">
      <c r="A985" s="38" t="s">
        <v>1737</v>
      </c>
      <c r="B985" s="37">
        <v>137260</v>
      </c>
      <c r="C985" s="37">
        <v>1</v>
      </c>
      <c r="D985" s="37">
        <v>1</v>
      </c>
      <c r="E985" s="39">
        <v>177</v>
      </c>
      <c r="F985" s="51">
        <v>2.50629791316959E-4</v>
      </c>
      <c r="G985" s="37">
        <v>137260</v>
      </c>
    </row>
    <row r="986" spans="1:7" ht="15" customHeight="1" x14ac:dyDescent="0.3">
      <c r="A986" s="32" t="s">
        <v>1500</v>
      </c>
      <c r="B986" s="31">
        <v>137260</v>
      </c>
      <c r="C986" s="31">
        <v>1</v>
      </c>
      <c r="D986" s="31">
        <v>1</v>
      </c>
      <c r="E986" s="33">
        <v>330</v>
      </c>
      <c r="F986" s="49">
        <v>2.50629791316959E-4</v>
      </c>
      <c r="G986" s="31">
        <v>137260</v>
      </c>
    </row>
    <row r="987" spans="1:7" ht="15" customHeight="1" x14ac:dyDescent="0.3">
      <c r="A987" s="38" t="s">
        <v>1266</v>
      </c>
      <c r="B987" s="37">
        <v>137260</v>
      </c>
      <c r="C987" s="37">
        <v>1</v>
      </c>
      <c r="D987" s="37">
        <v>1</v>
      </c>
      <c r="E987" s="39">
        <v>174.7</v>
      </c>
      <c r="F987" s="51">
        <v>2.50629791316959E-4</v>
      </c>
      <c r="G987" s="37">
        <v>137260</v>
      </c>
    </row>
    <row r="988" spans="1:7" ht="15" customHeight="1" x14ac:dyDescent="0.3">
      <c r="A988" s="32" t="s">
        <v>1317</v>
      </c>
      <c r="B988" s="31">
        <v>137260</v>
      </c>
      <c r="C988" s="31">
        <v>1</v>
      </c>
      <c r="D988" s="31">
        <v>1</v>
      </c>
      <c r="E988" s="33">
        <v>237.9</v>
      </c>
      <c r="F988" s="49">
        <v>2.50629791316959E-4</v>
      </c>
      <c r="G988" s="31">
        <v>137260</v>
      </c>
    </row>
    <row r="989" spans="1:7" ht="15" customHeight="1" x14ac:dyDescent="0.3">
      <c r="A989" s="38" t="s">
        <v>931</v>
      </c>
      <c r="B989" s="37">
        <v>137260</v>
      </c>
      <c r="C989" s="37">
        <v>1</v>
      </c>
      <c r="D989" s="37">
        <v>1</v>
      </c>
      <c r="E989" s="39">
        <v>180</v>
      </c>
      <c r="F989" s="51">
        <v>2.50629791316959E-4</v>
      </c>
      <c r="G989" s="37">
        <v>137260</v>
      </c>
    </row>
    <row r="990" spans="1:7" ht="15" customHeight="1" x14ac:dyDescent="0.3">
      <c r="A990" s="32" t="s">
        <v>1952</v>
      </c>
      <c r="B990" s="31">
        <v>137260</v>
      </c>
      <c r="C990" s="31">
        <v>1</v>
      </c>
      <c r="D990" s="31">
        <v>1</v>
      </c>
      <c r="E990" s="33">
        <v>119</v>
      </c>
      <c r="F990" s="49">
        <v>2.50629791316959E-4</v>
      </c>
      <c r="G990" s="31">
        <v>137260</v>
      </c>
    </row>
    <row r="991" spans="1:7" ht="15" customHeight="1" x14ac:dyDescent="0.3">
      <c r="A991" s="38" t="s">
        <v>2306</v>
      </c>
      <c r="B991" s="37">
        <v>137260</v>
      </c>
      <c r="C991" s="37">
        <v>1</v>
      </c>
      <c r="D991" s="37">
        <v>1</v>
      </c>
      <c r="E991" s="39">
        <v>178</v>
      </c>
      <c r="F991" s="51">
        <v>2.50629791316959E-4</v>
      </c>
      <c r="G991" s="37">
        <v>137260</v>
      </c>
    </row>
    <row r="992" spans="1:7" ht="15" customHeight="1" x14ac:dyDescent="0.3">
      <c r="A992" s="32" t="s">
        <v>2857</v>
      </c>
      <c r="B992" s="31">
        <v>137260</v>
      </c>
      <c r="C992" s="31">
        <v>1</v>
      </c>
      <c r="D992" s="31">
        <v>1</v>
      </c>
      <c r="E992" s="33">
        <v>300</v>
      </c>
      <c r="F992" s="49">
        <v>2.50629791316959E-4</v>
      </c>
      <c r="G992" s="31">
        <v>137260</v>
      </c>
    </row>
    <row r="993" spans="1:7" ht="15" customHeight="1" x14ac:dyDescent="0.3">
      <c r="A993" s="38" t="s">
        <v>2005</v>
      </c>
      <c r="B993" s="37">
        <v>137260</v>
      </c>
      <c r="C993" s="37">
        <v>1</v>
      </c>
      <c r="D993" s="37">
        <v>1</v>
      </c>
      <c r="E993" s="39">
        <v>200</v>
      </c>
      <c r="F993" s="51">
        <v>2.50629791316959E-4</v>
      </c>
      <c r="G993" s="37">
        <v>137260</v>
      </c>
    </row>
    <row r="994" spans="1:7" ht="15" customHeight="1" x14ac:dyDescent="0.3">
      <c r="A994" s="32" t="s">
        <v>2283</v>
      </c>
      <c r="B994" s="31">
        <v>137260</v>
      </c>
      <c r="C994" s="31">
        <v>1</v>
      </c>
      <c r="D994" s="31">
        <v>1</v>
      </c>
      <c r="E994" s="33">
        <v>270</v>
      </c>
      <c r="F994" s="49">
        <v>2.50629791316959E-4</v>
      </c>
      <c r="G994" s="31">
        <v>137260</v>
      </c>
    </row>
    <row r="995" spans="1:7" ht="15" customHeight="1" x14ac:dyDescent="0.3">
      <c r="A995" s="38" t="s">
        <v>2329</v>
      </c>
      <c r="B995" s="37">
        <v>137260</v>
      </c>
      <c r="C995" s="37">
        <v>1</v>
      </c>
      <c r="D995" s="37">
        <v>1</v>
      </c>
      <c r="E995" s="39">
        <v>130</v>
      </c>
      <c r="F995" s="51">
        <v>2.50629791316959E-4</v>
      </c>
      <c r="G995" s="37">
        <v>137260</v>
      </c>
    </row>
    <row r="996" spans="1:7" ht="15" customHeight="1" x14ac:dyDescent="0.3">
      <c r="A996" s="32" t="s">
        <v>1429</v>
      </c>
      <c r="B996" s="31">
        <v>137260</v>
      </c>
      <c r="C996" s="31">
        <v>1</v>
      </c>
      <c r="D996" s="31">
        <v>1</v>
      </c>
      <c r="E996" s="33">
        <v>118.84</v>
      </c>
      <c r="F996" s="49">
        <v>2.50629791316959E-4</v>
      </c>
      <c r="G996" s="31">
        <v>137260</v>
      </c>
    </row>
    <row r="997" spans="1:7" ht="15" customHeight="1" x14ac:dyDescent="0.3">
      <c r="A997" s="38" t="s">
        <v>1451</v>
      </c>
      <c r="B997" s="37">
        <v>137260</v>
      </c>
      <c r="C997" s="37">
        <v>1</v>
      </c>
      <c r="D997" s="37">
        <v>1</v>
      </c>
      <c r="E997" s="39">
        <v>412</v>
      </c>
      <c r="F997" s="51">
        <v>2.50629791316959E-4</v>
      </c>
      <c r="G997" s="37">
        <v>137260</v>
      </c>
    </row>
    <row r="998" spans="1:7" ht="15" customHeight="1" x14ac:dyDescent="0.3">
      <c r="A998" s="32" t="s">
        <v>2806</v>
      </c>
      <c r="B998" s="31">
        <v>137260</v>
      </c>
      <c r="C998" s="31">
        <v>1</v>
      </c>
      <c r="D998" s="31">
        <v>1</v>
      </c>
      <c r="E998" s="33">
        <v>594.15</v>
      </c>
      <c r="F998" s="49">
        <v>2.50629791316959E-4</v>
      </c>
      <c r="G998" s="31">
        <v>137260</v>
      </c>
    </row>
    <row r="999" spans="1:7" ht="15" customHeight="1" x14ac:dyDescent="0.3">
      <c r="A999" s="38" t="s">
        <v>2278</v>
      </c>
      <c r="B999" s="37">
        <v>137260</v>
      </c>
      <c r="C999" s="37">
        <v>1</v>
      </c>
      <c r="D999" s="37">
        <v>1</v>
      </c>
      <c r="E999" s="39">
        <v>238</v>
      </c>
      <c r="F999" s="51">
        <v>2.50629791316959E-4</v>
      </c>
      <c r="G999" s="37">
        <v>137260</v>
      </c>
    </row>
    <row r="1000" spans="1:7" ht="15" customHeight="1" x14ac:dyDescent="0.3">
      <c r="A1000" s="32" t="s">
        <v>1066</v>
      </c>
      <c r="B1000" s="31">
        <v>137260</v>
      </c>
      <c r="C1000" s="31">
        <v>1</v>
      </c>
      <c r="D1000" s="31">
        <v>1</v>
      </c>
      <c r="E1000" s="33">
        <v>143</v>
      </c>
      <c r="F1000" s="49">
        <v>2.50629791316959E-4</v>
      </c>
      <c r="G1000" s="31">
        <v>137260</v>
      </c>
    </row>
    <row r="1001" spans="1:7" ht="15" customHeight="1" x14ac:dyDescent="0.3">
      <c r="A1001" s="38" t="s">
        <v>2919</v>
      </c>
      <c r="B1001" s="37">
        <v>137260</v>
      </c>
      <c r="C1001" s="37">
        <v>1</v>
      </c>
      <c r="D1001" s="37">
        <v>1</v>
      </c>
      <c r="E1001" s="39">
        <v>184</v>
      </c>
      <c r="F1001" s="51">
        <v>2.50629791316959E-4</v>
      </c>
      <c r="G1001" s="37">
        <v>137260</v>
      </c>
    </row>
    <row r="1002" spans="1:7" ht="15" customHeight="1" x14ac:dyDescent="0.3">
      <c r="A1002" s="32" t="s">
        <v>2057</v>
      </c>
      <c r="B1002" s="31">
        <v>137260</v>
      </c>
      <c r="C1002" s="31">
        <v>1</v>
      </c>
      <c r="D1002" s="31">
        <v>1</v>
      </c>
      <c r="E1002" s="33">
        <v>132</v>
      </c>
      <c r="F1002" s="49">
        <v>2.50629791316959E-4</v>
      </c>
      <c r="G1002" s="31">
        <v>137260</v>
      </c>
    </row>
    <row r="1003" spans="1:7" ht="15" customHeight="1" x14ac:dyDescent="0.3">
      <c r="A1003" s="38" t="s">
        <v>2162</v>
      </c>
      <c r="B1003" s="37">
        <v>137260</v>
      </c>
      <c r="C1003" s="37">
        <v>1</v>
      </c>
      <c r="D1003" s="37">
        <v>1</v>
      </c>
      <c r="E1003" s="39">
        <v>322</v>
      </c>
      <c r="F1003" s="51">
        <v>2.50629791316959E-4</v>
      </c>
      <c r="G1003" s="37">
        <v>137260</v>
      </c>
    </row>
    <row r="1004" spans="1:7" ht="15" customHeight="1" x14ac:dyDescent="0.3">
      <c r="A1004" s="32" t="s">
        <v>1334</v>
      </c>
      <c r="B1004" s="31">
        <v>137260</v>
      </c>
      <c r="C1004" s="31">
        <v>1</v>
      </c>
      <c r="D1004" s="31">
        <v>1</v>
      </c>
      <c r="E1004" s="33">
        <v>150</v>
      </c>
      <c r="F1004" s="49">
        <v>2.50629791316959E-4</v>
      </c>
      <c r="G1004" s="31">
        <v>137260</v>
      </c>
    </row>
    <row r="1005" spans="1:7" ht="15" customHeight="1" x14ac:dyDescent="0.3">
      <c r="A1005" s="38" t="s">
        <v>1795</v>
      </c>
      <c r="B1005" s="37">
        <v>137260</v>
      </c>
      <c r="C1005" s="37">
        <v>1</v>
      </c>
      <c r="D1005" s="37">
        <v>1</v>
      </c>
      <c r="E1005" s="39">
        <v>737</v>
      </c>
      <c r="F1005" s="51">
        <v>2.50629791316959E-4</v>
      </c>
      <c r="G1005" s="37">
        <v>137260</v>
      </c>
    </row>
    <row r="1006" spans="1:7" ht="15" customHeight="1" x14ac:dyDescent="0.3">
      <c r="A1006" s="32" t="s">
        <v>2383</v>
      </c>
      <c r="B1006" s="31">
        <v>137260</v>
      </c>
      <c r="C1006" s="31">
        <v>1</v>
      </c>
      <c r="D1006" s="31">
        <v>1</v>
      </c>
      <c r="E1006" s="33">
        <v>70</v>
      </c>
      <c r="F1006" s="49">
        <v>2.50629791316959E-4</v>
      </c>
      <c r="G1006" s="31">
        <v>137260</v>
      </c>
    </row>
    <row r="1007" spans="1:7" ht="15" customHeight="1" x14ac:dyDescent="0.3">
      <c r="A1007" s="38" t="s">
        <v>2483</v>
      </c>
      <c r="B1007" s="37">
        <v>137260</v>
      </c>
      <c r="C1007" s="37">
        <v>1</v>
      </c>
      <c r="D1007" s="37">
        <v>1</v>
      </c>
      <c r="E1007" s="39">
        <v>110</v>
      </c>
      <c r="F1007" s="51">
        <v>2.50629791316959E-4</v>
      </c>
      <c r="G1007" s="37">
        <v>137260</v>
      </c>
    </row>
    <row r="1008" spans="1:7" ht="15" customHeight="1" x14ac:dyDescent="0.3">
      <c r="A1008" s="32" t="s">
        <v>1384</v>
      </c>
      <c r="B1008" s="31">
        <v>137260</v>
      </c>
      <c r="C1008" s="31">
        <v>1</v>
      </c>
      <c r="D1008" s="31">
        <v>1</v>
      </c>
      <c r="E1008" s="33">
        <v>420</v>
      </c>
      <c r="F1008" s="49">
        <v>2.50629791316959E-4</v>
      </c>
      <c r="G1008" s="31">
        <v>137260</v>
      </c>
    </row>
    <row r="1009" spans="1:7" ht="15" customHeight="1" x14ac:dyDescent="0.3">
      <c r="A1009" s="38" t="s">
        <v>1958</v>
      </c>
      <c r="B1009" s="37">
        <v>137260</v>
      </c>
      <c r="C1009" s="37">
        <v>1</v>
      </c>
      <c r="D1009" s="37">
        <v>1</v>
      </c>
      <c r="E1009" s="39">
        <v>189</v>
      </c>
      <c r="F1009" s="51">
        <v>2.50629791316959E-4</v>
      </c>
      <c r="G1009" s="37">
        <v>137260</v>
      </c>
    </row>
    <row r="1010" spans="1:7" ht="15" customHeight="1" x14ac:dyDescent="0.3">
      <c r="A1010" s="32" t="s">
        <v>2438</v>
      </c>
      <c r="B1010" s="31">
        <v>137260</v>
      </c>
      <c r="C1010" s="31">
        <v>1</v>
      </c>
      <c r="D1010" s="31">
        <v>1</v>
      </c>
      <c r="E1010" s="33">
        <v>151</v>
      </c>
      <c r="F1010" s="49">
        <v>2.50629791316959E-4</v>
      </c>
      <c r="G1010" s="31">
        <v>137260</v>
      </c>
    </row>
    <row r="1011" spans="1:7" ht="15" customHeight="1" x14ac:dyDescent="0.3">
      <c r="A1011" s="38" t="s">
        <v>1425</v>
      </c>
      <c r="B1011" s="37">
        <v>137260</v>
      </c>
      <c r="C1011" s="37">
        <v>1</v>
      </c>
      <c r="D1011" s="37">
        <v>1</v>
      </c>
      <c r="E1011" s="39">
        <v>243</v>
      </c>
      <c r="F1011" s="51">
        <v>2.50629791316959E-4</v>
      </c>
      <c r="G1011" s="37">
        <v>137260</v>
      </c>
    </row>
    <row r="1012" spans="1:7" ht="15" customHeight="1" x14ac:dyDescent="0.3">
      <c r="A1012" s="32" t="s">
        <v>2583</v>
      </c>
      <c r="B1012" s="31">
        <v>137260</v>
      </c>
      <c r="C1012" s="31">
        <v>1</v>
      </c>
      <c r="D1012" s="31">
        <v>1</v>
      </c>
      <c r="E1012" s="33">
        <v>98.5</v>
      </c>
      <c r="F1012" s="49">
        <v>2.50629791316959E-4</v>
      </c>
      <c r="G1012" s="31">
        <v>137260</v>
      </c>
    </row>
    <row r="1013" spans="1:7" ht="15" customHeight="1" x14ac:dyDescent="0.3">
      <c r="A1013" s="38" t="s">
        <v>1590</v>
      </c>
      <c r="B1013" s="37">
        <v>137260</v>
      </c>
      <c r="C1013" s="37">
        <v>1</v>
      </c>
      <c r="D1013" s="37">
        <v>1</v>
      </c>
      <c r="E1013" s="39">
        <v>300</v>
      </c>
      <c r="F1013" s="51">
        <v>2.50629791316959E-4</v>
      </c>
      <c r="G1013" s="37">
        <v>137260</v>
      </c>
    </row>
    <row r="1014" spans="1:7" ht="15" customHeight="1" x14ac:dyDescent="0.3">
      <c r="A1014" s="32" t="s">
        <v>2090</v>
      </c>
      <c r="B1014" s="31">
        <v>137260</v>
      </c>
      <c r="C1014" s="31">
        <v>1</v>
      </c>
      <c r="D1014" s="31">
        <v>1</v>
      </c>
      <c r="E1014" s="33">
        <v>300</v>
      </c>
      <c r="F1014" s="49">
        <v>2.50629791316959E-4</v>
      </c>
      <c r="G1014" s="31">
        <v>137260</v>
      </c>
    </row>
    <row r="1015" spans="1:7" ht="15" customHeight="1" x14ac:dyDescent="0.3">
      <c r="A1015" s="38" t="s">
        <v>1402</v>
      </c>
      <c r="B1015" s="37">
        <v>137260</v>
      </c>
      <c r="C1015" s="37">
        <v>1</v>
      </c>
      <c r="D1015" s="37">
        <v>1</v>
      </c>
      <c r="E1015" s="39">
        <v>190</v>
      </c>
      <c r="F1015" s="51">
        <v>2.50629791316959E-4</v>
      </c>
      <c r="G1015" s="37">
        <v>137260</v>
      </c>
    </row>
    <row r="1016" spans="1:7" ht="15" customHeight="1" x14ac:dyDescent="0.3">
      <c r="A1016" s="32" t="s">
        <v>1998</v>
      </c>
      <c r="B1016" s="31">
        <v>137260</v>
      </c>
      <c r="C1016" s="31">
        <v>1</v>
      </c>
      <c r="D1016" s="31">
        <v>1</v>
      </c>
      <c r="E1016" s="33">
        <v>300</v>
      </c>
      <c r="F1016" s="49">
        <v>2.50629791316959E-4</v>
      </c>
      <c r="G1016" s="31">
        <v>137260</v>
      </c>
    </row>
    <row r="1017" spans="1:7" ht="15" customHeight="1" x14ac:dyDescent="0.3">
      <c r="A1017" s="38" t="s">
        <v>2310</v>
      </c>
      <c r="B1017" s="37">
        <v>137260</v>
      </c>
      <c r="C1017" s="37">
        <v>1</v>
      </c>
      <c r="D1017" s="37">
        <v>1</v>
      </c>
      <c r="E1017" s="39">
        <v>223</v>
      </c>
      <c r="F1017" s="51">
        <v>2.50629791316959E-4</v>
      </c>
      <c r="G1017" s="37">
        <v>137260</v>
      </c>
    </row>
    <row r="1018" spans="1:7" ht="15" customHeight="1" x14ac:dyDescent="0.3">
      <c r="A1018" s="32" t="s">
        <v>1168</v>
      </c>
      <c r="B1018" s="31">
        <v>137260</v>
      </c>
      <c r="C1018" s="31">
        <v>1</v>
      </c>
      <c r="D1018" s="31">
        <v>1</v>
      </c>
      <c r="E1018" s="33">
        <v>99</v>
      </c>
      <c r="F1018" s="49">
        <v>2.50629791316959E-4</v>
      </c>
      <c r="G1018" s="31">
        <v>137260</v>
      </c>
    </row>
    <row r="1019" spans="1:7" ht="15" customHeight="1" x14ac:dyDescent="0.3">
      <c r="A1019" s="38" t="s">
        <v>1894</v>
      </c>
      <c r="B1019" s="37">
        <v>137260</v>
      </c>
      <c r="C1019" s="37">
        <v>1</v>
      </c>
      <c r="D1019" s="37">
        <v>1</v>
      </c>
      <c r="E1019" s="39">
        <v>260</v>
      </c>
      <c r="F1019" s="51">
        <v>2.50629791316959E-4</v>
      </c>
      <c r="G1019" s="37">
        <v>137260</v>
      </c>
    </row>
    <row r="1020" spans="1:7" ht="15" customHeight="1" x14ac:dyDescent="0.3">
      <c r="A1020" s="32" t="s">
        <v>2389</v>
      </c>
      <c r="B1020" s="31">
        <v>137260</v>
      </c>
      <c r="C1020" s="31">
        <v>1</v>
      </c>
      <c r="D1020" s="31">
        <v>1</v>
      </c>
      <c r="E1020" s="33">
        <v>111.5</v>
      </c>
      <c r="F1020" s="49">
        <v>2.50629791316959E-4</v>
      </c>
      <c r="G1020" s="31">
        <v>137260</v>
      </c>
    </row>
    <row r="1021" spans="1:7" ht="15" customHeight="1" x14ac:dyDescent="0.3">
      <c r="A1021" s="38" t="s">
        <v>2864</v>
      </c>
      <c r="B1021" s="37">
        <v>137260</v>
      </c>
      <c r="C1021" s="37">
        <v>1</v>
      </c>
      <c r="D1021" s="37">
        <v>1</v>
      </c>
      <c r="E1021" s="39">
        <v>269</v>
      </c>
      <c r="F1021" s="51">
        <v>2.50629791316959E-4</v>
      </c>
      <c r="G1021" s="37">
        <v>137260</v>
      </c>
    </row>
    <row r="1022" spans="1:7" ht="15" customHeight="1" x14ac:dyDescent="0.3">
      <c r="A1022" s="32" t="s">
        <v>2348</v>
      </c>
      <c r="B1022" s="31">
        <v>137260</v>
      </c>
      <c r="C1022" s="31">
        <v>1</v>
      </c>
      <c r="D1022" s="31">
        <v>1</v>
      </c>
      <c r="E1022" s="33">
        <v>172.5</v>
      </c>
      <c r="F1022" s="49">
        <v>2.50629791316959E-4</v>
      </c>
      <c r="G1022" s="31">
        <v>137260</v>
      </c>
    </row>
    <row r="1023" spans="1:7" ht="15" customHeight="1" x14ac:dyDescent="0.3">
      <c r="A1023" s="38" t="s">
        <v>1630</v>
      </c>
      <c r="B1023" s="37">
        <v>137260</v>
      </c>
      <c r="C1023" s="37">
        <v>1</v>
      </c>
      <c r="D1023" s="37">
        <v>1</v>
      </c>
      <c r="E1023" s="39">
        <v>4.5</v>
      </c>
      <c r="F1023" s="51">
        <v>2.50629791316959E-4</v>
      </c>
      <c r="G1023" s="37">
        <v>137260</v>
      </c>
    </row>
    <row r="1024" spans="1:7" ht="15" customHeight="1" x14ac:dyDescent="0.3">
      <c r="A1024" s="32" t="s">
        <v>2905</v>
      </c>
      <c r="B1024" s="31">
        <v>137260</v>
      </c>
      <c r="C1024" s="31">
        <v>1</v>
      </c>
      <c r="D1024" s="31">
        <v>1</v>
      </c>
      <c r="E1024" s="33">
        <v>197</v>
      </c>
      <c r="F1024" s="49">
        <v>2.50629791316959E-4</v>
      </c>
      <c r="G1024" s="31">
        <v>137260</v>
      </c>
    </row>
    <row r="1025" spans="1:7" ht="15" customHeight="1" x14ac:dyDescent="0.3">
      <c r="A1025" s="38" t="s">
        <v>2124</v>
      </c>
      <c r="B1025" s="37">
        <v>135000</v>
      </c>
      <c r="C1025" s="37">
        <v>1</v>
      </c>
      <c r="D1025" s="37">
        <v>1</v>
      </c>
      <c r="E1025" s="39">
        <v>600</v>
      </c>
      <c r="F1025" s="51">
        <v>2.4650314605704099E-4</v>
      </c>
      <c r="G1025" s="37">
        <v>135000</v>
      </c>
    </row>
    <row r="1026" spans="1:7" ht="15" customHeight="1" x14ac:dyDescent="0.3">
      <c r="A1026" s="32" t="s">
        <v>2741</v>
      </c>
      <c r="B1026" s="31">
        <v>135000</v>
      </c>
      <c r="C1026" s="31">
        <v>1</v>
      </c>
      <c r="D1026" s="31">
        <v>1</v>
      </c>
      <c r="E1026" s="33">
        <v>1000</v>
      </c>
      <c r="F1026" s="49">
        <v>2.4650314605704099E-4</v>
      </c>
      <c r="G1026" s="31">
        <v>135000</v>
      </c>
    </row>
    <row r="1027" spans="1:7" ht="15" customHeight="1" x14ac:dyDescent="0.3">
      <c r="A1027" s="38" t="s">
        <v>1503</v>
      </c>
      <c r="B1027" s="37">
        <v>135000</v>
      </c>
      <c r="C1027" s="37">
        <v>1</v>
      </c>
      <c r="D1027" s="37">
        <v>1</v>
      </c>
      <c r="E1027" s="39">
        <v>135</v>
      </c>
      <c r="F1027" s="51">
        <v>2.4650314605704099E-4</v>
      </c>
      <c r="G1027" s="37">
        <v>135000</v>
      </c>
    </row>
    <row r="1028" spans="1:7" ht="15" customHeight="1" x14ac:dyDescent="0.3">
      <c r="A1028" s="32" t="s">
        <v>2325</v>
      </c>
      <c r="B1028" s="31">
        <v>135000</v>
      </c>
      <c r="C1028" s="31">
        <v>1</v>
      </c>
      <c r="D1028" s="31">
        <v>1</v>
      </c>
      <c r="E1028" s="33">
        <v>1078</v>
      </c>
      <c r="F1028" s="49">
        <v>2.4650314605704099E-4</v>
      </c>
      <c r="G1028" s="31">
        <v>135000</v>
      </c>
    </row>
    <row r="1029" spans="1:7" ht="15" customHeight="1" x14ac:dyDescent="0.3">
      <c r="A1029" s="38" t="s">
        <v>2501</v>
      </c>
      <c r="B1029" s="37">
        <v>135000</v>
      </c>
      <c r="C1029" s="37">
        <v>1</v>
      </c>
      <c r="D1029" s="37">
        <v>1</v>
      </c>
      <c r="E1029" s="39">
        <v>616</v>
      </c>
      <c r="F1029" s="51">
        <v>2.4650314605704099E-4</v>
      </c>
      <c r="G1029" s="37">
        <v>135000</v>
      </c>
    </row>
    <row r="1030" spans="1:7" ht="15" customHeight="1" x14ac:dyDescent="0.3">
      <c r="A1030" s="32" t="s">
        <v>2754</v>
      </c>
      <c r="B1030" s="31">
        <v>135000</v>
      </c>
      <c r="C1030" s="31">
        <v>1</v>
      </c>
      <c r="D1030" s="31">
        <v>1</v>
      </c>
      <c r="E1030" s="33">
        <v>199</v>
      </c>
      <c r="F1030" s="49">
        <v>2.4650314605704099E-4</v>
      </c>
      <c r="G1030" s="31">
        <v>135000</v>
      </c>
    </row>
    <row r="1031" spans="1:7" ht="15" customHeight="1" x14ac:dyDescent="0.3">
      <c r="A1031" s="38" t="s">
        <v>2719</v>
      </c>
      <c r="B1031" s="37">
        <v>135000</v>
      </c>
      <c r="C1031" s="37">
        <v>1</v>
      </c>
      <c r="D1031" s="37">
        <v>1</v>
      </c>
      <c r="E1031" s="39">
        <v>510</v>
      </c>
      <c r="F1031" s="51">
        <v>2.4650314605704099E-4</v>
      </c>
      <c r="G1031" s="37">
        <v>135000</v>
      </c>
    </row>
    <row r="1032" spans="1:7" ht="15" customHeight="1" x14ac:dyDescent="0.3">
      <c r="A1032" s="32" t="s">
        <v>2410</v>
      </c>
      <c r="B1032" s="31">
        <v>135000</v>
      </c>
      <c r="C1032" s="31">
        <v>1</v>
      </c>
      <c r="D1032" s="31">
        <v>1</v>
      </c>
      <c r="E1032" s="33">
        <v>463</v>
      </c>
      <c r="F1032" s="49">
        <v>2.4650314605704099E-4</v>
      </c>
      <c r="G1032" s="31">
        <v>135000</v>
      </c>
    </row>
    <row r="1033" spans="1:7" ht="15" customHeight="1" x14ac:dyDescent="0.3">
      <c r="A1033" s="38" t="s">
        <v>2677</v>
      </c>
      <c r="B1033" s="37">
        <v>135000</v>
      </c>
      <c r="C1033" s="37">
        <v>1</v>
      </c>
      <c r="D1033" s="37">
        <v>1</v>
      </c>
      <c r="E1033" s="39">
        <v>565</v>
      </c>
      <c r="F1033" s="51">
        <v>2.4650314605704099E-4</v>
      </c>
      <c r="G1033" s="37">
        <v>135000</v>
      </c>
    </row>
    <row r="1034" spans="1:7" ht="15" customHeight="1" x14ac:dyDescent="0.3">
      <c r="A1034" s="32" t="s">
        <v>2553</v>
      </c>
      <c r="B1034" s="31">
        <v>135000</v>
      </c>
      <c r="C1034" s="31">
        <v>1</v>
      </c>
      <c r="D1034" s="31">
        <v>1</v>
      </c>
      <c r="E1034" s="33">
        <v>235</v>
      </c>
      <c r="F1034" s="49">
        <v>2.4650314605704099E-4</v>
      </c>
      <c r="G1034" s="31">
        <v>135000</v>
      </c>
    </row>
    <row r="1035" spans="1:7" ht="15" customHeight="1" x14ac:dyDescent="0.3">
      <c r="A1035" s="38" t="s">
        <v>2478</v>
      </c>
      <c r="B1035" s="37">
        <v>135000</v>
      </c>
      <c r="C1035" s="37">
        <v>1</v>
      </c>
      <c r="D1035" s="37">
        <v>1</v>
      </c>
      <c r="E1035" s="39">
        <v>350</v>
      </c>
      <c r="F1035" s="51">
        <v>2.4650314605704099E-4</v>
      </c>
      <c r="G1035" s="37">
        <v>135000</v>
      </c>
    </row>
    <row r="1036" spans="1:7" ht="15" customHeight="1" x14ac:dyDescent="0.3">
      <c r="A1036" s="32" t="s">
        <v>2661</v>
      </c>
      <c r="B1036" s="31">
        <v>135000</v>
      </c>
      <c r="C1036" s="31">
        <v>1</v>
      </c>
      <c r="D1036" s="31">
        <v>1</v>
      </c>
      <c r="E1036" s="33">
        <v>210.5</v>
      </c>
      <c r="F1036" s="49">
        <v>2.4650314605704099E-4</v>
      </c>
      <c r="G1036" s="31">
        <v>135000</v>
      </c>
    </row>
    <row r="1037" spans="1:7" ht="15" customHeight="1" x14ac:dyDescent="0.3">
      <c r="A1037" s="38" t="s">
        <v>2759</v>
      </c>
      <c r="B1037" s="37">
        <v>135000</v>
      </c>
      <c r="C1037" s="37">
        <v>1</v>
      </c>
      <c r="D1037" s="37">
        <v>1</v>
      </c>
      <c r="E1037" s="39">
        <v>517</v>
      </c>
      <c r="F1037" s="51">
        <v>2.4650314605704099E-4</v>
      </c>
      <c r="G1037" s="37">
        <v>135000</v>
      </c>
    </row>
    <row r="1038" spans="1:7" ht="15" customHeight="1" x14ac:dyDescent="0.3">
      <c r="A1038" s="32" t="s">
        <v>2522</v>
      </c>
      <c r="B1038" s="31">
        <v>135000</v>
      </c>
      <c r="C1038" s="31">
        <v>1</v>
      </c>
      <c r="D1038" s="31">
        <v>1</v>
      </c>
      <c r="E1038" s="33">
        <v>225.6</v>
      </c>
      <c r="F1038" s="49">
        <v>2.4650314605704099E-4</v>
      </c>
      <c r="G1038" s="31">
        <v>135000</v>
      </c>
    </row>
    <row r="1039" spans="1:7" ht="15" customHeight="1" x14ac:dyDescent="0.3">
      <c r="A1039" s="38" t="s">
        <v>2764</v>
      </c>
      <c r="B1039" s="37">
        <v>135000</v>
      </c>
      <c r="C1039" s="37">
        <v>1</v>
      </c>
      <c r="D1039" s="37">
        <v>1</v>
      </c>
      <c r="E1039" s="39">
        <v>915</v>
      </c>
      <c r="F1039" s="51">
        <v>2.4650314605704099E-4</v>
      </c>
      <c r="G1039" s="37">
        <v>135000</v>
      </c>
    </row>
    <row r="1040" spans="1:7" ht="15" customHeight="1" x14ac:dyDescent="0.3">
      <c r="A1040" s="32" t="s">
        <v>2375</v>
      </c>
      <c r="B1040" s="31">
        <v>135000</v>
      </c>
      <c r="C1040" s="31">
        <v>1</v>
      </c>
      <c r="D1040" s="31">
        <v>1</v>
      </c>
      <c r="E1040" s="33">
        <v>110</v>
      </c>
      <c r="F1040" s="49">
        <v>2.4650314605704099E-4</v>
      </c>
      <c r="G1040" s="31">
        <v>135000</v>
      </c>
    </row>
    <row r="1041" spans="1:7" ht="15" customHeight="1" x14ac:dyDescent="0.3">
      <c r="A1041" s="38" t="s">
        <v>603</v>
      </c>
      <c r="B1041" s="37">
        <v>134000</v>
      </c>
      <c r="C1041" s="37">
        <v>1</v>
      </c>
      <c r="D1041" s="37">
        <v>1</v>
      </c>
      <c r="E1041" s="39">
        <v>1090</v>
      </c>
      <c r="F1041" s="51">
        <v>2.4467719682698901E-4</v>
      </c>
      <c r="G1041" s="37">
        <v>134000</v>
      </c>
    </row>
    <row r="1042" spans="1:7" ht="15" customHeight="1" x14ac:dyDescent="0.3">
      <c r="A1042" s="32" t="s">
        <v>536</v>
      </c>
      <c r="B1042" s="31">
        <v>134000</v>
      </c>
      <c r="C1042" s="31">
        <v>1</v>
      </c>
      <c r="D1042" s="31">
        <v>1</v>
      </c>
      <c r="E1042" s="33">
        <v>1490.8</v>
      </c>
      <c r="F1042" s="49">
        <v>2.4467719682698901E-4</v>
      </c>
      <c r="G1042" s="31">
        <v>134000</v>
      </c>
    </row>
    <row r="1043" spans="1:7" ht="15" customHeight="1" x14ac:dyDescent="0.3">
      <c r="A1043" s="38" t="s">
        <v>651</v>
      </c>
      <c r="B1043" s="37">
        <v>134000</v>
      </c>
      <c r="C1043" s="37">
        <v>1</v>
      </c>
      <c r="D1043" s="37">
        <v>1</v>
      </c>
      <c r="E1043" s="39">
        <v>818</v>
      </c>
      <c r="F1043" s="51">
        <v>2.4467719682698901E-4</v>
      </c>
      <c r="G1043" s="37">
        <v>134000</v>
      </c>
    </row>
    <row r="1044" spans="1:7" ht="15" customHeight="1" x14ac:dyDescent="0.3">
      <c r="A1044" s="32" t="s">
        <v>198</v>
      </c>
      <c r="B1044" s="31">
        <v>134000</v>
      </c>
      <c r="C1044" s="31">
        <v>1</v>
      </c>
      <c r="D1044" s="31">
        <v>1</v>
      </c>
      <c r="E1044" s="33">
        <v>600</v>
      </c>
      <c r="F1044" s="49">
        <v>2.4467719682698901E-4</v>
      </c>
      <c r="G1044" s="31">
        <v>134000</v>
      </c>
    </row>
    <row r="1045" spans="1:7" ht="15" customHeight="1" x14ac:dyDescent="0.3">
      <c r="A1045" s="38" t="s">
        <v>267</v>
      </c>
      <c r="B1045" s="37">
        <v>134000</v>
      </c>
      <c r="C1045" s="37">
        <v>1</v>
      </c>
      <c r="D1045" s="37">
        <v>1</v>
      </c>
      <c r="E1045" s="39">
        <v>690</v>
      </c>
      <c r="F1045" s="51">
        <v>2.4467719682698901E-4</v>
      </c>
      <c r="G1045" s="37">
        <v>134000</v>
      </c>
    </row>
    <row r="1046" spans="1:7" ht="15" customHeight="1" x14ac:dyDescent="0.3">
      <c r="A1046" s="32" t="s">
        <v>93</v>
      </c>
      <c r="B1046" s="31">
        <v>134000</v>
      </c>
      <c r="C1046" s="31">
        <v>1</v>
      </c>
      <c r="D1046" s="31">
        <v>1</v>
      </c>
      <c r="E1046" s="33">
        <v>415</v>
      </c>
      <c r="F1046" s="49">
        <v>2.4467719682698901E-4</v>
      </c>
      <c r="G1046" s="31">
        <v>134000</v>
      </c>
    </row>
    <row r="1047" spans="1:7" ht="15" customHeight="1" x14ac:dyDescent="0.3">
      <c r="A1047" s="38" t="s">
        <v>623</v>
      </c>
      <c r="B1047" s="37">
        <v>134000</v>
      </c>
      <c r="C1047" s="37">
        <v>1</v>
      </c>
      <c r="D1047" s="37">
        <v>1</v>
      </c>
      <c r="E1047" s="39">
        <v>631</v>
      </c>
      <c r="F1047" s="51">
        <v>2.4467719682698901E-4</v>
      </c>
      <c r="G1047" s="37">
        <v>134000</v>
      </c>
    </row>
    <row r="1048" spans="1:7" ht="15" customHeight="1" x14ac:dyDescent="0.3">
      <c r="A1048" s="32" t="s">
        <v>262</v>
      </c>
      <c r="B1048" s="31">
        <v>134000</v>
      </c>
      <c r="C1048" s="31">
        <v>1</v>
      </c>
      <c r="D1048" s="31">
        <v>1</v>
      </c>
      <c r="E1048" s="33">
        <v>700</v>
      </c>
      <c r="F1048" s="49">
        <v>2.4467719682698901E-4</v>
      </c>
      <c r="G1048" s="31">
        <v>134000</v>
      </c>
    </row>
    <row r="1049" spans="1:7" ht="15" customHeight="1" x14ac:dyDescent="0.3">
      <c r="A1049" s="38" t="s">
        <v>815</v>
      </c>
      <c r="B1049" s="37">
        <v>127000</v>
      </c>
      <c r="C1049" s="37">
        <v>1</v>
      </c>
      <c r="D1049" s="37">
        <v>1</v>
      </c>
      <c r="E1049" s="39">
        <v>263</v>
      </c>
      <c r="F1049" s="51">
        <v>2.3189555221662399E-4</v>
      </c>
      <c r="G1049" s="37">
        <v>127000</v>
      </c>
    </row>
    <row r="1050" spans="1:7" ht="15" customHeight="1" x14ac:dyDescent="0.3">
      <c r="A1050" s="32" t="s">
        <v>1304</v>
      </c>
      <c r="B1050" s="31">
        <v>127000</v>
      </c>
      <c r="C1050" s="31">
        <v>1</v>
      </c>
      <c r="D1050" s="31">
        <v>1</v>
      </c>
      <c r="E1050" s="33">
        <v>464</v>
      </c>
      <c r="F1050" s="49">
        <v>2.3189555221662399E-4</v>
      </c>
      <c r="G1050" s="31">
        <v>127000</v>
      </c>
    </row>
    <row r="1051" spans="1:7" ht="15" customHeight="1" x14ac:dyDescent="0.3">
      <c r="A1051" s="38" t="s">
        <v>1087</v>
      </c>
      <c r="B1051" s="37">
        <v>127000</v>
      </c>
      <c r="C1051" s="37">
        <v>1</v>
      </c>
      <c r="D1051" s="37">
        <v>1</v>
      </c>
      <c r="E1051" s="39">
        <v>781</v>
      </c>
      <c r="F1051" s="51">
        <v>2.3189555221662399E-4</v>
      </c>
      <c r="G1051" s="37">
        <v>127000</v>
      </c>
    </row>
    <row r="1052" spans="1:7" ht="15" customHeight="1" x14ac:dyDescent="0.3">
      <c r="A1052" s="32" t="s">
        <v>1123</v>
      </c>
      <c r="B1052" s="31">
        <v>127000</v>
      </c>
      <c r="C1052" s="31">
        <v>1</v>
      </c>
      <c r="D1052" s="31">
        <v>1</v>
      </c>
      <c r="E1052" s="33">
        <v>314</v>
      </c>
      <c r="F1052" s="49">
        <v>2.3189555221662399E-4</v>
      </c>
      <c r="G1052" s="31">
        <v>127000</v>
      </c>
    </row>
    <row r="1053" spans="1:7" ht="15" customHeight="1" x14ac:dyDescent="0.3">
      <c r="A1053" s="38" t="s">
        <v>906</v>
      </c>
      <c r="B1053" s="37">
        <v>127000</v>
      </c>
      <c r="C1053" s="37">
        <v>1</v>
      </c>
      <c r="D1053" s="37">
        <v>1</v>
      </c>
      <c r="E1053" s="39">
        <v>511</v>
      </c>
      <c r="F1053" s="51">
        <v>2.3189555221662399E-4</v>
      </c>
      <c r="G1053" s="37">
        <v>127000</v>
      </c>
    </row>
    <row r="1054" spans="1:7" ht="15" customHeight="1" x14ac:dyDescent="0.3">
      <c r="A1054" s="32" t="s">
        <v>1252</v>
      </c>
      <c r="B1054" s="31">
        <v>127000</v>
      </c>
      <c r="C1054" s="31">
        <v>1</v>
      </c>
      <c r="D1054" s="31">
        <v>1</v>
      </c>
      <c r="E1054" s="33">
        <v>1200</v>
      </c>
      <c r="F1054" s="49">
        <v>2.3189555221662399E-4</v>
      </c>
      <c r="G1054" s="31">
        <v>127000</v>
      </c>
    </row>
    <row r="1055" spans="1:7" ht="15" customHeight="1" x14ac:dyDescent="0.3">
      <c r="A1055" s="38" t="s">
        <v>1391</v>
      </c>
      <c r="B1055" s="37">
        <v>127000</v>
      </c>
      <c r="C1055" s="37">
        <v>1</v>
      </c>
      <c r="D1055" s="37">
        <v>1</v>
      </c>
      <c r="E1055" s="39">
        <v>162</v>
      </c>
      <c r="F1055" s="51">
        <v>2.3189555221662399E-4</v>
      </c>
      <c r="G1055" s="37">
        <v>127000</v>
      </c>
    </row>
    <row r="1056" spans="1:7" ht="15" customHeight="1" x14ac:dyDescent="0.3">
      <c r="A1056" s="32" t="s">
        <v>1679</v>
      </c>
      <c r="B1056" s="31">
        <v>127000</v>
      </c>
      <c r="C1056" s="31">
        <v>1</v>
      </c>
      <c r="D1056" s="31">
        <v>1</v>
      </c>
      <c r="E1056" s="33">
        <v>417.56</v>
      </c>
      <c r="F1056" s="49">
        <v>2.3189555221662399E-4</v>
      </c>
      <c r="G1056" s="31">
        <v>127000</v>
      </c>
    </row>
    <row r="1057" spans="1:7" ht="15" customHeight="1" x14ac:dyDescent="0.3">
      <c r="A1057" s="38" t="s">
        <v>1466</v>
      </c>
      <c r="B1057" s="37">
        <v>127000</v>
      </c>
      <c r="C1057" s="37">
        <v>1</v>
      </c>
      <c r="D1057" s="37">
        <v>1</v>
      </c>
      <c r="E1057" s="39">
        <v>1432.8</v>
      </c>
      <c r="F1057" s="51">
        <v>2.3189555221662399E-4</v>
      </c>
      <c r="G1057" s="37">
        <v>127000</v>
      </c>
    </row>
    <row r="1058" spans="1:7" ht="15" customHeight="1" x14ac:dyDescent="0.3">
      <c r="A1058" s="32" t="s">
        <v>1682</v>
      </c>
      <c r="B1058" s="31">
        <v>127000</v>
      </c>
      <c r="C1058" s="31">
        <v>1</v>
      </c>
      <c r="D1058" s="31">
        <v>1</v>
      </c>
      <c r="E1058" s="33">
        <v>819</v>
      </c>
      <c r="F1058" s="49">
        <v>2.3189555221662399E-4</v>
      </c>
      <c r="G1058" s="31">
        <v>127000</v>
      </c>
    </row>
    <row r="1059" spans="1:7" ht="15" customHeight="1" x14ac:dyDescent="0.3">
      <c r="A1059" s="38" t="s">
        <v>1396</v>
      </c>
      <c r="B1059" s="37">
        <v>127000</v>
      </c>
      <c r="C1059" s="37">
        <v>1</v>
      </c>
      <c r="D1059" s="37">
        <v>1</v>
      </c>
      <c r="E1059" s="39">
        <v>156</v>
      </c>
      <c r="F1059" s="51">
        <v>2.3189555221662399E-4</v>
      </c>
      <c r="G1059" s="37">
        <v>127000</v>
      </c>
    </row>
    <row r="1060" spans="1:7" ht="15" customHeight="1" x14ac:dyDescent="0.3">
      <c r="A1060" s="32" t="s">
        <v>2142</v>
      </c>
      <c r="B1060" s="31">
        <v>127000</v>
      </c>
      <c r="C1060" s="31">
        <v>1</v>
      </c>
      <c r="D1060" s="31">
        <v>1</v>
      </c>
      <c r="E1060" s="33">
        <v>228</v>
      </c>
      <c r="F1060" s="49">
        <v>2.3189555221662399E-4</v>
      </c>
      <c r="G1060" s="31">
        <v>127000</v>
      </c>
    </row>
    <row r="1061" spans="1:7" ht="15" customHeight="1" x14ac:dyDescent="0.3">
      <c r="A1061" s="38" t="s">
        <v>1945</v>
      </c>
      <c r="B1061" s="37">
        <v>127000</v>
      </c>
      <c r="C1061" s="37">
        <v>1</v>
      </c>
      <c r="D1061" s="37">
        <v>1</v>
      </c>
      <c r="E1061" s="39">
        <v>410</v>
      </c>
      <c r="F1061" s="51">
        <v>2.3189555221662399E-4</v>
      </c>
      <c r="G1061" s="37">
        <v>127000</v>
      </c>
    </row>
    <row r="1062" spans="1:7" ht="15" customHeight="1" x14ac:dyDescent="0.3">
      <c r="A1062" s="32" t="s">
        <v>1455</v>
      </c>
      <c r="B1062" s="31">
        <v>127000</v>
      </c>
      <c r="C1062" s="31">
        <v>1</v>
      </c>
      <c r="D1062" s="31">
        <v>1</v>
      </c>
      <c r="E1062" s="33">
        <v>636</v>
      </c>
      <c r="F1062" s="49">
        <v>2.3189555221662399E-4</v>
      </c>
      <c r="G1062" s="31">
        <v>127000</v>
      </c>
    </row>
    <row r="1063" spans="1:7" ht="15" customHeight="1" x14ac:dyDescent="0.3">
      <c r="A1063" s="38" t="s">
        <v>2230</v>
      </c>
      <c r="B1063" s="37">
        <v>127000</v>
      </c>
      <c r="C1063" s="37">
        <v>1</v>
      </c>
      <c r="D1063" s="37">
        <v>1</v>
      </c>
      <c r="E1063" s="39">
        <v>76</v>
      </c>
      <c r="F1063" s="51">
        <v>2.3189555221662399E-4</v>
      </c>
      <c r="G1063" s="37">
        <v>127000</v>
      </c>
    </row>
    <row r="1064" spans="1:7" ht="15" customHeight="1" x14ac:dyDescent="0.3">
      <c r="A1064" s="32" t="s">
        <v>1458</v>
      </c>
      <c r="B1064" s="31">
        <v>127000</v>
      </c>
      <c r="C1064" s="31">
        <v>1</v>
      </c>
      <c r="D1064" s="31">
        <v>1</v>
      </c>
      <c r="E1064" s="33">
        <v>319</v>
      </c>
      <c r="F1064" s="49">
        <v>2.3189555221662399E-4</v>
      </c>
      <c r="G1064" s="31">
        <v>127000</v>
      </c>
    </row>
    <row r="1065" spans="1:7" ht="15" customHeight="1" x14ac:dyDescent="0.3">
      <c r="A1065" s="38" t="s">
        <v>1676</v>
      </c>
      <c r="B1065" s="37">
        <v>127000</v>
      </c>
      <c r="C1065" s="37">
        <v>1</v>
      </c>
      <c r="D1065" s="37">
        <v>1</v>
      </c>
      <c r="E1065" s="39">
        <v>590.5</v>
      </c>
      <c r="F1065" s="51">
        <v>2.3189555221662399E-4</v>
      </c>
      <c r="G1065" s="37">
        <v>127000</v>
      </c>
    </row>
    <row r="1066" spans="1:7" ht="15" customHeight="1" x14ac:dyDescent="0.3">
      <c r="A1066" s="32" t="s">
        <v>1867</v>
      </c>
      <c r="B1066" s="31">
        <v>127000</v>
      </c>
      <c r="C1066" s="31">
        <v>1</v>
      </c>
      <c r="D1066" s="31">
        <v>1</v>
      </c>
      <c r="E1066" s="33">
        <v>1050</v>
      </c>
      <c r="F1066" s="49">
        <v>2.3189555221662399E-4</v>
      </c>
      <c r="G1066" s="31">
        <v>127000</v>
      </c>
    </row>
    <row r="1067" spans="1:7" ht="15" customHeight="1" x14ac:dyDescent="0.3">
      <c r="A1067" s="38" t="s">
        <v>1174</v>
      </c>
      <c r="B1067" s="37">
        <v>127000</v>
      </c>
      <c r="C1067" s="37">
        <v>1</v>
      </c>
      <c r="D1067" s="37">
        <v>1</v>
      </c>
      <c r="E1067" s="39">
        <v>1028</v>
      </c>
      <c r="F1067" s="51">
        <v>2.3189555221662399E-4</v>
      </c>
      <c r="G1067" s="37">
        <v>127000</v>
      </c>
    </row>
    <row r="1068" spans="1:7" ht="15" customHeight="1" x14ac:dyDescent="0.3">
      <c r="A1068" s="32" t="s">
        <v>982</v>
      </c>
      <c r="B1068" s="31">
        <v>127000</v>
      </c>
      <c r="C1068" s="31">
        <v>1</v>
      </c>
      <c r="D1068" s="31">
        <v>1</v>
      </c>
      <c r="E1068" s="33">
        <v>150</v>
      </c>
      <c r="F1068" s="49">
        <v>2.3189555221662399E-4</v>
      </c>
      <c r="G1068" s="31">
        <v>127000</v>
      </c>
    </row>
    <row r="1069" spans="1:7" ht="15" customHeight="1" x14ac:dyDescent="0.3">
      <c r="A1069" s="38" t="s">
        <v>1337</v>
      </c>
      <c r="B1069" s="37">
        <v>127000</v>
      </c>
      <c r="C1069" s="37">
        <v>1</v>
      </c>
      <c r="D1069" s="37">
        <v>1</v>
      </c>
      <c r="E1069" s="39">
        <v>485</v>
      </c>
      <c r="F1069" s="51">
        <v>2.3189555221662399E-4</v>
      </c>
      <c r="G1069" s="37">
        <v>127000</v>
      </c>
    </row>
    <row r="1070" spans="1:7" ht="15" customHeight="1" x14ac:dyDescent="0.3">
      <c r="A1070" s="32" t="s">
        <v>2256</v>
      </c>
      <c r="B1070" s="31">
        <v>127000</v>
      </c>
      <c r="C1070" s="31">
        <v>1</v>
      </c>
      <c r="D1070" s="31">
        <v>1</v>
      </c>
      <c r="E1070" s="33">
        <v>1560.36</v>
      </c>
      <c r="F1070" s="49">
        <v>2.3189555221662399E-4</v>
      </c>
      <c r="G1070" s="31">
        <v>127000</v>
      </c>
    </row>
    <row r="1071" spans="1:7" ht="15" customHeight="1" x14ac:dyDescent="0.3">
      <c r="A1071" s="38" t="s">
        <v>1185</v>
      </c>
      <c r="B1071" s="37">
        <v>127000</v>
      </c>
      <c r="C1071" s="37">
        <v>1</v>
      </c>
      <c r="D1071" s="37">
        <v>1</v>
      </c>
      <c r="E1071" s="39">
        <v>1360</v>
      </c>
      <c r="F1071" s="51">
        <v>2.3189555221662399E-4</v>
      </c>
      <c r="G1071" s="37">
        <v>127000</v>
      </c>
    </row>
    <row r="1072" spans="1:7" ht="15" customHeight="1" x14ac:dyDescent="0.3">
      <c r="A1072" s="32" t="s">
        <v>1328</v>
      </c>
      <c r="B1072" s="31">
        <v>127000</v>
      </c>
      <c r="C1072" s="31">
        <v>1</v>
      </c>
      <c r="D1072" s="31">
        <v>1</v>
      </c>
      <c r="E1072" s="33">
        <v>373</v>
      </c>
      <c r="F1072" s="49">
        <v>2.3189555221662399E-4</v>
      </c>
      <c r="G1072" s="31">
        <v>127000</v>
      </c>
    </row>
    <row r="1073" spans="1:7" ht="15" customHeight="1" x14ac:dyDescent="0.3">
      <c r="A1073" s="38" t="s">
        <v>1588</v>
      </c>
      <c r="B1073" s="37">
        <v>127000</v>
      </c>
      <c r="C1073" s="37">
        <v>1</v>
      </c>
      <c r="D1073" s="37">
        <v>1</v>
      </c>
      <c r="E1073" s="39">
        <v>190</v>
      </c>
      <c r="F1073" s="51">
        <v>2.3189555221662399E-4</v>
      </c>
      <c r="G1073" s="37">
        <v>127000</v>
      </c>
    </row>
    <row r="1074" spans="1:7" ht="15" customHeight="1" x14ac:dyDescent="0.3">
      <c r="A1074" s="32" t="s">
        <v>299</v>
      </c>
      <c r="B1074" s="31">
        <v>118260</v>
      </c>
      <c r="C1074" s="31">
        <v>1</v>
      </c>
      <c r="D1074" s="31">
        <v>1</v>
      </c>
      <c r="E1074" s="33">
        <v>572</v>
      </c>
      <c r="F1074" s="49">
        <v>2.15936755945968E-4</v>
      </c>
      <c r="G1074" s="31">
        <v>118260</v>
      </c>
    </row>
    <row r="1075" spans="1:7" ht="15" customHeight="1" x14ac:dyDescent="0.3">
      <c r="A1075" s="38" t="s">
        <v>245</v>
      </c>
      <c r="B1075" s="37">
        <v>118260</v>
      </c>
      <c r="C1075" s="37">
        <v>1</v>
      </c>
      <c r="D1075" s="37">
        <v>1</v>
      </c>
      <c r="E1075" s="39">
        <v>435</v>
      </c>
      <c r="F1075" s="51">
        <v>2.15936755945968E-4</v>
      </c>
      <c r="G1075" s="37">
        <v>118260</v>
      </c>
    </row>
    <row r="1076" spans="1:7" ht="15" customHeight="1" x14ac:dyDescent="0.3">
      <c r="A1076" s="32" t="s">
        <v>584</v>
      </c>
      <c r="B1076" s="31">
        <v>118260</v>
      </c>
      <c r="C1076" s="31">
        <v>1</v>
      </c>
      <c r="D1076" s="31">
        <v>1</v>
      </c>
      <c r="E1076" s="33">
        <v>335.2</v>
      </c>
      <c r="F1076" s="49">
        <v>2.15936755945968E-4</v>
      </c>
      <c r="G1076" s="31">
        <v>118260</v>
      </c>
    </row>
    <row r="1077" spans="1:7" ht="15" customHeight="1" x14ac:dyDescent="0.3">
      <c r="A1077" s="38" t="s">
        <v>311</v>
      </c>
      <c r="B1077" s="37">
        <v>118260</v>
      </c>
      <c r="C1077" s="37">
        <v>1</v>
      </c>
      <c r="D1077" s="37">
        <v>1</v>
      </c>
      <c r="E1077" s="39">
        <v>290</v>
      </c>
      <c r="F1077" s="51">
        <v>2.15936755945968E-4</v>
      </c>
      <c r="G1077" s="37">
        <v>118260</v>
      </c>
    </row>
    <row r="1078" spans="1:7" ht="15" customHeight="1" x14ac:dyDescent="0.3">
      <c r="A1078" s="32" t="s">
        <v>382</v>
      </c>
      <c r="B1078" s="31">
        <v>118260</v>
      </c>
      <c r="C1078" s="31">
        <v>1</v>
      </c>
      <c r="D1078" s="31">
        <v>1</v>
      </c>
      <c r="E1078" s="33">
        <v>241</v>
      </c>
      <c r="F1078" s="49">
        <v>2.15936755945968E-4</v>
      </c>
      <c r="G1078" s="31">
        <v>118260</v>
      </c>
    </row>
    <row r="1079" spans="1:7" ht="15" customHeight="1" x14ac:dyDescent="0.3">
      <c r="A1079" s="38" t="s">
        <v>612</v>
      </c>
      <c r="B1079" s="37">
        <v>118260</v>
      </c>
      <c r="C1079" s="37">
        <v>1</v>
      </c>
      <c r="D1079" s="37">
        <v>1</v>
      </c>
      <c r="E1079" s="39">
        <v>476</v>
      </c>
      <c r="F1079" s="51">
        <v>2.15936755945968E-4</v>
      </c>
      <c r="G1079" s="37">
        <v>118260</v>
      </c>
    </row>
    <row r="1080" spans="1:7" ht="15" customHeight="1" x14ac:dyDescent="0.3">
      <c r="A1080" s="32" t="s">
        <v>177</v>
      </c>
      <c r="B1080" s="31">
        <v>118260</v>
      </c>
      <c r="C1080" s="31">
        <v>1</v>
      </c>
      <c r="D1080" s="31">
        <v>1</v>
      </c>
      <c r="E1080" s="33">
        <v>61</v>
      </c>
      <c r="F1080" s="49">
        <v>2.15936755945968E-4</v>
      </c>
      <c r="G1080" s="31">
        <v>118260</v>
      </c>
    </row>
    <row r="1081" spans="1:7" ht="15" customHeight="1" x14ac:dyDescent="0.3">
      <c r="A1081" s="38" t="s">
        <v>773</v>
      </c>
      <c r="B1081" s="37">
        <v>118260</v>
      </c>
      <c r="C1081" s="37">
        <v>1</v>
      </c>
      <c r="D1081" s="37">
        <v>1</v>
      </c>
      <c r="E1081" s="39">
        <v>116</v>
      </c>
      <c r="F1081" s="51">
        <v>2.15936755945968E-4</v>
      </c>
      <c r="G1081" s="37">
        <v>118260</v>
      </c>
    </row>
    <row r="1082" spans="1:7" ht="15" customHeight="1" x14ac:dyDescent="0.3">
      <c r="A1082" s="32" t="s">
        <v>630</v>
      </c>
      <c r="B1082" s="31">
        <v>118260</v>
      </c>
      <c r="C1082" s="31">
        <v>1</v>
      </c>
      <c r="D1082" s="31">
        <v>1</v>
      </c>
      <c r="E1082" s="33">
        <v>606</v>
      </c>
      <c r="F1082" s="49">
        <v>2.15936755945968E-4</v>
      </c>
      <c r="G1082" s="31">
        <v>118260</v>
      </c>
    </row>
    <row r="1083" spans="1:7" ht="15" customHeight="1" x14ac:dyDescent="0.3">
      <c r="A1083" s="38" t="s">
        <v>201</v>
      </c>
      <c r="B1083" s="37">
        <v>118260</v>
      </c>
      <c r="C1083" s="37">
        <v>1</v>
      </c>
      <c r="D1083" s="37">
        <v>1</v>
      </c>
      <c r="E1083" s="39">
        <v>150</v>
      </c>
      <c r="F1083" s="51">
        <v>2.15936755945968E-4</v>
      </c>
      <c r="G1083" s="37">
        <v>118260</v>
      </c>
    </row>
    <row r="1084" spans="1:7" ht="15" customHeight="1" x14ac:dyDescent="0.3">
      <c r="A1084" s="32" t="s">
        <v>155</v>
      </c>
      <c r="B1084" s="31">
        <v>118260</v>
      </c>
      <c r="C1084" s="31">
        <v>1</v>
      </c>
      <c r="D1084" s="31">
        <v>1</v>
      </c>
      <c r="E1084" s="33">
        <v>892</v>
      </c>
      <c r="F1084" s="49">
        <v>2.15936755945968E-4</v>
      </c>
      <c r="G1084" s="31">
        <v>118260</v>
      </c>
    </row>
    <row r="1085" spans="1:7" ht="15" customHeight="1" x14ac:dyDescent="0.3">
      <c r="A1085" s="38" t="s">
        <v>217</v>
      </c>
      <c r="B1085" s="37">
        <v>118260</v>
      </c>
      <c r="C1085" s="37">
        <v>1</v>
      </c>
      <c r="D1085" s="37">
        <v>1</v>
      </c>
      <c r="E1085" s="39">
        <v>205</v>
      </c>
      <c r="F1085" s="51">
        <v>2.15936755945968E-4</v>
      </c>
      <c r="G1085" s="37">
        <v>118260</v>
      </c>
    </row>
    <row r="1086" spans="1:7" ht="15" customHeight="1" x14ac:dyDescent="0.3">
      <c r="A1086" s="32" t="s">
        <v>439</v>
      </c>
      <c r="B1086" s="31">
        <v>118260</v>
      </c>
      <c r="C1086" s="31">
        <v>1</v>
      </c>
      <c r="D1086" s="31">
        <v>1</v>
      </c>
      <c r="E1086" s="33">
        <v>434</v>
      </c>
      <c r="F1086" s="49">
        <v>2.15936755945968E-4</v>
      </c>
      <c r="G1086" s="31">
        <v>118260</v>
      </c>
    </row>
    <row r="1087" spans="1:7" ht="15" customHeight="1" x14ac:dyDescent="0.3">
      <c r="A1087" s="38" t="s">
        <v>451</v>
      </c>
      <c r="B1087" s="37">
        <v>118260</v>
      </c>
      <c r="C1087" s="37">
        <v>1</v>
      </c>
      <c r="D1087" s="37">
        <v>1</v>
      </c>
      <c r="E1087" s="39">
        <v>405</v>
      </c>
      <c r="F1087" s="51">
        <v>2.15936755945968E-4</v>
      </c>
      <c r="G1087" s="37">
        <v>118260</v>
      </c>
    </row>
    <row r="1088" spans="1:7" ht="15" customHeight="1" x14ac:dyDescent="0.3">
      <c r="A1088" s="32" t="s">
        <v>292</v>
      </c>
      <c r="B1088" s="31">
        <v>118260</v>
      </c>
      <c r="C1088" s="31">
        <v>1</v>
      </c>
      <c r="D1088" s="31">
        <v>1</v>
      </c>
      <c r="E1088" s="33">
        <v>600</v>
      </c>
      <c r="F1088" s="49">
        <v>2.15936755945968E-4</v>
      </c>
      <c r="G1088" s="31">
        <v>118260</v>
      </c>
    </row>
    <row r="1089" spans="1:7" ht="15" customHeight="1" x14ac:dyDescent="0.3">
      <c r="A1089" s="38" t="s">
        <v>627</v>
      </c>
      <c r="B1089" s="37">
        <v>118260</v>
      </c>
      <c r="C1089" s="37">
        <v>1</v>
      </c>
      <c r="D1089" s="37">
        <v>1</v>
      </c>
      <c r="E1089" s="39">
        <v>1170</v>
      </c>
      <c r="F1089" s="51">
        <v>2.15936755945968E-4</v>
      </c>
      <c r="G1089" s="37">
        <v>118260</v>
      </c>
    </row>
    <row r="1090" spans="1:7" ht="15" customHeight="1" x14ac:dyDescent="0.3">
      <c r="A1090" s="32" t="s">
        <v>250</v>
      </c>
      <c r="B1090" s="31">
        <v>118260</v>
      </c>
      <c r="C1090" s="31">
        <v>1</v>
      </c>
      <c r="D1090" s="31">
        <v>1</v>
      </c>
      <c r="E1090" s="33">
        <v>150</v>
      </c>
      <c r="F1090" s="49">
        <v>2.15936755945968E-4</v>
      </c>
      <c r="G1090" s="31">
        <v>118260</v>
      </c>
    </row>
    <row r="1091" spans="1:7" ht="15" customHeight="1" x14ac:dyDescent="0.3">
      <c r="A1091" s="38" t="s">
        <v>903</v>
      </c>
      <c r="B1091" s="37">
        <v>118260</v>
      </c>
      <c r="C1091" s="37">
        <v>1</v>
      </c>
      <c r="D1091" s="37">
        <v>1</v>
      </c>
      <c r="E1091" s="39">
        <v>175</v>
      </c>
      <c r="F1091" s="51">
        <v>2.15936755945968E-4</v>
      </c>
      <c r="G1091" s="37">
        <v>118260</v>
      </c>
    </row>
    <row r="1092" spans="1:7" ht="15" customHeight="1" x14ac:dyDescent="0.3">
      <c r="A1092" s="32" t="s">
        <v>761</v>
      </c>
      <c r="B1092" s="31">
        <v>118260</v>
      </c>
      <c r="C1092" s="31">
        <v>1</v>
      </c>
      <c r="D1092" s="31">
        <v>1</v>
      </c>
      <c r="E1092" s="33">
        <v>178</v>
      </c>
      <c r="F1092" s="49">
        <v>2.15936755945968E-4</v>
      </c>
      <c r="G1092" s="31">
        <v>118260</v>
      </c>
    </row>
    <row r="1093" spans="1:7" ht="15" customHeight="1" x14ac:dyDescent="0.3">
      <c r="A1093" s="38" t="s">
        <v>128</v>
      </c>
      <c r="B1093" s="37">
        <v>118260</v>
      </c>
      <c r="C1093" s="37">
        <v>1</v>
      </c>
      <c r="D1093" s="37">
        <v>1</v>
      </c>
      <c r="E1093" s="39">
        <v>673</v>
      </c>
      <c r="F1093" s="51">
        <v>2.15936755945968E-4</v>
      </c>
      <c r="G1093" s="37">
        <v>118260</v>
      </c>
    </row>
    <row r="1094" spans="1:7" ht="15" customHeight="1" x14ac:dyDescent="0.3">
      <c r="A1094" s="32" t="s">
        <v>196</v>
      </c>
      <c r="B1094" s="31">
        <v>118260</v>
      </c>
      <c r="C1094" s="31">
        <v>1</v>
      </c>
      <c r="D1094" s="31">
        <v>1</v>
      </c>
      <c r="E1094" s="33">
        <v>600</v>
      </c>
      <c r="F1094" s="49">
        <v>2.15936755945968E-4</v>
      </c>
      <c r="G1094" s="31">
        <v>118260</v>
      </c>
    </row>
    <row r="1095" spans="1:7" ht="15" customHeight="1" x14ac:dyDescent="0.3">
      <c r="A1095" s="38" t="s">
        <v>729</v>
      </c>
      <c r="B1095" s="37">
        <v>118260</v>
      </c>
      <c r="C1095" s="37">
        <v>1</v>
      </c>
      <c r="D1095" s="37">
        <v>1</v>
      </c>
      <c r="E1095" s="39">
        <v>282</v>
      </c>
      <c r="F1095" s="51">
        <v>2.15936755945968E-4</v>
      </c>
      <c r="G1095" s="37">
        <v>118260</v>
      </c>
    </row>
    <row r="1096" spans="1:7" ht="15" customHeight="1" x14ac:dyDescent="0.3">
      <c r="A1096" s="32" t="s">
        <v>480</v>
      </c>
      <c r="B1096" s="31">
        <v>118260</v>
      </c>
      <c r="C1096" s="31">
        <v>1</v>
      </c>
      <c r="D1096" s="31">
        <v>1</v>
      </c>
      <c r="E1096" s="33">
        <v>300</v>
      </c>
      <c r="F1096" s="49">
        <v>2.15936755945968E-4</v>
      </c>
      <c r="G1096" s="31">
        <v>118260</v>
      </c>
    </row>
    <row r="1097" spans="1:7" ht="15" customHeight="1" x14ac:dyDescent="0.3">
      <c r="A1097" s="38" t="s">
        <v>677</v>
      </c>
      <c r="B1097" s="37">
        <v>118260</v>
      </c>
      <c r="C1097" s="37">
        <v>1</v>
      </c>
      <c r="D1097" s="37">
        <v>1</v>
      </c>
      <c r="E1097" s="39">
        <v>290</v>
      </c>
      <c r="F1097" s="51">
        <v>2.15936755945968E-4</v>
      </c>
      <c r="G1097" s="37">
        <v>118260</v>
      </c>
    </row>
    <row r="1098" spans="1:7" ht="15" customHeight="1" x14ac:dyDescent="0.3">
      <c r="A1098" s="32" t="s">
        <v>254</v>
      </c>
      <c r="B1098" s="31">
        <v>118260</v>
      </c>
      <c r="C1098" s="31">
        <v>1</v>
      </c>
      <c r="D1098" s="31">
        <v>1</v>
      </c>
      <c r="E1098" s="33">
        <v>260</v>
      </c>
      <c r="F1098" s="49">
        <v>2.15936755945968E-4</v>
      </c>
      <c r="G1098" s="31">
        <v>118260</v>
      </c>
    </row>
    <row r="1099" spans="1:7" ht="15" customHeight="1" x14ac:dyDescent="0.3">
      <c r="A1099" s="38" t="s">
        <v>248</v>
      </c>
      <c r="B1099" s="37">
        <v>118260</v>
      </c>
      <c r="C1099" s="37">
        <v>1</v>
      </c>
      <c r="D1099" s="37">
        <v>1</v>
      </c>
      <c r="E1099" s="39">
        <v>84</v>
      </c>
      <c r="F1099" s="51">
        <v>2.15936755945968E-4</v>
      </c>
      <c r="G1099" s="37">
        <v>118260</v>
      </c>
    </row>
    <row r="1100" spans="1:7" ht="15" customHeight="1" x14ac:dyDescent="0.3">
      <c r="A1100" s="32" t="s">
        <v>893</v>
      </c>
      <c r="B1100" s="31">
        <v>118260</v>
      </c>
      <c r="C1100" s="31">
        <v>1</v>
      </c>
      <c r="D1100" s="31">
        <v>1</v>
      </c>
      <c r="E1100" s="33">
        <v>266</v>
      </c>
      <c r="F1100" s="49">
        <v>2.15936755945968E-4</v>
      </c>
      <c r="G1100" s="31">
        <v>118260</v>
      </c>
    </row>
    <row r="1101" spans="1:7" ht="15" customHeight="1" x14ac:dyDescent="0.3">
      <c r="A1101" s="38" t="s">
        <v>188</v>
      </c>
      <c r="B1101" s="37">
        <v>118260</v>
      </c>
      <c r="C1101" s="37">
        <v>1</v>
      </c>
      <c r="D1101" s="37">
        <v>1</v>
      </c>
      <c r="E1101" s="39">
        <v>180</v>
      </c>
      <c r="F1101" s="51">
        <v>2.15936755945968E-4</v>
      </c>
      <c r="G1101" s="37">
        <v>118260</v>
      </c>
    </row>
    <row r="1102" spans="1:7" ht="15" customHeight="1" x14ac:dyDescent="0.3">
      <c r="A1102" s="32" t="s">
        <v>758</v>
      </c>
      <c r="B1102" s="31">
        <v>118260</v>
      </c>
      <c r="C1102" s="31">
        <v>1</v>
      </c>
      <c r="D1102" s="31">
        <v>1</v>
      </c>
      <c r="E1102" s="33">
        <v>246.5</v>
      </c>
      <c r="F1102" s="49">
        <v>2.15936755945968E-4</v>
      </c>
      <c r="G1102" s="31">
        <v>118260</v>
      </c>
    </row>
    <row r="1103" spans="1:7" ht="15" customHeight="1" x14ac:dyDescent="0.3">
      <c r="A1103" s="38" t="s">
        <v>332</v>
      </c>
      <c r="B1103" s="37">
        <v>108000</v>
      </c>
      <c r="C1103" s="37">
        <v>1</v>
      </c>
      <c r="D1103" s="37">
        <v>1</v>
      </c>
      <c r="E1103" s="39">
        <v>35</v>
      </c>
      <c r="F1103" s="51">
        <v>1.97202516845633E-4</v>
      </c>
      <c r="G1103" s="37">
        <v>108000</v>
      </c>
    </row>
    <row r="1104" spans="1:7" ht="15" customHeight="1" x14ac:dyDescent="0.3">
      <c r="A1104" s="32" t="s">
        <v>562</v>
      </c>
      <c r="B1104" s="31">
        <v>108000</v>
      </c>
      <c r="C1104" s="31">
        <v>1</v>
      </c>
      <c r="D1104" s="31">
        <v>1</v>
      </c>
      <c r="E1104" s="33">
        <v>105</v>
      </c>
      <c r="F1104" s="49">
        <v>1.97202516845633E-4</v>
      </c>
      <c r="G1104" s="31">
        <v>108000</v>
      </c>
    </row>
    <row r="1105" spans="1:7" ht="15" customHeight="1" x14ac:dyDescent="0.3">
      <c r="A1105" s="38" t="s">
        <v>172</v>
      </c>
      <c r="B1105" s="37">
        <v>108000</v>
      </c>
      <c r="C1105" s="37">
        <v>1</v>
      </c>
      <c r="D1105" s="37">
        <v>1</v>
      </c>
      <c r="E1105" s="39">
        <v>129</v>
      </c>
      <c r="F1105" s="51">
        <v>1.97202516845633E-4</v>
      </c>
      <c r="G1105" s="37">
        <v>108000</v>
      </c>
    </row>
    <row r="1106" spans="1:7" ht="15" customHeight="1" x14ac:dyDescent="0.3">
      <c r="A1106" s="32" t="s">
        <v>113</v>
      </c>
      <c r="B1106" s="31">
        <v>108000</v>
      </c>
      <c r="C1106" s="31">
        <v>1</v>
      </c>
      <c r="D1106" s="31">
        <v>1</v>
      </c>
      <c r="E1106" s="33">
        <v>158</v>
      </c>
      <c r="F1106" s="49">
        <v>1.97202516845633E-4</v>
      </c>
      <c r="G1106" s="31">
        <v>108000</v>
      </c>
    </row>
    <row r="1107" spans="1:7" ht="15" customHeight="1" x14ac:dyDescent="0.3">
      <c r="A1107" s="38" t="s">
        <v>457</v>
      </c>
      <c r="B1107" s="37">
        <v>108000</v>
      </c>
      <c r="C1107" s="37">
        <v>1</v>
      </c>
      <c r="D1107" s="37">
        <v>1</v>
      </c>
      <c r="E1107" s="39">
        <v>115</v>
      </c>
      <c r="F1107" s="51">
        <v>1.97202516845633E-4</v>
      </c>
      <c r="G1107" s="37">
        <v>108000</v>
      </c>
    </row>
    <row r="1108" spans="1:7" ht="15" customHeight="1" x14ac:dyDescent="0.3">
      <c r="A1108" s="32" t="s">
        <v>551</v>
      </c>
      <c r="B1108" s="31">
        <v>108000</v>
      </c>
      <c r="C1108" s="31">
        <v>1</v>
      </c>
      <c r="D1108" s="31">
        <v>1</v>
      </c>
      <c r="E1108" s="33">
        <v>190</v>
      </c>
      <c r="F1108" s="49">
        <v>1.97202516845633E-4</v>
      </c>
      <c r="G1108" s="31">
        <v>108000</v>
      </c>
    </row>
    <row r="1109" spans="1:7" ht="15" customHeight="1" x14ac:dyDescent="0.3">
      <c r="A1109" s="38" t="s">
        <v>162</v>
      </c>
      <c r="B1109" s="37">
        <v>108000</v>
      </c>
      <c r="C1109" s="37">
        <v>1</v>
      </c>
      <c r="D1109" s="37">
        <v>1</v>
      </c>
      <c r="E1109" s="39">
        <v>391</v>
      </c>
      <c r="F1109" s="51">
        <v>1.97202516845633E-4</v>
      </c>
      <c r="G1109" s="37">
        <v>108000</v>
      </c>
    </row>
    <row r="1110" spans="1:7" ht="15" customHeight="1" x14ac:dyDescent="0.3">
      <c r="A1110" s="32" t="s">
        <v>615</v>
      </c>
      <c r="B1110" s="31">
        <v>108000</v>
      </c>
      <c r="C1110" s="31">
        <v>1</v>
      </c>
      <c r="D1110" s="31">
        <v>1</v>
      </c>
      <c r="E1110" s="33">
        <v>220</v>
      </c>
      <c r="F1110" s="49">
        <v>1.97202516845633E-4</v>
      </c>
      <c r="G1110" s="31">
        <v>108000</v>
      </c>
    </row>
    <row r="1111" spans="1:7" ht="15" customHeight="1" x14ac:dyDescent="0.3">
      <c r="A1111" s="38" t="s">
        <v>260</v>
      </c>
      <c r="B1111" s="37">
        <v>108000</v>
      </c>
      <c r="C1111" s="37">
        <v>1</v>
      </c>
      <c r="D1111" s="37">
        <v>1</v>
      </c>
      <c r="E1111" s="39">
        <v>702</v>
      </c>
      <c r="F1111" s="51">
        <v>1.97202516845633E-4</v>
      </c>
      <c r="G1111" s="37">
        <v>108000</v>
      </c>
    </row>
    <row r="1112" spans="1:7" ht="15" customHeight="1" x14ac:dyDescent="0.3">
      <c r="A1112" s="32" t="s">
        <v>548</v>
      </c>
      <c r="B1112" s="31">
        <v>108000</v>
      </c>
      <c r="C1112" s="31">
        <v>1</v>
      </c>
      <c r="D1112" s="31">
        <v>1</v>
      </c>
      <c r="E1112" s="33">
        <v>203</v>
      </c>
      <c r="F1112" s="49">
        <v>1.97202516845633E-4</v>
      </c>
      <c r="G1112" s="31">
        <v>108000</v>
      </c>
    </row>
    <row r="1113" spans="1:7" ht="15" customHeight="1" x14ac:dyDescent="0.3">
      <c r="A1113" s="38" t="s">
        <v>192</v>
      </c>
      <c r="B1113" s="37">
        <v>108000</v>
      </c>
      <c r="C1113" s="37">
        <v>1</v>
      </c>
      <c r="D1113" s="37">
        <v>1</v>
      </c>
      <c r="E1113" s="39">
        <v>20</v>
      </c>
      <c r="F1113" s="51">
        <v>1.97202516845633E-4</v>
      </c>
      <c r="G1113" s="37">
        <v>108000</v>
      </c>
    </row>
    <row r="1114" spans="1:7" ht="15" customHeight="1" x14ac:dyDescent="0.3">
      <c r="A1114" s="32" t="s">
        <v>660</v>
      </c>
      <c r="B1114" s="31">
        <v>108000</v>
      </c>
      <c r="C1114" s="31">
        <v>1</v>
      </c>
      <c r="D1114" s="31">
        <v>1</v>
      </c>
      <c r="E1114" s="33">
        <v>70</v>
      </c>
      <c r="F1114" s="49">
        <v>1.97202516845633E-4</v>
      </c>
      <c r="G1114" s="31">
        <v>108000</v>
      </c>
    </row>
    <row r="1115" spans="1:7" ht="15" customHeight="1" x14ac:dyDescent="0.3">
      <c r="A1115" s="38" t="s">
        <v>345</v>
      </c>
      <c r="B1115" s="37">
        <v>108000</v>
      </c>
      <c r="C1115" s="37">
        <v>1</v>
      </c>
      <c r="D1115" s="37">
        <v>1</v>
      </c>
      <c r="E1115" s="39">
        <v>550</v>
      </c>
      <c r="F1115" s="51">
        <v>1.97202516845633E-4</v>
      </c>
      <c r="G1115" s="37">
        <v>108000</v>
      </c>
    </row>
    <row r="1116" spans="1:7" ht="15" customHeight="1" x14ac:dyDescent="0.3">
      <c r="A1116" s="32" t="s">
        <v>339</v>
      </c>
      <c r="B1116" s="31">
        <v>108000</v>
      </c>
      <c r="C1116" s="31">
        <v>1</v>
      </c>
      <c r="D1116" s="31">
        <v>1</v>
      </c>
      <c r="E1116" s="33">
        <v>88</v>
      </c>
      <c r="F1116" s="49">
        <v>1.97202516845633E-4</v>
      </c>
      <c r="G1116" s="31">
        <v>108000</v>
      </c>
    </row>
    <row r="1117" spans="1:7" ht="15" customHeight="1" x14ac:dyDescent="0.3">
      <c r="A1117" s="38" t="s">
        <v>485</v>
      </c>
      <c r="B1117" s="37">
        <v>108000</v>
      </c>
      <c r="C1117" s="37">
        <v>1</v>
      </c>
      <c r="D1117" s="37">
        <v>1</v>
      </c>
      <c r="E1117" s="39">
        <v>152</v>
      </c>
      <c r="F1117" s="51">
        <v>1.97202516845633E-4</v>
      </c>
      <c r="G1117" s="37">
        <v>108000</v>
      </c>
    </row>
    <row r="1118" spans="1:7" ht="15" customHeight="1" x14ac:dyDescent="0.3">
      <c r="A1118" s="32" t="s">
        <v>281</v>
      </c>
      <c r="B1118" s="31">
        <v>108000</v>
      </c>
      <c r="C1118" s="31">
        <v>1</v>
      </c>
      <c r="D1118" s="31">
        <v>1</v>
      </c>
      <c r="E1118" s="33">
        <v>167</v>
      </c>
      <c r="F1118" s="49">
        <v>1.97202516845633E-4</v>
      </c>
      <c r="G1118" s="31">
        <v>108000</v>
      </c>
    </row>
    <row r="1119" spans="1:7" ht="15" customHeight="1" x14ac:dyDescent="0.3">
      <c r="A1119" s="38" t="s">
        <v>90</v>
      </c>
      <c r="B1119" s="37">
        <v>19000</v>
      </c>
      <c r="C1119" s="37">
        <v>1</v>
      </c>
      <c r="D1119" s="37">
        <v>1</v>
      </c>
      <c r="E1119" s="39">
        <v>338</v>
      </c>
      <c r="F1119" s="51">
        <v>3.4693035370991002E-5</v>
      </c>
      <c r="G1119" s="37">
        <v>19000</v>
      </c>
    </row>
    <row r="1120" spans="1:7" ht="15" customHeight="1" x14ac:dyDescent="0.3">
      <c r="A1120" s="32" t="s">
        <v>5238</v>
      </c>
      <c r="B1120" s="31">
        <v>311.8</v>
      </c>
      <c r="C1120" s="31">
        <v>1</v>
      </c>
      <c r="D1120" s="31">
        <v>1</v>
      </c>
      <c r="E1120" s="33">
        <v>430</v>
      </c>
      <c r="F1120" s="49">
        <v>5.6933096993026304E-7</v>
      </c>
      <c r="G1120" s="31">
        <v>311.8</v>
      </c>
    </row>
    <row r="1121" spans="1:7" ht="15" customHeight="1" x14ac:dyDescent="0.3">
      <c r="A1121" s="38" t="s">
        <v>2680</v>
      </c>
      <c r="B1121" s="37">
        <v>247.26</v>
      </c>
      <c r="C1121" s="37">
        <v>1</v>
      </c>
      <c r="D1121" s="37">
        <v>1</v>
      </c>
      <c r="E1121" s="39">
        <v>1248</v>
      </c>
      <c r="F1121" s="51">
        <v>4.5148420662269699E-7</v>
      </c>
      <c r="G1121" s="37">
        <v>247.26</v>
      </c>
    </row>
  </sheetData>
  <autoFilter ref="A5:G1121" xr:uid="{00000000-0009-0000-0000-000005000000}"/>
  <mergeCells count="2">
    <mergeCell ref="A1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4009-2CD1-409C-AFB5-09ECC506A63E}">
  <sheetPr codeName="Feuil9">
    <tabColor theme="3" tint="-0.249977111117893"/>
  </sheetPr>
  <dimension ref="A1:J79"/>
  <sheetViews>
    <sheetView showGridLines="0" zoomScale="78" zoomScaleNormal="78" workbookViewId="0">
      <pane xSplit="1" ySplit="16" topLeftCell="B19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baseColWidth="10" defaultColWidth="8.6640625" defaultRowHeight="14.4" x14ac:dyDescent="0.3"/>
  <cols>
    <col min="1" max="1" width="11.77734375" customWidth="1"/>
    <col min="2" max="2" width="32" customWidth="1"/>
    <col min="3" max="3" width="21.5546875" customWidth="1"/>
    <col min="4" max="4" width="18" customWidth="1"/>
    <col min="5" max="5" width="21.44140625" customWidth="1"/>
    <col min="6" max="6" width="12" customWidth="1"/>
    <col min="7" max="7" width="17.33203125" customWidth="1"/>
    <col min="8" max="8" width="14" customWidth="1"/>
    <col min="9" max="9" width="23.6640625" customWidth="1"/>
    <col min="10" max="10" width="38.5546875" customWidth="1"/>
  </cols>
  <sheetData>
    <row r="1" spans="1:10" ht="21.75" customHeight="1" x14ac:dyDescent="0.3">
      <c r="A1" s="2"/>
      <c r="B1" s="158" t="s">
        <v>5770</v>
      </c>
      <c r="C1" s="158"/>
      <c r="D1" s="158"/>
      <c r="E1" s="158"/>
      <c r="F1" s="158"/>
      <c r="G1" s="158"/>
      <c r="H1" s="158"/>
      <c r="I1" s="158"/>
      <c r="J1" s="158"/>
    </row>
    <row r="2" spans="1:10" ht="21.75" customHeight="1" x14ac:dyDescent="0.3">
      <c r="A2" s="2"/>
      <c r="B2" s="158"/>
      <c r="C2" s="158"/>
      <c r="D2" s="158"/>
      <c r="E2" s="158"/>
      <c r="F2" s="158"/>
      <c r="G2" s="158"/>
      <c r="H2" s="158"/>
      <c r="I2" s="158"/>
      <c r="J2" s="158"/>
    </row>
    <row r="3" spans="1:10" ht="21.75" customHeight="1" x14ac:dyDescent="0.3">
      <c r="A3" s="2"/>
      <c r="B3" s="158"/>
      <c r="C3" s="158"/>
      <c r="D3" s="158"/>
      <c r="E3" s="158"/>
      <c r="F3" s="158"/>
      <c r="G3" s="158"/>
      <c r="H3" s="158"/>
      <c r="I3" s="158"/>
      <c r="J3" s="158"/>
    </row>
    <row r="4" spans="1:10" ht="21.75" customHeight="1" x14ac:dyDescent="0.3">
      <c r="A4" s="2"/>
      <c r="B4" s="144" t="s">
        <v>5771</v>
      </c>
      <c r="C4" s="144"/>
      <c r="D4" s="144"/>
      <c r="E4" s="144"/>
      <c r="F4" s="144"/>
      <c r="G4" s="144"/>
      <c r="H4" s="144"/>
      <c r="I4" s="144"/>
      <c r="J4" s="144"/>
    </row>
    <row r="5" spans="1:10" ht="21.75" customHeight="1" x14ac:dyDescent="0.3">
      <c r="A5" s="2"/>
      <c r="B5" s="159"/>
      <c r="C5" s="159"/>
      <c r="D5" s="159"/>
      <c r="E5" s="159"/>
      <c r="F5" s="159"/>
      <c r="G5" s="159"/>
      <c r="H5" s="159"/>
      <c r="I5" s="159"/>
      <c r="J5" s="159"/>
    </row>
    <row r="6" spans="1:10" ht="21.75" customHeight="1" x14ac:dyDescent="0.3">
      <c r="A6" s="2"/>
      <c r="B6" s="159"/>
      <c r="C6" s="159"/>
      <c r="D6" s="159"/>
      <c r="E6" s="159"/>
      <c r="F6" s="159"/>
      <c r="G6" s="159"/>
      <c r="H6" s="159"/>
      <c r="I6" s="159"/>
      <c r="J6" s="159"/>
    </row>
    <row r="7" spans="1:10" ht="18" customHeight="1" x14ac:dyDescent="0.3"/>
    <row r="8" spans="1:10" ht="19.5" customHeight="1" x14ac:dyDescent="0.3">
      <c r="B8" s="160" t="s">
        <v>5772</v>
      </c>
      <c r="C8" s="160"/>
      <c r="D8" s="161" t="s">
        <v>5773</v>
      </c>
      <c r="E8" s="161"/>
      <c r="F8" s="162" t="s">
        <v>5774</v>
      </c>
      <c r="G8" s="162"/>
      <c r="H8" s="163" t="s">
        <v>5775</v>
      </c>
      <c r="I8" s="163"/>
    </row>
    <row r="9" spans="1:10" ht="19.5" customHeight="1" x14ac:dyDescent="0.3">
      <c r="B9" s="157" t="s">
        <v>5776</v>
      </c>
      <c r="C9" s="157"/>
      <c r="D9" s="157" t="s">
        <v>5777</v>
      </c>
      <c r="E9" s="157"/>
      <c r="F9" s="157" t="s">
        <v>5778</v>
      </c>
      <c r="G9" s="157"/>
      <c r="H9" s="157" t="s">
        <v>5779</v>
      </c>
      <c r="I9" s="157"/>
    </row>
    <row r="10" spans="1:10" ht="19.5" customHeight="1" x14ac:dyDescent="0.3">
      <c r="B10" s="157"/>
      <c r="C10" s="157"/>
      <c r="D10" s="157"/>
      <c r="E10" s="157"/>
      <c r="F10" s="157"/>
      <c r="G10" s="157"/>
      <c r="H10" s="157"/>
      <c r="I10" s="157"/>
    </row>
    <row r="11" spans="1:10" ht="19.5" customHeight="1" x14ac:dyDescent="0.3">
      <c r="B11" s="155"/>
      <c r="C11" s="155"/>
      <c r="D11" s="155"/>
      <c r="E11" s="155"/>
      <c r="F11" s="155"/>
      <c r="G11" s="155"/>
      <c r="H11" s="155"/>
      <c r="I11" s="155"/>
    </row>
    <row r="12" spans="1:10" ht="19.5" customHeight="1" x14ac:dyDescent="0.3">
      <c r="B12" s="155"/>
      <c r="C12" s="155"/>
      <c r="D12" s="155"/>
      <c r="E12" s="155"/>
      <c r="F12" s="155"/>
      <c r="G12" s="155"/>
      <c r="H12" s="155"/>
      <c r="I12" s="155"/>
    </row>
    <row r="13" spans="1:10" ht="7.5" customHeight="1" x14ac:dyDescent="0.3">
      <c r="A13" s="97"/>
      <c r="B13" s="97"/>
      <c r="C13" s="97"/>
      <c r="D13" s="97"/>
      <c r="E13" s="97"/>
      <c r="F13" s="97"/>
      <c r="G13" s="97"/>
      <c r="H13" s="97"/>
      <c r="I13" s="97"/>
      <c r="J13" s="97"/>
    </row>
    <row r="14" spans="1:10" ht="7.5" customHeight="1" x14ac:dyDescent="0.3">
      <c r="A14" s="97"/>
      <c r="B14" s="97"/>
      <c r="C14" s="97"/>
      <c r="D14" s="97"/>
      <c r="E14" s="97"/>
      <c r="F14" s="97"/>
      <c r="G14" s="97"/>
      <c r="H14" s="97"/>
      <c r="I14" s="97"/>
      <c r="J14" s="97"/>
    </row>
    <row r="15" spans="1:10" ht="21.75" customHeight="1" x14ac:dyDescent="0.3">
      <c r="B15" s="156" t="s">
        <v>5780</v>
      </c>
      <c r="C15" s="156"/>
      <c r="D15" s="156"/>
      <c r="E15" s="156"/>
      <c r="F15" s="156"/>
      <c r="G15" s="156"/>
      <c r="H15" s="156"/>
      <c r="I15" s="156"/>
      <c r="J15" s="156"/>
    </row>
    <row r="16" spans="1:10" ht="24" customHeight="1" x14ac:dyDescent="0.3">
      <c r="A16" s="98" t="s">
        <v>5781</v>
      </c>
      <c r="B16" s="98" t="s">
        <v>5708</v>
      </c>
      <c r="C16" s="98" t="s">
        <v>5782</v>
      </c>
      <c r="D16" s="98" t="s">
        <v>5783</v>
      </c>
      <c r="E16" s="98" t="s">
        <v>5784</v>
      </c>
      <c r="F16" s="98" t="s">
        <v>5785</v>
      </c>
      <c r="G16" s="98" t="s">
        <v>5786</v>
      </c>
      <c r="H16" s="98" t="s">
        <v>5787</v>
      </c>
      <c r="I16" s="98" t="s">
        <v>5788</v>
      </c>
      <c r="J16" s="98" t="s">
        <v>5789</v>
      </c>
    </row>
    <row r="17" spans="1:10" ht="27" customHeight="1" x14ac:dyDescent="0.3">
      <c r="A17" s="99">
        <v>1</v>
      </c>
      <c r="B17" s="100" t="s">
        <v>37</v>
      </c>
      <c r="C17" s="99">
        <v>16321240</v>
      </c>
      <c r="D17" s="99">
        <v>5786800</v>
      </c>
      <c r="E17" s="99">
        <v>10534440</v>
      </c>
      <c r="F17" s="101">
        <v>0.64544360600052397</v>
      </c>
      <c r="G17" s="99">
        <v>4</v>
      </c>
      <c r="H17" s="99">
        <v>2022</v>
      </c>
      <c r="I17" s="102" t="s">
        <v>5790</v>
      </c>
      <c r="J17" s="103" t="s">
        <v>5791</v>
      </c>
    </row>
    <row r="18" spans="1:10" ht="34.200000000000003" customHeight="1" x14ac:dyDescent="0.3">
      <c r="A18" s="104">
        <v>2</v>
      </c>
      <c r="B18" s="105" t="s">
        <v>43</v>
      </c>
      <c r="C18" s="104">
        <v>8574460</v>
      </c>
      <c r="D18" s="104">
        <v>0</v>
      </c>
      <c r="E18" s="104">
        <v>8574460</v>
      </c>
      <c r="F18" s="106">
        <v>1</v>
      </c>
      <c r="G18" s="104">
        <v>3</v>
      </c>
      <c r="H18" s="104">
        <v>2022</v>
      </c>
      <c r="I18" s="107" t="s">
        <v>5792</v>
      </c>
      <c r="J18" s="103" t="s">
        <v>5793</v>
      </c>
    </row>
    <row r="19" spans="1:10" ht="28.2" customHeight="1" x14ac:dyDescent="0.3">
      <c r="A19" s="99">
        <v>3</v>
      </c>
      <c r="B19" s="100" t="s">
        <v>41</v>
      </c>
      <c r="C19" s="99">
        <v>7046800</v>
      </c>
      <c r="D19" s="99">
        <v>2265600</v>
      </c>
      <c r="E19" s="99">
        <v>4781200</v>
      </c>
      <c r="F19" s="101">
        <v>0.67849236532894397</v>
      </c>
      <c r="G19" s="99">
        <v>3</v>
      </c>
      <c r="H19" s="99">
        <v>2022</v>
      </c>
      <c r="I19" s="102" t="s">
        <v>5790</v>
      </c>
      <c r="J19" s="103" t="s">
        <v>5791</v>
      </c>
    </row>
    <row r="20" spans="1:10" ht="29.4" customHeight="1" x14ac:dyDescent="0.3">
      <c r="A20" s="104">
        <v>4</v>
      </c>
      <c r="B20" s="105" t="s">
        <v>47</v>
      </c>
      <c r="C20" s="104">
        <v>6448345</v>
      </c>
      <c r="D20" s="104">
        <v>0</v>
      </c>
      <c r="E20" s="104">
        <v>6448345</v>
      </c>
      <c r="F20" s="106">
        <v>1</v>
      </c>
      <c r="G20" s="104">
        <v>3</v>
      </c>
      <c r="H20" s="104">
        <v>2022</v>
      </c>
      <c r="I20" s="107" t="s">
        <v>5792</v>
      </c>
      <c r="J20" s="103" t="s">
        <v>5793</v>
      </c>
    </row>
    <row r="21" spans="1:10" ht="27" customHeight="1" x14ac:dyDescent="0.3">
      <c r="A21" s="99">
        <v>5</v>
      </c>
      <c r="B21" s="100" t="s">
        <v>49</v>
      </c>
      <c r="C21" s="99">
        <v>6041589</v>
      </c>
      <c r="D21" s="99">
        <v>0</v>
      </c>
      <c r="E21" s="99">
        <v>6041589</v>
      </c>
      <c r="F21" s="108">
        <v>1</v>
      </c>
      <c r="G21" s="99">
        <v>3</v>
      </c>
      <c r="H21" s="99">
        <v>2022</v>
      </c>
      <c r="I21" s="107" t="s">
        <v>5792</v>
      </c>
      <c r="J21" s="103" t="s">
        <v>5793</v>
      </c>
    </row>
    <row r="22" spans="1:10" ht="30.6" customHeight="1" x14ac:dyDescent="0.3">
      <c r="A22" s="104">
        <v>6</v>
      </c>
      <c r="B22" s="105" t="s">
        <v>51</v>
      </c>
      <c r="C22" s="104">
        <v>5703940</v>
      </c>
      <c r="D22" s="104">
        <v>0</v>
      </c>
      <c r="E22" s="104">
        <v>5703940</v>
      </c>
      <c r="F22" s="106">
        <v>1</v>
      </c>
      <c r="G22" s="104">
        <v>2</v>
      </c>
      <c r="H22" s="104">
        <v>2021</v>
      </c>
      <c r="I22" s="107" t="s">
        <v>5792</v>
      </c>
      <c r="J22" s="103" t="s">
        <v>5793</v>
      </c>
    </row>
    <row r="23" spans="1:10" ht="38.4" customHeight="1" x14ac:dyDescent="0.3">
      <c r="A23" s="99">
        <v>7</v>
      </c>
      <c r="B23" s="100" t="s">
        <v>59</v>
      </c>
      <c r="C23" s="99">
        <v>3946060</v>
      </c>
      <c r="D23" s="99">
        <v>0</v>
      </c>
      <c r="E23" s="99">
        <v>3946060</v>
      </c>
      <c r="F23" s="108">
        <v>1</v>
      </c>
      <c r="G23" s="99">
        <v>3</v>
      </c>
      <c r="H23" s="99">
        <v>2022</v>
      </c>
      <c r="I23" s="107" t="s">
        <v>5792</v>
      </c>
      <c r="J23" s="103" t="s">
        <v>5793</v>
      </c>
    </row>
    <row r="24" spans="1:10" ht="31.2" customHeight="1" x14ac:dyDescent="0.3">
      <c r="A24" s="104">
        <v>8</v>
      </c>
      <c r="B24" s="105" t="s">
        <v>57</v>
      </c>
      <c r="C24" s="104">
        <v>3629040</v>
      </c>
      <c r="D24" s="104">
        <v>356000</v>
      </c>
      <c r="E24" s="104">
        <v>3273040</v>
      </c>
      <c r="F24" s="106">
        <v>0.90190243149703497</v>
      </c>
      <c r="G24" s="104">
        <v>3</v>
      </c>
      <c r="H24" s="104">
        <v>2022</v>
      </c>
      <c r="I24" s="102" t="s">
        <v>5790</v>
      </c>
      <c r="J24" s="103" t="s">
        <v>5791</v>
      </c>
    </row>
    <row r="25" spans="1:10" ht="30.6" customHeight="1" x14ac:dyDescent="0.3">
      <c r="A25" s="99">
        <v>9</v>
      </c>
      <c r="B25" s="100" t="s">
        <v>592</v>
      </c>
      <c r="C25" s="99">
        <v>3525760</v>
      </c>
      <c r="D25" s="99">
        <v>0</v>
      </c>
      <c r="E25" s="99">
        <v>3525760</v>
      </c>
      <c r="F25" s="108">
        <v>1</v>
      </c>
      <c r="G25" s="99">
        <v>2</v>
      </c>
      <c r="H25" s="99">
        <v>2022</v>
      </c>
      <c r="I25" s="107" t="s">
        <v>5792</v>
      </c>
      <c r="J25" s="103" t="s">
        <v>5793</v>
      </c>
    </row>
    <row r="26" spans="1:10" ht="21.75" customHeight="1" x14ac:dyDescent="0.3">
      <c r="A26" s="104">
        <v>10</v>
      </c>
      <c r="B26" s="105" t="s">
        <v>372</v>
      </c>
      <c r="C26" s="104">
        <v>3098340</v>
      </c>
      <c r="D26" s="104">
        <v>0</v>
      </c>
      <c r="E26" s="104">
        <v>3098340</v>
      </c>
      <c r="F26" s="106">
        <v>1</v>
      </c>
      <c r="G26" s="104">
        <v>3</v>
      </c>
      <c r="H26" s="104">
        <v>2022</v>
      </c>
      <c r="I26" s="107" t="s">
        <v>5792</v>
      </c>
      <c r="J26" s="103" t="s">
        <v>5793</v>
      </c>
    </row>
    <row r="27" spans="1:10" ht="30.6" customHeight="1" x14ac:dyDescent="0.3">
      <c r="A27" s="99">
        <v>11</v>
      </c>
      <c r="B27" s="100" t="s">
        <v>857</v>
      </c>
      <c r="C27" s="99">
        <v>2856180</v>
      </c>
      <c r="D27" s="99">
        <v>227800</v>
      </c>
      <c r="E27" s="99">
        <v>2628380</v>
      </c>
      <c r="F27" s="108">
        <v>0.92024312193209101</v>
      </c>
      <c r="G27" s="99">
        <v>3</v>
      </c>
      <c r="H27" s="99">
        <v>2022</v>
      </c>
      <c r="I27" s="102" t="s">
        <v>5790</v>
      </c>
      <c r="J27" s="103" t="s">
        <v>5791</v>
      </c>
    </row>
    <row r="28" spans="1:10" ht="21.75" customHeight="1" x14ac:dyDescent="0.3">
      <c r="A28" s="104">
        <v>12</v>
      </c>
      <c r="B28" s="105" t="s">
        <v>215</v>
      </c>
      <c r="C28" s="104">
        <v>2835000</v>
      </c>
      <c r="D28" s="104">
        <v>169000</v>
      </c>
      <c r="E28" s="104">
        <v>2666000</v>
      </c>
      <c r="F28" s="106">
        <v>0.94038800705467396</v>
      </c>
      <c r="G28" s="104">
        <v>3</v>
      </c>
      <c r="H28" s="104">
        <v>2022</v>
      </c>
      <c r="I28" s="102" t="s">
        <v>5790</v>
      </c>
      <c r="J28" s="103" t="s">
        <v>5791</v>
      </c>
    </row>
    <row r="29" spans="1:10" ht="21.75" customHeight="1" x14ac:dyDescent="0.3">
      <c r="A29" s="99">
        <v>13</v>
      </c>
      <c r="B29" s="100" t="s">
        <v>394</v>
      </c>
      <c r="C29" s="99">
        <v>2502860</v>
      </c>
      <c r="D29" s="99">
        <v>0</v>
      </c>
      <c r="E29" s="99">
        <v>2502860</v>
      </c>
      <c r="F29" s="108">
        <v>1</v>
      </c>
      <c r="G29" s="99">
        <v>2</v>
      </c>
      <c r="H29" s="99">
        <v>2021</v>
      </c>
      <c r="I29" s="107" t="s">
        <v>5792</v>
      </c>
      <c r="J29" s="103" t="s">
        <v>5793</v>
      </c>
    </row>
    <row r="30" spans="1:10" ht="29.4" customHeight="1" x14ac:dyDescent="0.3">
      <c r="A30" s="104">
        <v>14</v>
      </c>
      <c r="B30" s="105" t="s">
        <v>648</v>
      </c>
      <c r="C30" s="104">
        <v>2249600</v>
      </c>
      <c r="D30" s="104">
        <v>358800</v>
      </c>
      <c r="E30" s="104">
        <v>1890800</v>
      </c>
      <c r="F30" s="109">
        <v>0.84050497866287299</v>
      </c>
      <c r="G30" s="104">
        <v>2</v>
      </c>
      <c r="H30" s="104">
        <v>2021</v>
      </c>
      <c r="I30" s="102" t="s">
        <v>5790</v>
      </c>
      <c r="J30" s="103" t="s">
        <v>5791</v>
      </c>
    </row>
    <row r="31" spans="1:10" ht="39" customHeight="1" x14ac:dyDescent="0.3">
      <c r="A31" s="99">
        <v>15</v>
      </c>
      <c r="B31" s="100" t="s">
        <v>499</v>
      </c>
      <c r="C31" s="99">
        <v>1966680</v>
      </c>
      <c r="D31" s="99">
        <v>530600</v>
      </c>
      <c r="E31" s="99">
        <v>1436080</v>
      </c>
      <c r="F31" s="101">
        <v>0.73020521894766799</v>
      </c>
      <c r="G31" s="99">
        <v>3</v>
      </c>
      <c r="H31" s="99">
        <v>2022</v>
      </c>
      <c r="I31" s="102" t="s">
        <v>5790</v>
      </c>
      <c r="J31" s="103" t="s">
        <v>5791</v>
      </c>
    </row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20">
    <mergeCell ref="B1:J3"/>
    <mergeCell ref="B4:J4"/>
    <mergeCell ref="B5:J6"/>
    <mergeCell ref="B8:C8"/>
    <mergeCell ref="D8:E8"/>
    <mergeCell ref="F8:G8"/>
    <mergeCell ref="H8:I8"/>
    <mergeCell ref="B9:C10"/>
    <mergeCell ref="D9:E10"/>
    <mergeCell ref="F9:G10"/>
    <mergeCell ref="H9:I10"/>
    <mergeCell ref="B11:C11"/>
    <mergeCell ref="D11:E11"/>
    <mergeCell ref="F11:G11"/>
    <mergeCell ref="H11:I11"/>
    <mergeCell ref="B12:C12"/>
    <mergeCell ref="D12:E12"/>
    <mergeCell ref="F12:G12"/>
    <mergeCell ref="H12:I12"/>
    <mergeCell ref="B15:J15"/>
  </mergeCells>
  <conditionalFormatting sqref="C17:C31">
    <cfRule type="dataBar" priority="1">
      <dataBar>
        <cfvo type="min"/>
        <cfvo type="max"/>
        <color rgb="FF1565C0"/>
      </dataBar>
      <extLst>
        <ext xmlns:x14="http://schemas.microsoft.com/office/spreadsheetml/2009/9/main" uri="{B025F937-C7B1-47D3-B67F-A62EFF666E3E}">
          <x14:id>{F7AE504A-120D-4F01-B6D6-864C58F89E3F}</x14:id>
        </ext>
      </extLst>
    </cfRule>
  </conditionalFormatting>
  <conditionalFormatting sqref="E17:E31">
    <cfRule type="dataBar" priority="2">
      <dataBar>
        <cfvo type="min"/>
        <cfvo type="max"/>
        <color rgb="FFE53935"/>
      </dataBar>
      <extLst>
        <ext xmlns:x14="http://schemas.microsoft.com/office/spreadsheetml/2009/9/main" uri="{B025F937-C7B1-47D3-B67F-A62EFF666E3E}">
          <x14:id>{9536C243-7AA7-4EA0-AA90-F33C01F97F3E}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AE504A-120D-4F01-B6D6-864C58F89E3F}">
            <x14:dataBar axisPosition="none">
              <x14:cfvo type="min"/>
              <x14:cfvo type="max"/>
              <x14:negativeFillColor rgb="FF1565C0"/>
            </x14:dataBar>
          </x14:cfRule>
          <xm:sqref>C17:C31</xm:sqref>
        </x14:conditionalFormatting>
        <x14:conditionalFormatting xmlns:xm="http://schemas.microsoft.com/office/excel/2006/main">
          <x14:cfRule type="dataBar" id="{9536C243-7AA7-4EA0-AA90-F33C01F97F3E}">
            <x14:dataBar axisPosition="none">
              <x14:cfvo type="min"/>
              <x14:cfvo type="max"/>
              <x14:negativeFillColor rgb="FFE53935"/>
            </x14:dataBar>
          </x14:cfRule>
          <xm:sqref>E17:E31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0" filterMode="1">
    <tabColor theme="2" tint="-0.499984740745262"/>
  </sheetPr>
  <dimension ref="A1:I147"/>
  <sheetViews>
    <sheetView showGridLines="0" zoomScale="95" zoomScaleNormal="95" workbookViewId="0">
      <pane ySplit="15" topLeftCell="A16" activePane="bottomLeft" state="frozen"/>
      <selection activeCell="H21" sqref="H21"/>
      <selection pane="bottomLeft" activeCell="A51" sqref="A51:XFD51"/>
    </sheetView>
  </sheetViews>
  <sheetFormatPr baseColWidth="10" defaultColWidth="8.6640625" defaultRowHeight="14.4" x14ac:dyDescent="0.3"/>
  <cols>
    <col min="1" max="1" width="15" customWidth="1"/>
    <col min="2" max="2" width="14.44140625" customWidth="1"/>
    <col min="3" max="3" width="30" customWidth="1"/>
    <col min="4" max="4" width="15.5546875" customWidth="1"/>
    <col min="5" max="5" width="26.33203125" customWidth="1"/>
    <col min="6" max="6" width="23.5546875" customWidth="1"/>
    <col min="7" max="7" width="22.33203125" customWidth="1"/>
    <col min="8" max="8" width="17.88671875" customWidth="1"/>
    <col min="9" max="9" width="28.6640625" customWidth="1"/>
  </cols>
  <sheetData>
    <row r="1" spans="1:9" ht="21.75" customHeight="1" x14ac:dyDescent="0.3">
      <c r="A1" s="166" t="s">
        <v>5711</v>
      </c>
      <c r="B1" s="166"/>
      <c r="C1" s="166"/>
      <c r="D1" s="166"/>
      <c r="E1" s="166"/>
      <c r="F1" s="166"/>
      <c r="G1" s="166"/>
      <c r="H1" s="166"/>
      <c r="I1" s="166"/>
    </row>
    <row r="2" spans="1:9" ht="21.75" customHeight="1" x14ac:dyDescent="0.3">
      <c r="A2" s="166"/>
      <c r="B2" s="166"/>
      <c r="C2" s="166"/>
      <c r="D2" s="166"/>
      <c r="E2" s="166"/>
      <c r="F2" s="166"/>
      <c r="G2" s="166"/>
      <c r="H2" s="166"/>
      <c r="I2" s="166"/>
    </row>
    <row r="3" spans="1:9" ht="21.75" customHeight="1" x14ac:dyDescent="0.3">
      <c r="A3" s="166"/>
      <c r="B3" s="166"/>
      <c r="C3" s="166"/>
      <c r="D3" s="166"/>
      <c r="E3" s="166"/>
      <c r="F3" s="166"/>
      <c r="G3" s="166"/>
      <c r="H3" s="166"/>
      <c r="I3" s="166"/>
    </row>
    <row r="4" spans="1:9" ht="21.75" customHeight="1" x14ac:dyDescent="0.3">
      <c r="A4" s="167" t="s">
        <v>5712</v>
      </c>
      <c r="B4" s="167"/>
      <c r="C4" s="167"/>
      <c r="D4" s="167"/>
      <c r="E4" s="167"/>
      <c r="F4" s="167"/>
      <c r="G4" s="167"/>
      <c r="H4" s="167"/>
      <c r="I4" s="167"/>
    </row>
    <row r="5" spans="1:9" ht="21.75" customHeight="1" x14ac:dyDescent="0.3">
      <c r="A5" s="145"/>
      <c r="B5" s="145"/>
      <c r="C5" s="145"/>
      <c r="D5" s="145"/>
      <c r="E5" s="145"/>
      <c r="F5" s="145"/>
      <c r="G5" s="145"/>
      <c r="H5" s="145"/>
      <c r="I5" s="145"/>
    </row>
    <row r="6" spans="1:9" ht="21.75" customHeight="1" x14ac:dyDescent="0.3">
      <c r="A6" s="145"/>
      <c r="B6" s="145"/>
      <c r="C6" s="145"/>
      <c r="D6" s="145"/>
      <c r="E6" s="145"/>
      <c r="F6" s="145"/>
      <c r="G6" s="145"/>
      <c r="H6" s="145"/>
      <c r="I6" s="145"/>
    </row>
    <row r="8" spans="1:9" ht="21.75" customHeight="1" x14ac:dyDescent="0.3">
      <c r="A8" s="147" t="s">
        <v>5713</v>
      </c>
      <c r="B8" s="147"/>
      <c r="C8" s="149" t="s">
        <v>5714</v>
      </c>
      <c r="D8" s="149"/>
      <c r="E8" s="161" t="s">
        <v>5715</v>
      </c>
      <c r="F8" s="161"/>
      <c r="G8" s="148" t="s">
        <v>5823</v>
      </c>
      <c r="H8" s="148"/>
      <c r="I8" s="148"/>
    </row>
    <row r="9" spans="1:9" ht="21.75" customHeight="1" x14ac:dyDescent="0.3">
      <c r="A9" s="164">
        <f>COUNTA(C16:C1032)</f>
        <v>16</v>
      </c>
      <c r="B9" s="164"/>
      <c r="C9" s="164">
        <f>COUNTIF(H16:H1032,"GAGNÉ")</f>
        <v>3</v>
      </c>
      <c r="D9" s="164"/>
      <c r="E9" s="164">
        <f>COUNTIF(H16:H1032,"PERDU")</f>
        <v>4</v>
      </c>
      <c r="F9" s="164"/>
      <c r="G9" s="164">
        <f>IFERROR(SUM(G16:G1032),0)</f>
        <v>8256.5259999999998</v>
      </c>
      <c r="H9" s="164"/>
      <c r="I9" s="164"/>
    </row>
    <row r="10" spans="1:9" ht="21.75" customHeight="1" x14ac:dyDescent="0.3">
      <c r="A10" s="164"/>
      <c r="B10" s="164"/>
      <c r="C10" s="164"/>
      <c r="D10" s="164"/>
      <c r="E10" s="164"/>
      <c r="F10" s="164"/>
      <c r="G10" s="164"/>
      <c r="H10" s="164"/>
      <c r="I10" s="164"/>
    </row>
    <row r="11" spans="1:9" ht="21.75" customHeight="1" x14ac:dyDescent="0.3">
      <c r="A11" s="164"/>
      <c r="B11" s="164"/>
      <c r="C11" s="164"/>
      <c r="D11" s="164"/>
      <c r="E11" s="164"/>
      <c r="F11" s="164"/>
      <c r="G11" s="164"/>
      <c r="H11" s="164"/>
      <c r="I11" s="164"/>
    </row>
    <row r="12" spans="1:9" ht="21.75" customHeight="1" x14ac:dyDescent="0.3">
      <c r="A12" s="165"/>
      <c r="B12" s="165"/>
      <c r="C12" s="165"/>
      <c r="D12" s="165"/>
      <c r="E12" s="165"/>
      <c r="F12" s="165"/>
      <c r="G12" s="165"/>
      <c r="H12" s="165"/>
      <c r="I12" s="165"/>
    </row>
    <row r="13" spans="1:9" ht="7.5" customHeight="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ht="3.75" customHeight="1" x14ac:dyDescent="0.3"/>
    <row r="15" spans="1:9" ht="31.5" customHeight="1" x14ac:dyDescent="0.3">
      <c r="A15" s="52" t="s">
        <v>5717</v>
      </c>
      <c r="B15" s="52" t="s">
        <v>5718</v>
      </c>
      <c r="C15" s="52" t="s">
        <v>5719</v>
      </c>
      <c r="D15" s="52" t="s">
        <v>5720</v>
      </c>
      <c r="E15" s="53" t="s">
        <v>5721</v>
      </c>
      <c r="F15" s="53" t="s">
        <v>5722</v>
      </c>
      <c r="G15" s="54" t="s">
        <v>5723</v>
      </c>
      <c r="H15" s="52" t="s">
        <v>5724</v>
      </c>
      <c r="I15" s="52" t="s">
        <v>5725</v>
      </c>
    </row>
    <row r="16" spans="1:9" ht="21.75" customHeight="1" x14ac:dyDescent="0.3">
      <c r="A16" s="55" t="str">
        <f>IF(C16="","",TEXT(1,"COT-000"))</f>
        <v>COT-001</v>
      </c>
      <c r="B16" s="56">
        <v>46032</v>
      </c>
      <c r="C16" s="57" t="s">
        <v>5802</v>
      </c>
      <c r="D16" s="58" t="s">
        <v>5740</v>
      </c>
      <c r="E16" s="59">
        <v>442</v>
      </c>
      <c r="F16" s="59">
        <v>771.83</v>
      </c>
      <c r="G16" s="60">
        <f t="shared" ref="G16:G79" si="0">IF(OR(E16="",F16=""),"",F16-E16)</f>
        <v>329.83000000000004</v>
      </c>
      <c r="H16" s="61" t="s">
        <v>5805</v>
      </c>
      <c r="I16" s="62" t="s">
        <v>5803</v>
      </c>
    </row>
    <row r="17" spans="1:9" ht="21.75" customHeight="1" x14ac:dyDescent="0.3">
      <c r="A17" s="63" t="str">
        <f>IF(C17="","",TEXT(2,"COT-000"))</f>
        <v>COT-002</v>
      </c>
      <c r="B17" s="64">
        <v>46034</v>
      </c>
      <c r="C17" s="65" t="s">
        <v>35</v>
      </c>
      <c r="D17" s="66" t="s">
        <v>5740</v>
      </c>
      <c r="E17" s="28">
        <v>631.5</v>
      </c>
      <c r="F17" s="28">
        <v>1360</v>
      </c>
      <c r="G17" s="67">
        <f t="shared" si="0"/>
        <v>728.5</v>
      </c>
      <c r="H17" s="68" t="s">
        <v>5805</v>
      </c>
      <c r="I17" s="69" t="s">
        <v>5804</v>
      </c>
    </row>
    <row r="18" spans="1:9" ht="21.75" customHeight="1" x14ac:dyDescent="0.3">
      <c r="A18" s="55" t="str">
        <f>IF(C18="","",TEXT(3,"COT-000"))</f>
        <v>COT-003</v>
      </c>
      <c r="B18" s="56">
        <v>46055</v>
      </c>
      <c r="C18" s="57" t="s">
        <v>5802</v>
      </c>
      <c r="D18" s="58" t="s">
        <v>5740</v>
      </c>
      <c r="E18" s="59">
        <v>735.9</v>
      </c>
      <c r="F18" s="59">
        <v>1143.55</v>
      </c>
      <c r="G18" s="60">
        <f t="shared" si="0"/>
        <v>407.65</v>
      </c>
      <c r="H18" s="61" t="s">
        <v>5792</v>
      </c>
      <c r="I18" s="62" t="s">
        <v>5804</v>
      </c>
    </row>
    <row r="19" spans="1:9" ht="21.75" customHeight="1" x14ac:dyDescent="0.3">
      <c r="A19" s="63" t="str">
        <f>IF(C19="","",TEXT(4,"COT-000"))</f>
        <v>COT-004</v>
      </c>
      <c r="B19" s="64">
        <v>46058</v>
      </c>
      <c r="C19" s="65" t="s">
        <v>5806</v>
      </c>
      <c r="D19" s="66" t="s">
        <v>5740</v>
      </c>
      <c r="E19" s="28">
        <v>670.48</v>
      </c>
      <c r="F19" s="28">
        <v>1113.626</v>
      </c>
      <c r="G19" s="67">
        <f t="shared" si="0"/>
        <v>443.14599999999996</v>
      </c>
      <c r="H19" s="68" t="s">
        <v>5792</v>
      </c>
      <c r="I19" s="69" t="s">
        <v>5804</v>
      </c>
    </row>
    <row r="20" spans="1:9" ht="21.75" customHeight="1" x14ac:dyDescent="0.3">
      <c r="A20" s="55" t="str">
        <f>IF(C20="","",TEXT(5,"COT-000"))</f>
        <v>COT-005</v>
      </c>
      <c r="B20" s="56">
        <v>46065</v>
      </c>
      <c r="C20" s="57" t="s">
        <v>5807</v>
      </c>
      <c r="D20" s="58" t="s">
        <v>5740</v>
      </c>
      <c r="E20" s="59">
        <v>4348.83</v>
      </c>
      <c r="F20" s="59">
        <v>5432</v>
      </c>
      <c r="G20" s="60">
        <f t="shared" si="0"/>
        <v>1083.17</v>
      </c>
      <c r="H20" s="61" t="s">
        <v>5792</v>
      </c>
      <c r="I20" s="62" t="s">
        <v>5804</v>
      </c>
    </row>
    <row r="21" spans="1:9" ht="21.75" customHeight="1" x14ac:dyDescent="0.3">
      <c r="A21" s="63" t="str">
        <f>IF(C21="","",TEXT(6,"COT-000"))</f>
        <v>COT-006</v>
      </c>
      <c r="B21" s="64">
        <v>46062</v>
      </c>
      <c r="C21" s="65" t="s">
        <v>5808</v>
      </c>
      <c r="D21" s="66" t="s">
        <v>5740</v>
      </c>
      <c r="E21" s="28">
        <v>867.66</v>
      </c>
      <c r="F21" s="28">
        <v>1353.5</v>
      </c>
      <c r="G21" s="67">
        <f t="shared" si="0"/>
        <v>485.84000000000003</v>
      </c>
      <c r="H21" s="68" t="s">
        <v>5735</v>
      </c>
      <c r="I21" s="69" t="s">
        <v>5804</v>
      </c>
    </row>
    <row r="22" spans="1:9" ht="21.75" customHeight="1" x14ac:dyDescent="0.3">
      <c r="A22" s="55" t="str">
        <f>IF(C22="","",TEXT(7,"COT-000"))</f>
        <v>COT-007</v>
      </c>
      <c r="B22" s="56">
        <v>46056</v>
      </c>
      <c r="C22" s="57" t="s">
        <v>5809</v>
      </c>
      <c r="D22" s="58" t="s">
        <v>5740</v>
      </c>
      <c r="E22" s="59">
        <v>941.33</v>
      </c>
      <c r="F22" s="59">
        <v>1126.43</v>
      </c>
      <c r="G22" s="60">
        <f t="shared" si="0"/>
        <v>185.10000000000002</v>
      </c>
      <c r="H22" s="61" t="s">
        <v>5735</v>
      </c>
      <c r="I22" s="62" t="s">
        <v>5804</v>
      </c>
    </row>
    <row r="23" spans="1:9" ht="21.75" customHeight="1" x14ac:dyDescent="0.3">
      <c r="A23" s="63" t="str">
        <f>IF(C23="","",TEXT(8,"COT-000"))</f>
        <v>COT-008</v>
      </c>
      <c r="B23" s="64">
        <v>46084</v>
      </c>
      <c r="C23" s="65" t="s">
        <v>5810</v>
      </c>
      <c r="D23" s="66" t="s">
        <v>5741</v>
      </c>
      <c r="E23" s="28">
        <v>1876.65</v>
      </c>
      <c r="F23" s="28">
        <v>3176.65</v>
      </c>
      <c r="G23" s="67">
        <f t="shared" si="0"/>
        <v>1300</v>
      </c>
      <c r="H23" s="68" t="s">
        <v>5735</v>
      </c>
      <c r="I23" s="69" t="s">
        <v>5804</v>
      </c>
    </row>
    <row r="24" spans="1:9" ht="21.75" customHeight="1" x14ac:dyDescent="0.3">
      <c r="A24" s="55" t="str">
        <f>IF(C24="","",TEXT(9,"COT-000"))</f>
        <v>COT-009</v>
      </c>
      <c r="B24" s="56">
        <v>46084</v>
      </c>
      <c r="C24" s="57" t="s">
        <v>5810</v>
      </c>
      <c r="D24" s="58" t="s">
        <v>5741</v>
      </c>
      <c r="E24" s="59">
        <v>695.5</v>
      </c>
      <c r="F24" s="59">
        <v>1345</v>
      </c>
      <c r="G24" s="60">
        <f t="shared" si="0"/>
        <v>649.5</v>
      </c>
      <c r="H24" s="61" t="s">
        <v>5792</v>
      </c>
      <c r="I24" s="62" t="s">
        <v>5804</v>
      </c>
    </row>
    <row r="25" spans="1:9" ht="21.75" customHeight="1" x14ac:dyDescent="0.3">
      <c r="A25" s="63" t="str">
        <f>IF(C25="","",TEXT(10,"COT-000"))</f>
        <v>COT-010</v>
      </c>
      <c r="B25" s="64">
        <v>46090</v>
      </c>
      <c r="C25" s="65" t="s">
        <v>5811</v>
      </c>
      <c r="D25" s="66" t="s">
        <v>5740</v>
      </c>
      <c r="E25" s="28">
        <v>197.65</v>
      </c>
      <c r="F25" s="28">
        <v>377.33</v>
      </c>
      <c r="G25" s="67">
        <f t="shared" si="0"/>
        <v>179.67999999999998</v>
      </c>
      <c r="H25" s="68" t="s">
        <v>5735</v>
      </c>
      <c r="I25" s="69" t="s">
        <v>5803</v>
      </c>
    </row>
    <row r="26" spans="1:9" ht="21.75" customHeight="1" x14ac:dyDescent="0.3">
      <c r="A26" s="55" t="str">
        <f>IF(C26="","",TEXT(11,"COT-000"))</f>
        <v>COT-011</v>
      </c>
      <c r="B26" s="56">
        <v>46112</v>
      </c>
      <c r="C26" s="57" t="s">
        <v>5812</v>
      </c>
      <c r="D26" s="58" t="s">
        <v>5740</v>
      </c>
      <c r="E26" s="59">
        <v>3128.84</v>
      </c>
      <c r="F26" s="59">
        <v>3985.88</v>
      </c>
      <c r="G26" s="60">
        <f t="shared" si="0"/>
        <v>857.04</v>
      </c>
      <c r="H26" s="61" t="s">
        <v>5735</v>
      </c>
      <c r="I26" s="62" t="s">
        <v>5803</v>
      </c>
    </row>
    <row r="27" spans="1:9" ht="21.75" customHeight="1" x14ac:dyDescent="0.3">
      <c r="A27" s="63" t="str">
        <f>IF(C27="","",TEXT(12,"COT-000"))</f>
        <v>COT-012</v>
      </c>
      <c r="B27" s="64">
        <v>46112</v>
      </c>
      <c r="C27" s="65" t="s">
        <v>5810</v>
      </c>
      <c r="D27" s="66" t="s">
        <v>5741</v>
      </c>
      <c r="E27" s="28">
        <v>646.74</v>
      </c>
      <c r="F27" s="28">
        <v>1394.32</v>
      </c>
      <c r="G27" s="67">
        <f t="shared" si="0"/>
        <v>747.57999999999993</v>
      </c>
      <c r="H27" s="68" t="s">
        <v>5735</v>
      </c>
      <c r="I27" s="69" t="s">
        <v>5813</v>
      </c>
    </row>
    <row r="28" spans="1:9" ht="21.75" customHeight="1" x14ac:dyDescent="0.3">
      <c r="A28" s="55" t="str">
        <f>IF(C28="","",TEXT(13,"COT-000"))</f>
        <v>COT-013</v>
      </c>
      <c r="B28" s="56">
        <v>46121</v>
      </c>
      <c r="C28" s="57" t="s">
        <v>5814</v>
      </c>
      <c r="D28" s="58" t="s">
        <v>5740</v>
      </c>
      <c r="E28" s="59">
        <v>1913.17</v>
      </c>
      <c r="F28" s="59">
        <v>2213.17</v>
      </c>
      <c r="G28" s="60">
        <f t="shared" si="0"/>
        <v>300</v>
      </c>
      <c r="H28" s="61" t="s">
        <v>5815</v>
      </c>
      <c r="I28" s="62" t="s">
        <v>5816</v>
      </c>
    </row>
    <row r="29" spans="1:9" ht="21.75" customHeight="1" x14ac:dyDescent="0.3">
      <c r="A29" s="63" t="str">
        <f>IF(C29="","",TEXT(14,"COT-000"))</f>
        <v>COT-014</v>
      </c>
      <c r="B29" s="64">
        <v>46115</v>
      </c>
      <c r="C29" s="65" t="s">
        <v>5817</v>
      </c>
      <c r="D29" s="66" t="s">
        <v>5740</v>
      </c>
      <c r="E29" s="28">
        <v>125.46</v>
      </c>
      <c r="F29" s="28">
        <v>136.24</v>
      </c>
      <c r="G29" s="67">
        <f t="shared" si="0"/>
        <v>10.780000000000015</v>
      </c>
      <c r="H29" s="68" t="s">
        <v>5735</v>
      </c>
      <c r="I29" s="69" t="s">
        <v>5818</v>
      </c>
    </row>
    <row r="30" spans="1:9" ht="24" customHeight="1" x14ac:dyDescent="0.3">
      <c r="A30" s="55" t="str">
        <f>IF(C30="","",TEXT(15,"COT-000"))</f>
        <v>COT-015</v>
      </c>
      <c r="B30" s="56">
        <v>46125</v>
      </c>
      <c r="C30" s="57" t="s">
        <v>5819</v>
      </c>
      <c r="D30" s="58" t="s">
        <v>5741</v>
      </c>
      <c r="E30" s="59">
        <v>1905.61</v>
      </c>
      <c r="F30" s="59">
        <v>2334.31</v>
      </c>
      <c r="G30" s="60">
        <f t="shared" si="0"/>
        <v>428.70000000000005</v>
      </c>
      <c r="H30" s="61" t="s">
        <v>5805</v>
      </c>
      <c r="I30" s="62" t="s">
        <v>5820</v>
      </c>
    </row>
    <row r="31" spans="1:9" ht="27" customHeight="1" x14ac:dyDescent="0.3">
      <c r="A31" s="63" t="str">
        <f>IF(C31="","",TEXT(16,"COT-000"))</f>
        <v>COT-016</v>
      </c>
      <c r="B31" s="64">
        <v>46127</v>
      </c>
      <c r="C31" s="65" t="s">
        <v>5821</v>
      </c>
      <c r="D31" s="66" t="s">
        <v>5740</v>
      </c>
      <c r="E31" s="28">
        <v>993.81</v>
      </c>
      <c r="F31" s="28">
        <v>1113.82</v>
      </c>
      <c r="G31" s="67">
        <f>IF(OR(E31="",F31=""),"",F31-E31)</f>
        <v>120.00999999999999</v>
      </c>
      <c r="H31" s="68" t="s">
        <v>5735</v>
      </c>
      <c r="I31" s="69" t="s">
        <v>5822</v>
      </c>
    </row>
    <row r="32" spans="1:9" ht="24" customHeight="1" x14ac:dyDescent="0.3">
      <c r="A32" s="55"/>
      <c r="B32" s="56"/>
      <c r="C32" s="57"/>
      <c r="D32" s="58"/>
      <c r="E32" s="59"/>
      <c r="F32" s="59"/>
      <c r="G32" s="60"/>
      <c r="H32" s="61"/>
      <c r="I32" s="62"/>
    </row>
    <row r="33" spans="1:9" ht="24" customHeight="1" x14ac:dyDescent="0.3">
      <c r="A33" s="55"/>
      <c r="B33" s="56"/>
      <c r="C33" s="57"/>
      <c r="D33" s="58"/>
      <c r="E33" s="59"/>
      <c r="F33" s="59"/>
      <c r="G33" s="60"/>
      <c r="H33" s="61"/>
      <c r="I33" s="62"/>
    </row>
    <row r="34" spans="1:9" ht="24" customHeight="1" x14ac:dyDescent="0.3">
      <c r="A34" s="55"/>
      <c r="B34" s="56"/>
      <c r="C34" s="57"/>
      <c r="D34" s="58"/>
      <c r="E34" s="59"/>
      <c r="F34" s="59"/>
      <c r="G34" s="60"/>
      <c r="H34" s="61"/>
      <c r="I34" s="62"/>
    </row>
    <row r="35" spans="1:9" ht="24" customHeight="1" x14ac:dyDescent="0.3">
      <c r="A35" s="55"/>
      <c r="B35" s="56"/>
      <c r="C35" s="57"/>
      <c r="D35" s="58"/>
      <c r="E35" s="59"/>
      <c r="F35" s="59"/>
      <c r="G35" s="60"/>
      <c r="H35" s="61"/>
      <c r="I35" s="62"/>
    </row>
    <row r="36" spans="1:9" ht="24" customHeight="1" x14ac:dyDescent="0.3">
      <c r="A36" s="55"/>
      <c r="B36" s="56"/>
      <c r="C36" s="57"/>
      <c r="D36" s="58"/>
      <c r="E36" s="59"/>
      <c r="F36" s="59"/>
      <c r="G36" s="60"/>
      <c r="H36" s="61"/>
      <c r="I36" s="62"/>
    </row>
    <row r="37" spans="1:9" ht="24" customHeight="1" x14ac:dyDescent="0.3">
      <c r="A37" s="55"/>
      <c r="B37" s="56"/>
      <c r="C37" s="57"/>
      <c r="D37" s="58"/>
      <c r="E37" s="59"/>
      <c r="F37" s="59"/>
      <c r="G37" s="60"/>
      <c r="H37" s="61"/>
      <c r="I37" s="62"/>
    </row>
    <row r="38" spans="1:9" ht="24" customHeight="1" x14ac:dyDescent="0.3">
      <c r="A38" s="55"/>
      <c r="B38" s="56"/>
      <c r="C38" s="57"/>
      <c r="D38" s="58"/>
      <c r="E38" s="59"/>
      <c r="F38" s="59"/>
      <c r="G38" s="60"/>
      <c r="H38" s="61"/>
      <c r="I38" s="62"/>
    </row>
    <row r="39" spans="1:9" ht="24" customHeight="1" x14ac:dyDescent="0.3">
      <c r="A39" s="55"/>
      <c r="B39" s="56"/>
      <c r="C39" s="57"/>
      <c r="D39" s="58"/>
      <c r="E39" s="59"/>
      <c r="F39" s="59"/>
      <c r="G39" s="60"/>
      <c r="H39" s="61"/>
      <c r="I39" s="62"/>
    </row>
    <row r="40" spans="1:9" ht="24" customHeight="1" x14ac:dyDescent="0.3">
      <c r="A40" s="55"/>
      <c r="B40" s="56"/>
      <c r="C40" s="57"/>
      <c r="D40" s="58"/>
      <c r="E40" s="59"/>
      <c r="F40" s="59"/>
      <c r="G40" s="60"/>
      <c r="H40" s="61"/>
      <c r="I40" s="62"/>
    </row>
    <row r="41" spans="1:9" ht="24" customHeight="1" x14ac:dyDescent="0.3">
      <c r="A41" s="55"/>
      <c r="B41" s="56"/>
      <c r="C41" s="57"/>
      <c r="D41" s="58"/>
      <c r="E41" s="59"/>
      <c r="F41" s="59"/>
      <c r="G41" s="60"/>
      <c r="H41" s="61"/>
      <c r="I41" s="62"/>
    </row>
    <row r="42" spans="1:9" ht="24" customHeight="1" x14ac:dyDescent="0.3">
      <c r="A42" s="55"/>
      <c r="B42" s="56"/>
      <c r="C42" s="57"/>
      <c r="D42" s="58"/>
      <c r="E42" s="59"/>
      <c r="F42" s="59"/>
      <c r="G42" s="60"/>
      <c r="H42" s="61"/>
      <c r="I42" s="62"/>
    </row>
    <row r="43" spans="1:9" ht="24" customHeight="1" x14ac:dyDescent="0.3">
      <c r="A43" s="55"/>
      <c r="B43" s="56"/>
      <c r="C43" s="57"/>
      <c r="D43" s="58"/>
      <c r="E43" s="59"/>
      <c r="F43" s="59"/>
      <c r="G43" s="60"/>
      <c r="H43" s="61"/>
      <c r="I43" s="62"/>
    </row>
    <row r="44" spans="1:9" ht="24" customHeight="1" x14ac:dyDescent="0.3">
      <c r="A44" s="55"/>
      <c r="B44" s="56"/>
      <c r="C44" s="57"/>
      <c r="D44" s="58"/>
      <c r="E44" s="59"/>
      <c r="F44" s="59"/>
      <c r="G44" s="60"/>
      <c r="H44" s="61"/>
      <c r="I44" s="62"/>
    </row>
    <row r="45" spans="1:9" ht="24" customHeight="1" x14ac:dyDescent="0.3">
      <c r="A45" s="55"/>
      <c r="B45" s="56"/>
      <c r="C45" s="57"/>
      <c r="D45" s="58"/>
      <c r="E45" s="59"/>
      <c r="F45" s="59"/>
      <c r="G45" s="60"/>
      <c r="H45" s="61"/>
      <c r="I45" s="62"/>
    </row>
    <row r="46" spans="1:9" ht="24" customHeight="1" x14ac:dyDescent="0.3">
      <c r="A46" s="55"/>
      <c r="B46" s="56"/>
      <c r="C46" s="57"/>
      <c r="D46" s="58"/>
      <c r="E46" s="59"/>
      <c r="F46" s="59"/>
      <c r="G46" s="60"/>
      <c r="H46" s="61"/>
      <c r="I46" s="62"/>
    </row>
    <row r="47" spans="1:9" ht="24" customHeight="1" x14ac:dyDescent="0.3">
      <c r="A47" s="55"/>
      <c r="B47" s="56"/>
      <c r="C47" s="57"/>
      <c r="D47" s="58"/>
      <c r="E47" s="59"/>
      <c r="F47" s="59"/>
      <c r="G47" s="60"/>
      <c r="H47" s="61"/>
      <c r="I47" s="62"/>
    </row>
    <row r="48" spans="1:9" ht="24" customHeight="1" x14ac:dyDescent="0.3">
      <c r="A48" s="55"/>
      <c r="B48" s="56"/>
      <c r="C48" s="57"/>
      <c r="D48" s="58"/>
      <c r="E48" s="59"/>
      <c r="F48" s="59"/>
      <c r="G48" s="60"/>
      <c r="H48" s="61"/>
      <c r="I48" s="62"/>
    </row>
    <row r="49" spans="1:9" ht="24" customHeight="1" x14ac:dyDescent="0.3">
      <c r="A49" s="55"/>
      <c r="B49" s="56"/>
      <c r="C49" s="57"/>
      <c r="D49" s="58"/>
      <c r="E49" s="59"/>
      <c r="F49" s="59"/>
      <c r="G49" s="60"/>
      <c r="H49" s="61"/>
      <c r="I49" s="62"/>
    </row>
    <row r="50" spans="1:9" ht="24" customHeight="1" x14ac:dyDescent="0.3">
      <c r="A50" s="55"/>
      <c r="B50" s="56"/>
      <c r="C50" s="57"/>
      <c r="D50" s="58"/>
      <c r="E50" s="59"/>
      <c r="F50" s="59"/>
      <c r="G50" s="60"/>
      <c r="H50" s="61"/>
      <c r="I50" s="62"/>
    </row>
    <row r="51" spans="1:9" ht="24" customHeight="1" x14ac:dyDescent="0.3">
      <c r="A51" s="55"/>
      <c r="B51" s="56"/>
      <c r="C51" s="57"/>
      <c r="D51" s="58"/>
      <c r="E51" s="59"/>
      <c r="F51" s="59"/>
      <c r="G51" s="60"/>
      <c r="H51" s="61"/>
      <c r="I51" s="62"/>
    </row>
    <row r="52" spans="1:9" ht="24" customHeight="1" x14ac:dyDescent="0.3">
      <c r="A52" s="55"/>
      <c r="B52" s="56"/>
      <c r="C52" s="57"/>
      <c r="D52" s="58"/>
      <c r="E52" s="59"/>
      <c r="F52" s="59"/>
      <c r="G52" s="60"/>
      <c r="H52" s="61"/>
      <c r="I52" s="62"/>
    </row>
    <row r="53" spans="1:9" ht="24" customHeight="1" x14ac:dyDescent="0.3">
      <c r="A53" s="55"/>
      <c r="B53" s="56"/>
      <c r="C53" s="57"/>
      <c r="D53" s="58"/>
      <c r="E53" s="59"/>
      <c r="F53" s="59"/>
      <c r="G53" s="60"/>
      <c r="H53" s="61"/>
      <c r="I53" s="62"/>
    </row>
    <row r="54" spans="1:9" ht="24" customHeight="1" x14ac:dyDescent="0.3">
      <c r="A54" s="55"/>
      <c r="B54" s="56"/>
      <c r="C54" s="57"/>
      <c r="D54" s="58"/>
      <c r="E54" s="59"/>
      <c r="F54" s="59"/>
      <c r="G54" s="60"/>
      <c r="H54" s="61"/>
      <c r="I54" s="62"/>
    </row>
    <row r="55" spans="1:9" ht="24" customHeight="1" x14ac:dyDescent="0.3">
      <c r="A55" s="55"/>
      <c r="B55" s="56"/>
      <c r="C55" s="57"/>
      <c r="D55" s="58"/>
      <c r="E55" s="59"/>
      <c r="F55" s="59"/>
      <c r="G55" s="60"/>
      <c r="H55" s="61"/>
      <c r="I55" s="62"/>
    </row>
    <row r="56" spans="1:9" ht="24" customHeight="1" x14ac:dyDescent="0.3">
      <c r="A56" s="55"/>
      <c r="B56" s="56"/>
      <c r="C56" s="57"/>
      <c r="D56" s="58"/>
      <c r="E56" s="59"/>
      <c r="F56" s="59"/>
      <c r="G56" s="60"/>
      <c r="H56" s="61"/>
      <c r="I56" s="62"/>
    </row>
    <row r="57" spans="1:9" ht="24" customHeight="1" x14ac:dyDescent="0.3">
      <c r="A57" s="55"/>
      <c r="B57" s="56"/>
      <c r="C57" s="57"/>
      <c r="D57" s="58"/>
      <c r="E57" s="59"/>
      <c r="F57" s="59"/>
      <c r="G57" s="60"/>
      <c r="H57" s="61"/>
      <c r="I57" s="62"/>
    </row>
    <row r="58" spans="1:9" ht="24" customHeight="1" x14ac:dyDescent="0.3">
      <c r="A58" s="55"/>
      <c r="B58" s="56"/>
      <c r="C58" s="57"/>
      <c r="D58" s="58"/>
      <c r="E58" s="59"/>
      <c r="F58" s="59"/>
      <c r="G58" s="60"/>
      <c r="H58" s="61"/>
      <c r="I58" s="62"/>
    </row>
    <row r="59" spans="1:9" ht="24" customHeight="1" x14ac:dyDescent="0.3">
      <c r="A59" s="55"/>
      <c r="B59" s="56"/>
      <c r="C59" s="57"/>
      <c r="D59" s="58"/>
      <c r="E59" s="59"/>
      <c r="F59" s="59"/>
      <c r="G59" s="60"/>
      <c r="H59" s="61"/>
      <c r="I59" s="62"/>
    </row>
    <row r="60" spans="1:9" ht="24" customHeight="1" x14ac:dyDescent="0.3">
      <c r="A60" s="55"/>
      <c r="B60" s="56"/>
      <c r="C60" s="57"/>
      <c r="D60" s="58"/>
      <c r="E60" s="59"/>
      <c r="F60" s="59"/>
      <c r="G60" s="60"/>
      <c r="H60" s="61"/>
      <c r="I60" s="62"/>
    </row>
    <row r="61" spans="1:9" ht="24" customHeight="1" x14ac:dyDescent="0.3">
      <c r="A61" s="55"/>
      <c r="B61" s="56"/>
      <c r="C61" s="57"/>
      <c r="D61" s="58"/>
      <c r="E61" s="59"/>
      <c r="F61" s="59"/>
      <c r="G61" s="60"/>
      <c r="H61" s="61"/>
      <c r="I61" s="62"/>
    </row>
    <row r="62" spans="1:9" ht="24" customHeight="1" x14ac:dyDescent="0.3">
      <c r="A62" s="55"/>
      <c r="B62" s="56"/>
      <c r="C62" s="57"/>
      <c r="D62" s="58"/>
      <c r="E62" s="59"/>
      <c r="F62" s="59"/>
      <c r="G62" s="60"/>
      <c r="H62" s="61"/>
      <c r="I62" s="62"/>
    </row>
    <row r="64" spans="1:9" ht="21.75" hidden="1" customHeight="1" x14ac:dyDescent="0.3">
      <c r="A64" s="55" t="str">
        <f>IF(C64="","",TEXT(17,"COT-000"))</f>
        <v/>
      </c>
      <c r="B64" s="56"/>
      <c r="C64" s="57"/>
      <c r="D64" s="58"/>
      <c r="E64" s="59"/>
      <c r="F64" s="59"/>
      <c r="G64" s="60" t="str">
        <f t="shared" si="0"/>
        <v/>
      </c>
      <c r="H64" s="61"/>
      <c r="I64" s="62"/>
    </row>
    <row r="65" spans="1:9" ht="21.75" hidden="1" customHeight="1" x14ac:dyDescent="0.3">
      <c r="A65" s="63" t="str">
        <f>IF(C65="","",TEXT(18,"COT-000"))</f>
        <v/>
      </c>
      <c r="B65" s="64"/>
      <c r="C65" s="65"/>
      <c r="D65" s="66"/>
      <c r="E65" s="28"/>
      <c r="F65" s="28"/>
      <c r="G65" s="67" t="str">
        <f t="shared" si="0"/>
        <v/>
      </c>
      <c r="H65" s="68"/>
      <c r="I65" s="69"/>
    </row>
    <row r="66" spans="1:9" ht="21.75" hidden="1" customHeight="1" x14ac:dyDescent="0.3">
      <c r="A66" s="55" t="str">
        <f>IF(C66="","",TEXT(19,"COT-000"))</f>
        <v/>
      </c>
      <c r="B66" s="56"/>
      <c r="C66" s="57"/>
      <c r="D66" s="58"/>
      <c r="E66" s="59"/>
      <c r="F66" s="59"/>
      <c r="G66" s="60" t="str">
        <f t="shared" si="0"/>
        <v/>
      </c>
      <c r="H66" s="61"/>
      <c r="I66" s="62"/>
    </row>
    <row r="67" spans="1:9" ht="21.75" hidden="1" customHeight="1" x14ac:dyDescent="0.3">
      <c r="A67" s="63" t="str">
        <f>IF(C67="","",TEXT(20,"COT-000"))</f>
        <v/>
      </c>
      <c r="B67" s="64"/>
      <c r="C67" s="65"/>
      <c r="D67" s="66"/>
      <c r="E67" s="28"/>
      <c r="F67" s="28"/>
      <c r="G67" s="67" t="str">
        <f t="shared" si="0"/>
        <v/>
      </c>
      <c r="H67" s="68"/>
      <c r="I67" s="69"/>
    </row>
    <row r="68" spans="1:9" ht="21.75" hidden="1" customHeight="1" x14ac:dyDescent="0.3">
      <c r="A68" s="55" t="str">
        <f>IF(C68="","",TEXT(21,"COT-000"))</f>
        <v/>
      </c>
      <c r="B68" s="56"/>
      <c r="C68" s="57"/>
      <c r="D68" s="58"/>
      <c r="E68" s="59"/>
      <c r="F68" s="59"/>
      <c r="G68" s="60" t="str">
        <f t="shared" si="0"/>
        <v/>
      </c>
      <c r="H68" s="61"/>
      <c r="I68" s="62"/>
    </row>
    <row r="69" spans="1:9" ht="21.75" hidden="1" customHeight="1" x14ac:dyDescent="0.3">
      <c r="A69" s="63" t="str">
        <f>IF(C69="","",TEXT(22,"COT-000"))</f>
        <v/>
      </c>
      <c r="B69" s="64"/>
      <c r="C69" s="65"/>
      <c r="D69" s="66"/>
      <c r="E69" s="28"/>
      <c r="F69" s="28"/>
      <c r="G69" s="67" t="str">
        <f t="shared" si="0"/>
        <v/>
      </c>
      <c r="H69" s="68"/>
      <c r="I69" s="69"/>
    </row>
    <row r="70" spans="1:9" ht="21.75" hidden="1" customHeight="1" x14ac:dyDescent="0.3">
      <c r="A70" s="55" t="str">
        <f>IF(C70="","",TEXT(23,"COT-000"))</f>
        <v/>
      </c>
      <c r="B70" s="56"/>
      <c r="C70" s="57"/>
      <c r="D70" s="58"/>
      <c r="E70" s="59"/>
      <c r="F70" s="59"/>
      <c r="G70" s="60" t="str">
        <f t="shared" si="0"/>
        <v/>
      </c>
      <c r="H70" s="61"/>
      <c r="I70" s="62"/>
    </row>
    <row r="71" spans="1:9" ht="21.75" hidden="1" customHeight="1" x14ac:dyDescent="0.3">
      <c r="A71" s="63" t="str">
        <f>IF(C71="","",TEXT(24,"COT-000"))</f>
        <v/>
      </c>
      <c r="B71" s="64"/>
      <c r="C71" s="65"/>
      <c r="D71" s="66"/>
      <c r="E71" s="28"/>
      <c r="F71" s="28"/>
      <c r="G71" s="67" t="str">
        <f t="shared" si="0"/>
        <v/>
      </c>
      <c r="H71" s="68"/>
      <c r="I71" s="69"/>
    </row>
    <row r="72" spans="1:9" ht="21.75" hidden="1" customHeight="1" x14ac:dyDescent="0.3">
      <c r="A72" s="55" t="str">
        <f>IF(C72="","",TEXT(25,"COT-000"))</f>
        <v/>
      </c>
      <c r="B72" s="56"/>
      <c r="C72" s="57"/>
      <c r="D72" s="58"/>
      <c r="E72" s="59"/>
      <c r="F72" s="59"/>
      <c r="G72" s="60" t="str">
        <f t="shared" si="0"/>
        <v/>
      </c>
      <c r="H72" s="61"/>
      <c r="I72" s="62"/>
    </row>
    <row r="73" spans="1:9" ht="21.75" hidden="1" customHeight="1" x14ac:dyDescent="0.3">
      <c r="A73" s="63" t="str">
        <f>IF(C73="","",TEXT(26,"COT-000"))</f>
        <v/>
      </c>
      <c r="B73" s="64"/>
      <c r="C73" s="65"/>
      <c r="D73" s="66"/>
      <c r="E73" s="28"/>
      <c r="F73" s="28"/>
      <c r="G73" s="67" t="str">
        <f t="shared" si="0"/>
        <v/>
      </c>
      <c r="H73" s="68"/>
      <c r="I73" s="69"/>
    </row>
    <row r="74" spans="1:9" ht="21.75" hidden="1" customHeight="1" x14ac:dyDescent="0.3">
      <c r="A74" s="55" t="str">
        <f>IF(C74="","",TEXT(27,"COT-000"))</f>
        <v/>
      </c>
      <c r="B74" s="56"/>
      <c r="C74" s="57"/>
      <c r="D74" s="58"/>
      <c r="E74" s="59"/>
      <c r="F74" s="59"/>
      <c r="G74" s="60" t="str">
        <f t="shared" si="0"/>
        <v/>
      </c>
      <c r="H74" s="61"/>
      <c r="I74" s="62"/>
    </row>
    <row r="75" spans="1:9" ht="21.75" hidden="1" customHeight="1" x14ac:dyDescent="0.3">
      <c r="A75" s="63" t="str">
        <f>IF(C75="","",TEXT(28,"COT-000"))</f>
        <v/>
      </c>
      <c r="B75" s="64"/>
      <c r="C75" s="65"/>
      <c r="D75" s="66"/>
      <c r="E75" s="28"/>
      <c r="F75" s="28"/>
      <c r="G75" s="67" t="str">
        <f t="shared" si="0"/>
        <v/>
      </c>
      <c r="H75" s="68"/>
      <c r="I75" s="69"/>
    </row>
    <row r="76" spans="1:9" ht="21.75" hidden="1" customHeight="1" x14ac:dyDescent="0.3">
      <c r="A76" s="55" t="str">
        <f>IF(C76="","",TEXT(29,"COT-000"))</f>
        <v/>
      </c>
      <c r="B76" s="56"/>
      <c r="C76" s="57"/>
      <c r="D76" s="58"/>
      <c r="E76" s="59"/>
      <c r="F76" s="59"/>
      <c r="G76" s="60" t="str">
        <f t="shared" si="0"/>
        <v/>
      </c>
      <c r="H76" s="61"/>
      <c r="I76" s="62"/>
    </row>
    <row r="77" spans="1:9" ht="21.75" hidden="1" customHeight="1" x14ac:dyDescent="0.3">
      <c r="A77" s="63" t="str">
        <f>IF(C77="","",TEXT(30,"COT-000"))</f>
        <v/>
      </c>
      <c r="B77" s="64"/>
      <c r="C77" s="65"/>
      <c r="D77" s="66"/>
      <c r="E77" s="28"/>
      <c r="F77" s="28"/>
      <c r="G77" s="67" t="str">
        <f t="shared" si="0"/>
        <v/>
      </c>
      <c r="H77" s="68"/>
      <c r="I77" s="69"/>
    </row>
    <row r="78" spans="1:9" ht="21.75" hidden="1" customHeight="1" x14ac:dyDescent="0.3">
      <c r="A78" s="55" t="str">
        <f>IF(C78="","",TEXT(31,"COT-000"))</f>
        <v/>
      </c>
      <c r="B78" s="56"/>
      <c r="C78" s="57"/>
      <c r="D78" s="58"/>
      <c r="E78" s="59"/>
      <c r="F78" s="59"/>
      <c r="G78" s="60" t="str">
        <f t="shared" si="0"/>
        <v/>
      </c>
      <c r="H78" s="61"/>
      <c r="I78" s="62"/>
    </row>
    <row r="79" spans="1:9" ht="21.75" hidden="1" customHeight="1" x14ac:dyDescent="0.3">
      <c r="A79" s="63" t="str">
        <f>IF(C79="","",TEXT(32,"COT-000"))</f>
        <v/>
      </c>
      <c r="B79" s="64"/>
      <c r="C79" s="65"/>
      <c r="D79" s="66"/>
      <c r="E79" s="28"/>
      <c r="F79" s="28"/>
      <c r="G79" s="67" t="str">
        <f t="shared" si="0"/>
        <v/>
      </c>
      <c r="H79" s="68"/>
      <c r="I79" s="69"/>
    </row>
    <row r="80" spans="1:9" ht="21.75" hidden="1" customHeight="1" x14ac:dyDescent="0.3">
      <c r="A80" s="55" t="str">
        <f>IF(C80="","",TEXT(33,"COT-000"))</f>
        <v/>
      </c>
      <c r="B80" s="56"/>
      <c r="C80" s="57"/>
      <c r="D80" s="58"/>
      <c r="E80" s="59"/>
      <c r="F80" s="59"/>
      <c r="G80" s="60" t="str">
        <f t="shared" ref="G80:G111" si="1">IF(OR(E80="",F80=""),"",F80-E80)</f>
        <v/>
      </c>
      <c r="H80" s="61"/>
      <c r="I80" s="62"/>
    </row>
    <row r="81" spans="1:9" ht="21.75" hidden="1" customHeight="1" x14ac:dyDescent="0.3">
      <c r="A81" s="63" t="str">
        <f>IF(C81="","",TEXT(34,"COT-000"))</f>
        <v/>
      </c>
      <c r="B81" s="64"/>
      <c r="C81" s="65"/>
      <c r="D81" s="66"/>
      <c r="E81" s="28"/>
      <c r="F81" s="28"/>
      <c r="G81" s="67" t="str">
        <f t="shared" si="1"/>
        <v/>
      </c>
      <c r="H81" s="68"/>
      <c r="I81" s="69"/>
    </row>
    <row r="82" spans="1:9" ht="21.75" hidden="1" customHeight="1" x14ac:dyDescent="0.3">
      <c r="A82" s="55" t="str">
        <f>IF(C82="","",TEXT(35,"COT-000"))</f>
        <v/>
      </c>
      <c r="B82" s="56"/>
      <c r="C82" s="57"/>
      <c r="D82" s="58"/>
      <c r="E82" s="59"/>
      <c r="F82" s="59"/>
      <c r="G82" s="60" t="str">
        <f t="shared" si="1"/>
        <v/>
      </c>
      <c r="H82" s="61"/>
      <c r="I82" s="62"/>
    </row>
    <row r="83" spans="1:9" ht="21.75" hidden="1" customHeight="1" x14ac:dyDescent="0.3">
      <c r="A83" s="63" t="str">
        <f>IF(C83="","",TEXT(36,"COT-000"))</f>
        <v/>
      </c>
      <c r="B83" s="64"/>
      <c r="C83" s="65"/>
      <c r="D83" s="66"/>
      <c r="E83" s="28"/>
      <c r="F83" s="28"/>
      <c r="G83" s="67" t="str">
        <f t="shared" si="1"/>
        <v/>
      </c>
      <c r="H83" s="68"/>
      <c r="I83" s="69"/>
    </row>
    <row r="84" spans="1:9" ht="21.75" hidden="1" customHeight="1" x14ac:dyDescent="0.3">
      <c r="A84" s="55" t="str">
        <f>IF(C84="","",TEXT(37,"COT-000"))</f>
        <v/>
      </c>
      <c r="B84" s="56"/>
      <c r="C84" s="57"/>
      <c r="D84" s="58"/>
      <c r="E84" s="59"/>
      <c r="F84" s="59"/>
      <c r="G84" s="60" t="str">
        <f t="shared" si="1"/>
        <v/>
      </c>
      <c r="H84" s="61"/>
      <c r="I84" s="62"/>
    </row>
    <row r="85" spans="1:9" ht="21.75" hidden="1" customHeight="1" x14ac:dyDescent="0.3">
      <c r="A85" s="63" t="str">
        <f>IF(C85="","",TEXT(38,"COT-000"))</f>
        <v/>
      </c>
      <c r="B85" s="64"/>
      <c r="C85" s="65"/>
      <c r="D85" s="66"/>
      <c r="E85" s="28"/>
      <c r="F85" s="28"/>
      <c r="G85" s="67" t="str">
        <f t="shared" si="1"/>
        <v/>
      </c>
      <c r="H85" s="68"/>
      <c r="I85" s="69"/>
    </row>
    <row r="86" spans="1:9" ht="21.75" hidden="1" customHeight="1" x14ac:dyDescent="0.3">
      <c r="A86" s="55" t="str">
        <f>IF(C86="","",TEXT(39,"COT-000"))</f>
        <v/>
      </c>
      <c r="B86" s="56"/>
      <c r="C86" s="57"/>
      <c r="D86" s="58"/>
      <c r="E86" s="59"/>
      <c r="F86" s="59"/>
      <c r="G86" s="60" t="str">
        <f t="shared" si="1"/>
        <v/>
      </c>
      <c r="H86" s="61"/>
      <c r="I86" s="62"/>
    </row>
    <row r="87" spans="1:9" ht="21.75" hidden="1" customHeight="1" x14ac:dyDescent="0.3">
      <c r="A87" s="63" t="str">
        <f>IF(C87="","",TEXT(40,"COT-000"))</f>
        <v/>
      </c>
      <c r="B87" s="64"/>
      <c r="C87" s="65"/>
      <c r="D87" s="66"/>
      <c r="E87" s="28"/>
      <c r="F87" s="28"/>
      <c r="G87" s="67" t="str">
        <f t="shared" si="1"/>
        <v/>
      </c>
      <c r="H87" s="68"/>
      <c r="I87" s="69"/>
    </row>
    <row r="88" spans="1:9" ht="21.75" hidden="1" customHeight="1" x14ac:dyDescent="0.3">
      <c r="A88" s="55" t="str">
        <f>IF(C88="","",TEXT(41,"COT-000"))</f>
        <v/>
      </c>
      <c r="B88" s="56"/>
      <c r="C88" s="57"/>
      <c r="D88" s="58"/>
      <c r="E88" s="59"/>
      <c r="F88" s="59"/>
      <c r="G88" s="60" t="str">
        <f t="shared" si="1"/>
        <v/>
      </c>
      <c r="H88" s="61"/>
      <c r="I88" s="62"/>
    </row>
    <row r="89" spans="1:9" ht="21.75" hidden="1" customHeight="1" x14ac:dyDescent="0.3">
      <c r="A89" s="63" t="str">
        <f>IF(C89="","",TEXT(42,"COT-000"))</f>
        <v/>
      </c>
      <c r="B89" s="64"/>
      <c r="C89" s="65"/>
      <c r="D89" s="66"/>
      <c r="E89" s="28"/>
      <c r="F89" s="28"/>
      <c r="G89" s="67" t="str">
        <f t="shared" si="1"/>
        <v/>
      </c>
      <c r="H89" s="68"/>
      <c r="I89" s="69"/>
    </row>
    <row r="90" spans="1:9" ht="21.75" hidden="1" customHeight="1" x14ac:dyDescent="0.3">
      <c r="A90" s="55" t="str">
        <f>IF(C90="","",TEXT(43,"COT-000"))</f>
        <v/>
      </c>
      <c r="B90" s="56"/>
      <c r="C90" s="57"/>
      <c r="D90" s="58"/>
      <c r="E90" s="59"/>
      <c r="F90" s="59"/>
      <c r="G90" s="60" t="str">
        <f t="shared" si="1"/>
        <v/>
      </c>
      <c r="H90" s="61"/>
      <c r="I90" s="62"/>
    </row>
    <row r="91" spans="1:9" ht="21.75" hidden="1" customHeight="1" x14ac:dyDescent="0.3">
      <c r="A91" s="63" t="str">
        <f>IF(C91="","",TEXT(44,"COT-000"))</f>
        <v/>
      </c>
      <c r="B91" s="64"/>
      <c r="C91" s="65"/>
      <c r="D91" s="66"/>
      <c r="E91" s="28"/>
      <c r="F91" s="28"/>
      <c r="G91" s="67" t="str">
        <f t="shared" si="1"/>
        <v/>
      </c>
      <c r="H91" s="68"/>
      <c r="I91" s="69"/>
    </row>
    <row r="92" spans="1:9" ht="21.75" hidden="1" customHeight="1" x14ac:dyDescent="0.3">
      <c r="A92" s="55" t="str">
        <f>IF(C92="","",TEXT(45,"COT-000"))</f>
        <v/>
      </c>
      <c r="B92" s="56"/>
      <c r="C92" s="57"/>
      <c r="D92" s="58"/>
      <c r="E92" s="59"/>
      <c r="F92" s="59"/>
      <c r="G92" s="60" t="str">
        <f t="shared" si="1"/>
        <v/>
      </c>
      <c r="H92" s="61"/>
      <c r="I92" s="62"/>
    </row>
    <row r="93" spans="1:9" ht="21.75" hidden="1" customHeight="1" x14ac:dyDescent="0.3">
      <c r="A93" s="63" t="str">
        <f>IF(C93="","",TEXT(46,"COT-000"))</f>
        <v/>
      </c>
      <c r="B93" s="64"/>
      <c r="C93" s="65"/>
      <c r="D93" s="66"/>
      <c r="E93" s="28"/>
      <c r="F93" s="28"/>
      <c r="G93" s="67" t="str">
        <f t="shared" si="1"/>
        <v/>
      </c>
      <c r="H93" s="68"/>
      <c r="I93" s="69"/>
    </row>
    <row r="94" spans="1:9" ht="21.75" hidden="1" customHeight="1" x14ac:dyDescent="0.3">
      <c r="A94" s="55" t="str">
        <f>IF(C94="","",TEXT(47,"COT-000"))</f>
        <v/>
      </c>
      <c r="B94" s="56"/>
      <c r="C94" s="57"/>
      <c r="D94" s="58"/>
      <c r="E94" s="59"/>
      <c r="F94" s="59"/>
      <c r="G94" s="60" t="str">
        <f t="shared" si="1"/>
        <v/>
      </c>
      <c r="H94" s="61"/>
      <c r="I94" s="62"/>
    </row>
    <row r="95" spans="1:9" ht="21.75" hidden="1" customHeight="1" x14ac:dyDescent="0.3">
      <c r="A95" s="63" t="str">
        <f>IF(C95="","",TEXT(48,"COT-000"))</f>
        <v/>
      </c>
      <c r="B95" s="64"/>
      <c r="C95" s="65"/>
      <c r="D95" s="66"/>
      <c r="E95" s="28"/>
      <c r="F95" s="28"/>
      <c r="G95" s="67" t="str">
        <f t="shared" si="1"/>
        <v/>
      </c>
      <c r="H95" s="68"/>
      <c r="I95" s="69"/>
    </row>
    <row r="96" spans="1:9" ht="21.75" hidden="1" customHeight="1" x14ac:dyDescent="0.3">
      <c r="A96" s="55" t="str">
        <f>IF(C96="","",TEXT(49,"COT-000"))</f>
        <v/>
      </c>
      <c r="B96" s="56"/>
      <c r="C96" s="57"/>
      <c r="D96" s="58"/>
      <c r="E96" s="59"/>
      <c r="F96" s="59"/>
      <c r="G96" s="60" t="str">
        <f t="shared" si="1"/>
        <v/>
      </c>
      <c r="H96" s="61"/>
      <c r="I96" s="62"/>
    </row>
    <row r="97" spans="1:9" ht="21.75" hidden="1" customHeight="1" x14ac:dyDescent="0.3">
      <c r="A97" s="63" t="str">
        <f>IF(C97="","",TEXT(50,"COT-000"))</f>
        <v/>
      </c>
      <c r="B97" s="64"/>
      <c r="C97" s="65"/>
      <c r="D97" s="66"/>
      <c r="E97" s="28"/>
      <c r="F97" s="28"/>
      <c r="G97" s="67" t="str">
        <f t="shared" si="1"/>
        <v/>
      </c>
      <c r="H97" s="68"/>
      <c r="I97" s="69"/>
    </row>
    <row r="98" spans="1:9" ht="21.75" hidden="1" customHeight="1" x14ac:dyDescent="0.3">
      <c r="A98" s="55" t="str">
        <f>IF(C98="","",TEXT(51,"COT-000"))</f>
        <v/>
      </c>
      <c r="B98" s="56"/>
      <c r="C98" s="57"/>
      <c r="D98" s="58"/>
      <c r="E98" s="59"/>
      <c r="F98" s="59"/>
      <c r="G98" s="60" t="str">
        <f t="shared" si="1"/>
        <v/>
      </c>
      <c r="H98" s="61"/>
      <c r="I98" s="62"/>
    </row>
    <row r="99" spans="1:9" ht="21.75" hidden="1" customHeight="1" x14ac:dyDescent="0.3">
      <c r="A99" s="63" t="str">
        <f>IF(C99="","",TEXT(52,"COT-000"))</f>
        <v/>
      </c>
      <c r="B99" s="64"/>
      <c r="C99" s="65"/>
      <c r="D99" s="66"/>
      <c r="E99" s="28"/>
      <c r="F99" s="28"/>
      <c r="G99" s="67" t="str">
        <f t="shared" si="1"/>
        <v/>
      </c>
      <c r="H99" s="68"/>
      <c r="I99" s="69"/>
    </row>
    <row r="100" spans="1:9" ht="21.75" hidden="1" customHeight="1" x14ac:dyDescent="0.3">
      <c r="A100" s="55" t="str">
        <f>IF(C100="","",TEXT(53,"COT-000"))</f>
        <v/>
      </c>
      <c r="B100" s="56"/>
      <c r="C100" s="57"/>
      <c r="D100" s="58"/>
      <c r="E100" s="59"/>
      <c r="F100" s="59"/>
      <c r="G100" s="60" t="str">
        <f t="shared" si="1"/>
        <v/>
      </c>
      <c r="H100" s="61"/>
      <c r="I100" s="62"/>
    </row>
    <row r="101" spans="1:9" ht="21.75" hidden="1" customHeight="1" x14ac:dyDescent="0.3">
      <c r="A101" s="63" t="str">
        <f>IF(C101="","",TEXT(54,"COT-000"))</f>
        <v/>
      </c>
      <c r="B101" s="64"/>
      <c r="C101" s="65"/>
      <c r="D101" s="66"/>
      <c r="E101" s="28"/>
      <c r="F101" s="28"/>
      <c r="G101" s="67" t="str">
        <f t="shared" si="1"/>
        <v/>
      </c>
      <c r="H101" s="68"/>
      <c r="I101" s="69"/>
    </row>
    <row r="102" spans="1:9" ht="21.75" hidden="1" customHeight="1" x14ac:dyDescent="0.3">
      <c r="A102" s="55" t="str">
        <f>IF(C102="","",TEXT(55,"COT-000"))</f>
        <v/>
      </c>
      <c r="B102" s="56"/>
      <c r="C102" s="57"/>
      <c r="D102" s="58"/>
      <c r="E102" s="59"/>
      <c r="F102" s="59"/>
      <c r="G102" s="60" t="str">
        <f t="shared" si="1"/>
        <v/>
      </c>
      <c r="H102" s="61"/>
      <c r="I102" s="62"/>
    </row>
    <row r="103" spans="1:9" ht="21.75" hidden="1" customHeight="1" x14ac:dyDescent="0.3">
      <c r="A103" s="63" t="str">
        <f>IF(C103="","",TEXT(56,"COT-000"))</f>
        <v/>
      </c>
      <c r="B103" s="64"/>
      <c r="C103" s="65"/>
      <c r="D103" s="66"/>
      <c r="E103" s="28"/>
      <c r="F103" s="28"/>
      <c r="G103" s="67" t="str">
        <f t="shared" si="1"/>
        <v/>
      </c>
      <c r="H103" s="68"/>
      <c r="I103" s="69"/>
    </row>
    <row r="104" spans="1:9" ht="21.75" hidden="1" customHeight="1" x14ac:dyDescent="0.3">
      <c r="A104" s="55" t="str">
        <f>IF(C104="","",TEXT(57,"COT-000"))</f>
        <v/>
      </c>
      <c r="B104" s="56"/>
      <c r="C104" s="57"/>
      <c r="D104" s="58"/>
      <c r="E104" s="59"/>
      <c r="F104" s="59"/>
      <c r="G104" s="60" t="str">
        <f t="shared" si="1"/>
        <v/>
      </c>
      <c r="H104" s="61"/>
      <c r="I104" s="62"/>
    </row>
    <row r="105" spans="1:9" ht="21.75" hidden="1" customHeight="1" x14ac:dyDescent="0.3">
      <c r="A105" s="63" t="str">
        <f>IF(C105="","",TEXT(58,"COT-000"))</f>
        <v/>
      </c>
      <c r="B105" s="64"/>
      <c r="C105" s="65"/>
      <c r="D105" s="66"/>
      <c r="E105" s="28"/>
      <c r="F105" s="28"/>
      <c r="G105" s="67" t="str">
        <f t="shared" si="1"/>
        <v/>
      </c>
      <c r="H105" s="68"/>
      <c r="I105" s="69"/>
    </row>
    <row r="106" spans="1:9" ht="21.75" hidden="1" customHeight="1" x14ac:dyDescent="0.3">
      <c r="A106" s="55" t="str">
        <f>IF(C106="","",TEXT(59,"COT-000"))</f>
        <v/>
      </c>
      <c r="B106" s="56"/>
      <c r="C106" s="57"/>
      <c r="D106" s="58"/>
      <c r="E106" s="59"/>
      <c r="F106" s="59"/>
      <c r="G106" s="60" t="str">
        <f t="shared" si="1"/>
        <v/>
      </c>
      <c r="H106" s="61"/>
      <c r="I106" s="62"/>
    </row>
    <row r="107" spans="1:9" ht="21.75" hidden="1" customHeight="1" x14ac:dyDescent="0.3">
      <c r="A107" s="63" t="str">
        <f>IF(C107="","",TEXT(60,"COT-000"))</f>
        <v/>
      </c>
      <c r="B107" s="64"/>
      <c r="C107" s="65"/>
      <c r="D107" s="66"/>
      <c r="E107" s="28"/>
      <c r="F107" s="28"/>
      <c r="G107" s="67" t="str">
        <f t="shared" si="1"/>
        <v/>
      </c>
      <c r="H107" s="68"/>
      <c r="I107" s="69"/>
    </row>
    <row r="108" spans="1:9" ht="21.75" hidden="1" customHeight="1" x14ac:dyDescent="0.3">
      <c r="A108" s="55" t="str">
        <f>IF(C108="","",TEXT(61,"COT-000"))</f>
        <v/>
      </c>
      <c r="B108" s="56"/>
      <c r="C108" s="57"/>
      <c r="D108" s="58"/>
      <c r="E108" s="59"/>
      <c r="F108" s="59"/>
      <c r="G108" s="60" t="str">
        <f t="shared" si="1"/>
        <v/>
      </c>
      <c r="H108" s="61"/>
      <c r="I108" s="62"/>
    </row>
    <row r="109" spans="1:9" ht="21.75" hidden="1" customHeight="1" x14ac:dyDescent="0.3">
      <c r="A109" s="63" t="str">
        <f>IF(C109="","",TEXT(62,"COT-000"))</f>
        <v/>
      </c>
      <c r="B109" s="64"/>
      <c r="C109" s="65"/>
      <c r="D109" s="66"/>
      <c r="E109" s="28"/>
      <c r="F109" s="28"/>
      <c r="G109" s="67" t="str">
        <f t="shared" si="1"/>
        <v/>
      </c>
      <c r="H109" s="68"/>
      <c r="I109" s="69"/>
    </row>
    <row r="110" spans="1:9" ht="21.75" hidden="1" customHeight="1" x14ac:dyDescent="0.3">
      <c r="A110" s="55" t="str">
        <f>IF(C110="","",TEXT(63,"COT-000"))</f>
        <v/>
      </c>
      <c r="B110" s="56"/>
      <c r="C110" s="57"/>
      <c r="D110" s="58"/>
      <c r="E110" s="59"/>
      <c r="F110" s="59"/>
      <c r="G110" s="60" t="str">
        <f t="shared" si="1"/>
        <v/>
      </c>
      <c r="H110" s="61"/>
      <c r="I110" s="62"/>
    </row>
    <row r="111" spans="1:9" ht="21.75" hidden="1" customHeight="1" x14ac:dyDescent="0.3">
      <c r="A111" s="63" t="str">
        <f>IF(C111="","",TEXT(64,"COT-000"))</f>
        <v/>
      </c>
      <c r="B111" s="64"/>
      <c r="C111" s="65"/>
      <c r="D111" s="66"/>
      <c r="E111" s="28"/>
      <c r="F111" s="28"/>
      <c r="G111" s="67" t="str">
        <f t="shared" si="1"/>
        <v/>
      </c>
      <c r="H111" s="68"/>
      <c r="I111" s="69"/>
    </row>
    <row r="112" spans="1:9" ht="21.75" hidden="1" customHeight="1" x14ac:dyDescent="0.3">
      <c r="A112" s="55" t="str">
        <f>IF(C112="","",TEXT(65,"COT-000"))</f>
        <v/>
      </c>
      <c r="B112" s="56"/>
      <c r="C112" s="57"/>
      <c r="D112" s="58"/>
      <c r="E112" s="59"/>
      <c r="F112" s="59"/>
      <c r="G112" s="60" t="str">
        <f t="shared" ref="G112:G143" si="2">IF(OR(E112="",F112=""),"",F112-E112)</f>
        <v/>
      </c>
      <c r="H112" s="61"/>
      <c r="I112" s="62"/>
    </row>
    <row r="113" spans="1:9" ht="21.75" hidden="1" customHeight="1" x14ac:dyDescent="0.3">
      <c r="A113" s="63" t="str">
        <f>IF(C113="","",TEXT(66,"COT-000"))</f>
        <v/>
      </c>
      <c r="B113" s="64"/>
      <c r="C113" s="65"/>
      <c r="D113" s="66"/>
      <c r="E113" s="28"/>
      <c r="F113" s="28"/>
      <c r="G113" s="67" t="str">
        <f t="shared" si="2"/>
        <v/>
      </c>
      <c r="H113" s="68"/>
      <c r="I113" s="69"/>
    </row>
    <row r="114" spans="1:9" ht="21.75" hidden="1" customHeight="1" x14ac:dyDescent="0.3">
      <c r="A114" s="55" t="str">
        <f>IF(C114="","",TEXT(67,"COT-000"))</f>
        <v/>
      </c>
      <c r="B114" s="56"/>
      <c r="C114" s="57"/>
      <c r="D114" s="58"/>
      <c r="E114" s="59"/>
      <c r="F114" s="59"/>
      <c r="G114" s="60" t="str">
        <f t="shared" si="2"/>
        <v/>
      </c>
      <c r="H114" s="61"/>
      <c r="I114" s="62"/>
    </row>
    <row r="115" spans="1:9" ht="21.75" hidden="1" customHeight="1" x14ac:dyDescent="0.3">
      <c r="A115" s="63" t="str">
        <f>IF(C115="","",TEXT(68,"COT-000"))</f>
        <v/>
      </c>
      <c r="B115" s="64"/>
      <c r="C115" s="65"/>
      <c r="D115" s="66"/>
      <c r="E115" s="28"/>
      <c r="F115" s="28"/>
      <c r="G115" s="67" t="str">
        <f t="shared" si="2"/>
        <v/>
      </c>
      <c r="H115" s="68"/>
      <c r="I115" s="69"/>
    </row>
    <row r="116" spans="1:9" ht="21.75" hidden="1" customHeight="1" x14ac:dyDescent="0.3">
      <c r="A116" s="55" t="str">
        <f>IF(C116="","",TEXT(69,"COT-000"))</f>
        <v/>
      </c>
      <c r="B116" s="56"/>
      <c r="C116" s="57"/>
      <c r="D116" s="58"/>
      <c r="E116" s="59"/>
      <c r="F116" s="59"/>
      <c r="G116" s="60" t="str">
        <f t="shared" si="2"/>
        <v/>
      </c>
      <c r="H116" s="61"/>
      <c r="I116" s="62"/>
    </row>
    <row r="117" spans="1:9" ht="21.75" hidden="1" customHeight="1" x14ac:dyDescent="0.3">
      <c r="A117" s="63" t="str">
        <f>IF(C117="","",TEXT(70,"COT-000"))</f>
        <v/>
      </c>
      <c r="B117" s="64"/>
      <c r="C117" s="65"/>
      <c r="D117" s="66"/>
      <c r="E117" s="28"/>
      <c r="F117" s="28"/>
      <c r="G117" s="67" t="str">
        <f t="shared" si="2"/>
        <v/>
      </c>
      <c r="H117" s="68"/>
      <c r="I117" s="69"/>
    </row>
    <row r="118" spans="1:9" ht="21.75" hidden="1" customHeight="1" x14ac:dyDescent="0.3">
      <c r="A118" s="55" t="str">
        <f>IF(C118="","",TEXT(71,"COT-000"))</f>
        <v/>
      </c>
      <c r="B118" s="56"/>
      <c r="C118" s="57"/>
      <c r="D118" s="58"/>
      <c r="E118" s="59"/>
      <c r="F118" s="59"/>
      <c r="G118" s="60" t="str">
        <f t="shared" si="2"/>
        <v/>
      </c>
      <c r="H118" s="61"/>
      <c r="I118" s="62"/>
    </row>
    <row r="119" spans="1:9" ht="21.75" hidden="1" customHeight="1" x14ac:dyDescent="0.3">
      <c r="A119" s="63" t="str">
        <f>IF(C119="","",TEXT(72,"COT-000"))</f>
        <v/>
      </c>
      <c r="B119" s="64"/>
      <c r="C119" s="65"/>
      <c r="D119" s="66"/>
      <c r="E119" s="28"/>
      <c r="F119" s="28"/>
      <c r="G119" s="67" t="str">
        <f t="shared" si="2"/>
        <v/>
      </c>
      <c r="H119" s="68"/>
      <c r="I119" s="69"/>
    </row>
    <row r="120" spans="1:9" ht="21.75" hidden="1" customHeight="1" x14ac:dyDescent="0.3">
      <c r="A120" s="55" t="str">
        <f>IF(C120="","",TEXT(73,"COT-000"))</f>
        <v/>
      </c>
      <c r="B120" s="56"/>
      <c r="C120" s="57"/>
      <c r="D120" s="58"/>
      <c r="E120" s="59"/>
      <c r="F120" s="59"/>
      <c r="G120" s="60" t="str">
        <f t="shared" si="2"/>
        <v/>
      </c>
      <c r="H120" s="61"/>
      <c r="I120" s="62"/>
    </row>
    <row r="121" spans="1:9" ht="21.75" hidden="1" customHeight="1" x14ac:dyDescent="0.3">
      <c r="A121" s="63" t="str">
        <f>IF(C121="","",TEXT(74,"COT-000"))</f>
        <v/>
      </c>
      <c r="B121" s="64"/>
      <c r="C121" s="65"/>
      <c r="D121" s="66"/>
      <c r="E121" s="28"/>
      <c r="F121" s="28"/>
      <c r="G121" s="67" t="str">
        <f t="shared" si="2"/>
        <v/>
      </c>
      <c r="H121" s="68"/>
      <c r="I121" s="69"/>
    </row>
    <row r="122" spans="1:9" ht="21.75" hidden="1" customHeight="1" x14ac:dyDescent="0.3">
      <c r="A122" s="55" t="str">
        <f>IF(C122="","",TEXT(75,"COT-000"))</f>
        <v/>
      </c>
      <c r="B122" s="56"/>
      <c r="C122" s="57"/>
      <c r="D122" s="58"/>
      <c r="E122" s="59"/>
      <c r="F122" s="59"/>
      <c r="G122" s="60" t="str">
        <f t="shared" si="2"/>
        <v/>
      </c>
      <c r="H122" s="61"/>
      <c r="I122" s="62"/>
    </row>
    <row r="123" spans="1:9" ht="21.75" hidden="1" customHeight="1" x14ac:dyDescent="0.3">
      <c r="A123" s="63" t="str">
        <f>IF(C123="","",TEXT(76,"COT-000"))</f>
        <v/>
      </c>
      <c r="B123" s="64"/>
      <c r="C123" s="65"/>
      <c r="D123" s="66"/>
      <c r="E123" s="28"/>
      <c r="F123" s="28"/>
      <c r="G123" s="67" t="str">
        <f t="shared" si="2"/>
        <v/>
      </c>
      <c r="H123" s="68"/>
      <c r="I123" s="69"/>
    </row>
    <row r="124" spans="1:9" ht="21.75" hidden="1" customHeight="1" x14ac:dyDescent="0.3">
      <c r="A124" s="55" t="str">
        <f>IF(C124="","",TEXT(77,"COT-000"))</f>
        <v/>
      </c>
      <c r="B124" s="56"/>
      <c r="C124" s="57"/>
      <c r="D124" s="58"/>
      <c r="E124" s="59"/>
      <c r="F124" s="59"/>
      <c r="G124" s="60" t="str">
        <f t="shared" si="2"/>
        <v/>
      </c>
      <c r="H124" s="61"/>
      <c r="I124" s="62"/>
    </row>
    <row r="125" spans="1:9" ht="21.75" hidden="1" customHeight="1" x14ac:dyDescent="0.3">
      <c r="A125" s="63" t="str">
        <f>IF(C125="","",TEXT(78,"COT-000"))</f>
        <v/>
      </c>
      <c r="B125" s="64"/>
      <c r="C125" s="65"/>
      <c r="D125" s="66"/>
      <c r="E125" s="28"/>
      <c r="F125" s="28"/>
      <c r="G125" s="67" t="str">
        <f t="shared" si="2"/>
        <v/>
      </c>
      <c r="H125" s="68"/>
      <c r="I125" s="69"/>
    </row>
    <row r="126" spans="1:9" ht="21.75" hidden="1" customHeight="1" x14ac:dyDescent="0.3">
      <c r="A126" s="55" t="str">
        <f>IF(C126="","",TEXT(79,"COT-000"))</f>
        <v/>
      </c>
      <c r="B126" s="56"/>
      <c r="C126" s="57"/>
      <c r="D126" s="58"/>
      <c r="E126" s="59"/>
      <c r="F126" s="59"/>
      <c r="G126" s="60" t="str">
        <f t="shared" si="2"/>
        <v/>
      </c>
      <c r="H126" s="61"/>
      <c r="I126" s="62"/>
    </row>
    <row r="127" spans="1:9" ht="21.75" hidden="1" customHeight="1" x14ac:dyDescent="0.3">
      <c r="A127" s="63" t="str">
        <f>IF(C127="","",TEXT(80,"COT-000"))</f>
        <v/>
      </c>
      <c r="B127" s="64"/>
      <c r="C127" s="65"/>
      <c r="D127" s="66"/>
      <c r="E127" s="28"/>
      <c r="F127" s="28"/>
      <c r="G127" s="67" t="str">
        <f t="shared" si="2"/>
        <v/>
      </c>
      <c r="H127" s="68"/>
      <c r="I127" s="69"/>
    </row>
    <row r="128" spans="1:9" ht="21.75" hidden="1" customHeight="1" x14ac:dyDescent="0.3">
      <c r="A128" s="55" t="str">
        <f>IF(C128="","",TEXT(81,"COT-000"))</f>
        <v/>
      </c>
      <c r="B128" s="56"/>
      <c r="C128" s="57"/>
      <c r="D128" s="58"/>
      <c r="E128" s="59"/>
      <c r="F128" s="59"/>
      <c r="G128" s="60" t="str">
        <f t="shared" si="2"/>
        <v/>
      </c>
      <c r="H128" s="61"/>
      <c r="I128" s="62"/>
    </row>
    <row r="129" spans="1:9" ht="21.75" hidden="1" customHeight="1" x14ac:dyDescent="0.3">
      <c r="A129" s="63" t="str">
        <f>IF(C129="","",TEXT(82,"COT-000"))</f>
        <v/>
      </c>
      <c r="B129" s="64"/>
      <c r="C129" s="65"/>
      <c r="D129" s="66"/>
      <c r="E129" s="28"/>
      <c r="F129" s="28"/>
      <c r="G129" s="67" t="str">
        <f t="shared" si="2"/>
        <v/>
      </c>
      <c r="H129" s="68"/>
      <c r="I129" s="69"/>
    </row>
    <row r="130" spans="1:9" ht="21.75" hidden="1" customHeight="1" x14ac:dyDescent="0.3">
      <c r="A130" s="55" t="str">
        <f>IF(C130="","",TEXT(83,"COT-000"))</f>
        <v/>
      </c>
      <c r="B130" s="56"/>
      <c r="C130" s="57"/>
      <c r="D130" s="58"/>
      <c r="E130" s="59"/>
      <c r="F130" s="59"/>
      <c r="G130" s="60" t="str">
        <f t="shared" si="2"/>
        <v/>
      </c>
      <c r="H130" s="61"/>
      <c r="I130" s="62"/>
    </row>
    <row r="131" spans="1:9" ht="21.75" hidden="1" customHeight="1" x14ac:dyDescent="0.3">
      <c r="A131" s="63" t="str">
        <f>IF(C131="","",TEXT(84,"COT-000"))</f>
        <v/>
      </c>
      <c r="B131" s="64"/>
      <c r="C131" s="65"/>
      <c r="D131" s="66"/>
      <c r="E131" s="28"/>
      <c r="F131" s="28"/>
      <c r="G131" s="67" t="str">
        <f t="shared" si="2"/>
        <v/>
      </c>
      <c r="H131" s="68"/>
      <c r="I131" s="69"/>
    </row>
    <row r="132" spans="1:9" ht="21.75" hidden="1" customHeight="1" x14ac:dyDescent="0.3">
      <c r="A132" s="55" t="str">
        <f>IF(C132="","",TEXT(85,"COT-000"))</f>
        <v/>
      </c>
      <c r="B132" s="56"/>
      <c r="C132" s="57"/>
      <c r="D132" s="58"/>
      <c r="E132" s="59"/>
      <c r="F132" s="59"/>
      <c r="G132" s="60" t="str">
        <f t="shared" si="2"/>
        <v/>
      </c>
      <c r="H132" s="61"/>
      <c r="I132" s="62"/>
    </row>
    <row r="133" spans="1:9" ht="21.75" hidden="1" customHeight="1" x14ac:dyDescent="0.3">
      <c r="A133" s="63" t="str">
        <f>IF(C133="","",TEXT(86,"COT-000"))</f>
        <v/>
      </c>
      <c r="B133" s="64"/>
      <c r="C133" s="65"/>
      <c r="D133" s="66"/>
      <c r="E133" s="28"/>
      <c r="F133" s="28"/>
      <c r="G133" s="67" t="str">
        <f t="shared" si="2"/>
        <v/>
      </c>
      <c r="H133" s="68"/>
      <c r="I133" s="69"/>
    </row>
    <row r="134" spans="1:9" ht="21.75" hidden="1" customHeight="1" x14ac:dyDescent="0.3">
      <c r="A134" s="55" t="str">
        <f>IF(C134="","",TEXT(87,"COT-000"))</f>
        <v/>
      </c>
      <c r="B134" s="56"/>
      <c r="C134" s="57"/>
      <c r="D134" s="58"/>
      <c r="E134" s="59"/>
      <c r="F134" s="59"/>
      <c r="G134" s="60" t="str">
        <f t="shared" si="2"/>
        <v/>
      </c>
      <c r="H134" s="61"/>
      <c r="I134" s="62"/>
    </row>
    <row r="135" spans="1:9" ht="21.75" hidden="1" customHeight="1" x14ac:dyDescent="0.3">
      <c r="A135" s="63" t="str">
        <f>IF(C135="","",TEXT(88,"COT-000"))</f>
        <v/>
      </c>
      <c r="B135" s="64"/>
      <c r="C135" s="65"/>
      <c r="D135" s="66"/>
      <c r="E135" s="28"/>
      <c r="F135" s="28"/>
      <c r="G135" s="67" t="str">
        <f t="shared" si="2"/>
        <v/>
      </c>
      <c r="H135" s="68"/>
      <c r="I135" s="69"/>
    </row>
    <row r="136" spans="1:9" ht="21.75" hidden="1" customHeight="1" x14ac:dyDescent="0.3">
      <c r="A136" s="55" t="str">
        <f>IF(C136="","",TEXT(89,"COT-000"))</f>
        <v/>
      </c>
      <c r="B136" s="56"/>
      <c r="C136" s="57"/>
      <c r="D136" s="58"/>
      <c r="E136" s="59"/>
      <c r="F136" s="59"/>
      <c r="G136" s="60" t="str">
        <f t="shared" si="2"/>
        <v/>
      </c>
      <c r="H136" s="61"/>
      <c r="I136" s="62"/>
    </row>
    <row r="137" spans="1:9" ht="21.75" hidden="1" customHeight="1" x14ac:dyDescent="0.3">
      <c r="A137" s="63" t="str">
        <f>IF(C137="","",TEXT(90,"COT-000"))</f>
        <v/>
      </c>
      <c r="B137" s="64"/>
      <c r="C137" s="65"/>
      <c r="D137" s="66"/>
      <c r="E137" s="28"/>
      <c r="F137" s="28"/>
      <c r="G137" s="67" t="str">
        <f t="shared" si="2"/>
        <v/>
      </c>
      <c r="H137" s="68"/>
      <c r="I137" s="69"/>
    </row>
    <row r="138" spans="1:9" ht="21.75" hidden="1" customHeight="1" x14ac:dyDescent="0.3">
      <c r="A138" s="55" t="str">
        <f>IF(C138="","",TEXT(91,"COT-000"))</f>
        <v/>
      </c>
      <c r="B138" s="56"/>
      <c r="C138" s="57"/>
      <c r="D138" s="58"/>
      <c r="E138" s="59"/>
      <c r="F138" s="59"/>
      <c r="G138" s="60" t="str">
        <f t="shared" si="2"/>
        <v/>
      </c>
      <c r="H138" s="61"/>
      <c r="I138" s="62"/>
    </row>
    <row r="139" spans="1:9" ht="21.75" hidden="1" customHeight="1" x14ac:dyDescent="0.3">
      <c r="A139" s="63" t="str">
        <f>IF(C139="","",TEXT(92,"COT-000"))</f>
        <v/>
      </c>
      <c r="B139" s="64"/>
      <c r="C139" s="65"/>
      <c r="D139" s="66"/>
      <c r="E139" s="28"/>
      <c r="F139" s="28"/>
      <c r="G139" s="67" t="str">
        <f t="shared" si="2"/>
        <v/>
      </c>
      <c r="H139" s="68"/>
      <c r="I139" s="69"/>
    </row>
    <row r="140" spans="1:9" ht="21.75" hidden="1" customHeight="1" x14ac:dyDescent="0.3">
      <c r="A140" s="55" t="str">
        <f>IF(C140="","",TEXT(93,"COT-000"))</f>
        <v/>
      </c>
      <c r="B140" s="56"/>
      <c r="C140" s="57"/>
      <c r="D140" s="58"/>
      <c r="E140" s="59"/>
      <c r="F140" s="59"/>
      <c r="G140" s="60" t="str">
        <f t="shared" si="2"/>
        <v/>
      </c>
      <c r="H140" s="61"/>
      <c r="I140" s="62"/>
    </row>
    <row r="141" spans="1:9" ht="21.75" hidden="1" customHeight="1" x14ac:dyDescent="0.3">
      <c r="A141" s="63" t="str">
        <f>IF(C141="","",TEXT(94,"COT-000"))</f>
        <v/>
      </c>
      <c r="B141" s="64"/>
      <c r="C141" s="65"/>
      <c r="D141" s="66"/>
      <c r="E141" s="28"/>
      <c r="F141" s="28"/>
      <c r="G141" s="67" t="str">
        <f t="shared" si="2"/>
        <v/>
      </c>
      <c r="H141" s="68"/>
      <c r="I141" s="69"/>
    </row>
    <row r="142" spans="1:9" ht="21.75" hidden="1" customHeight="1" x14ac:dyDescent="0.3">
      <c r="A142" s="55" t="str">
        <f>IF(C142="","",TEXT(95,"COT-000"))</f>
        <v/>
      </c>
      <c r="B142" s="56"/>
      <c r="C142" s="57"/>
      <c r="D142" s="58"/>
      <c r="E142" s="59"/>
      <c r="F142" s="59"/>
      <c r="G142" s="60" t="str">
        <f t="shared" si="2"/>
        <v/>
      </c>
      <c r="H142" s="61"/>
      <c r="I142" s="62"/>
    </row>
    <row r="143" spans="1:9" ht="21.75" hidden="1" customHeight="1" x14ac:dyDescent="0.3">
      <c r="A143" s="63" t="str">
        <f>IF(C143="","",TEXT(96,"COT-000"))</f>
        <v/>
      </c>
      <c r="B143" s="64"/>
      <c r="C143" s="65"/>
      <c r="D143" s="66"/>
      <c r="E143" s="28"/>
      <c r="F143" s="28"/>
      <c r="G143" s="67" t="str">
        <f t="shared" si="2"/>
        <v/>
      </c>
      <c r="H143" s="68"/>
      <c r="I143" s="69"/>
    </row>
    <row r="144" spans="1:9" ht="21.75" hidden="1" customHeight="1" x14ac:dyDescent="0.3">
      <c r="A144" s="55" t="str">
        <f>IF(C144="","",TEXT(97,"COT-000"))</f>
        <v/>
      </c>
      <c r="B144" s="56"/>
      <c r="C144" s="57"/>
      <c r="D144" s="58"/>
      <c r="E144" s="59"/>
      <c r="F144" s="59"/>
      <c r="G144" s="60" t="str">
        <f t="shared" ref="G144:G147" si="3">IF(OR(E144="",F144=""),"",F144-E144)</f>
        <v/>
      </c>
      <c r="H144" s="61"/>
      <c r="I144" s="62"/>
    </row>
    <row r="145" spans="1:9" ht="21.75" hidden="1" customHeight="1" x14ac:dyDescent="0.3">
      <c r="A145" s="63" t="str">
        <f>IF(C145="","",TEXT(98,"COT-000"))</f>
        <v/>
      </c>
      <c r="B145" s="64"/>
      <c r="C145" s="65"/>
      <c r="D145" s="66"/>
      <c r="E145" s="28"/>
      <c r="F145" s="28"/>
      <c r="G145" s="67" t="str">
        <f t="shared" si="3"/>
        <v/>
      </c>
      <c r="H145" s="68"/>
      <c r="I145" s="69"/>
    </row>
    <row r="146" spans="1:9" ht="21.75" hidden="1" customHeight="1" x14ac:dyDescent="0.3">
      <c r="A146" s="55" t="str">
        <f>IF(C146="","",TEXT(99,"COT-000"))</f>
        <v/>
      </c>
      <c r="B146" s="56"/>
      <c r="C146" s="57"/>
      <c r="D146" s="58"/>
      <c r="E146" s="59"/>
      <c r="F146" s="59"/>
      <c r="G146" s="60" t="str">
        <f t="shared" si="3"/>
        <v/>
      </c>
      <c r="H146" s="61"/>
      <c r="I146" s="62"/>
    </row>
    <row r="147" spans="1:9" ht="21.75" hidden="1" customHeight="1" x14ac:dyDescent="0.3">
      <c r="A147" s="63" t="str">
        <f>IF(C147="","",TEXT(100,"COT-000"))</f>
        <v/>
      </c>
      <c r="B147" s="64"/>
      <c r="C147" s="65"/>
      <c r="D147" s="66"/>
      <c r="E147" s="28"/>
      <c r="F147" s="28"/>
      <c r="G147" s="67" t="str">
        <f t="shared" si="3"/>
        <v/>
      </c>
      <c r="H147" s="68"/>
      <c r="I147" s="69"/>
    </row>
  </sheetData>
  <autoFilter ref="A15:I147" xr:uid="{00000000-0009-0000-0000-000006000000}">
    <filterColumn colId="1">
      <customFilters>
        <customFilter operator="notEqual" val=" "/>
      </customFilters>
    </filterColumn>
  </autoFilter>
  <mergeCells count="15">
    <mergeCell ref="A1:I3"/>
    <mergeCell ref="A4:I4"/>
    <mergeCell ref="A5:I6"/>
    <mergeCell ref="A8:B8"/>
    <mergeCell ref="C8:D8"/>
    <mergeCell ref="E8:F8"/>
    <mergeCell ref="G8:I8"/>
    <mergeCell ref="A9:B11"/>
    <mergeCell ref="C9:D11"/>
    <mergeCell ref="E9:F11"/>
    <mergeCell ref="G9:I11"/>
    <mergeCell ref="A12:B12"/>
    <mergeCell ref="C12:D12"/>
    <mergeCell ref="E12:F12"/>
    <mergeCell ref="G12:I12"/>
  </mergeCells>
  <conditionalFormatting sqref="D16:D62 D64:D147">
    <cfRule type="cellIs" dxfId="7" priority="6" operator="equal">
      <formula>"IMPORT"</formula>
    </cfRule>
    <cfRule type="cellIs" dxfId="6" priority="7" operator="equal">
      <formula>"EXPORT"</formula>
    </cfRule>
  </conditionalFormatting>
  <conditionalFormatting sqref="G16:G62 G64:G147">
    <cfRule type="cellIs" dxfId="5" priority="8" operator="lessThan">
      <formula>0</formula>
    </cfRule>
    <cfRule type="cellIs" dxfId="4" priority="9" operator="greaterThan">
      <formula>0</formula>
    </cfRule>
  </conditionalFormatting>
  <conditionalFormatting sqref="H16:H62 H64:H147">
    <cfRule type="cellIs" dxfId="3" priority="2" operator="equal">
      <formula>"GAGNÉ"</formula>
    </cfRule>
    <cfRule type="cellIs" dxfId="2" priority="3" operator="equal">
      <formula>"PERDU"</formula>
    </cfRule>
    <cfRule type="cellIs" dxfId="1" priority="4" operator="equal">
      <formula>"EN COURS"</formula>
    </cfRule>
    <cfRule type="cellIs" dxfId="0" priority="5" operator="equal">
      <formula>"ANNULÉ"</formula>
    </cfRule>
  </conditionalFormatting>
  <dataValidations count="2">
    <dataValidation type="list" allowBlank="1" sqref="D64:D147 D16:D62" xr:uid="{00000000-0002-0000-0600-000000000000}">
      <formula1>"IMPORT,EXPORT"</formula1>
      <formula2>0</formula2>
    </dataValidation>
    <dataValidation type="list" allowBlank="1" sqref="H64:H147 H16:H62" xr:uid="{00000000-0002-0000-0600-000001000000}">
      <formula1>"GAGNÉ,PERDU,EN COURS,ANNULÉ"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1">
    <tabColor theme="7" tint="0.39997558519241921"/>
  </sheetPr>
  <dimension ref="A1:N38"/>
  <sheetViews>
    <sheetView showGridLines="0" zoomScale="95" zoomScaleNormal="95" workbookViewId="0">
      <pane xSplit="1" ySplit="7" topLeftCell="B8" activePane="bottomRight" state="frozen"/>
      <selection activeCell="H21" sqref="H21"/>
      <selection pane="topRight" activeCell="H21" sqref="H21"/>
      <selection pane="bottomLeft" activeCell="H21" sqref="H21"/>
      <selection pane="bottomRight" activeCell="C25" sqref="C25"/>
    </sheetView>
  </sheetViews>
  <sheetFormatPr baseColWidth="10" defaultColWidth="8.6640625" defaultRowHeight="14.4" x14ac:dyDescent="0.3"/>
  <cols>
    <col min="1" max="1" width="2" customWidth="1"/>
    <col min="2" max="2" width="30" customWidth="1"/>
    <col min="3" max="9" width="13" customWidth="1"/>
    <col min="10" max="10" width="16.77734375" customWidth="1"/>
    <col min="11" max="13" width="13" customWidth="1"/>
    <col min="14" max="14" width="19.109375" customWidth="1"/>
  </cols>
  <sheetData>
    <row r="1" spans="1:14" ht="21.75" customHeight="1" x14ac:dyDescent="0.3">
      <c r="A1" s="166" t="s">
        <v>5726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</row>
    <row r="2" spans="1:14" ht="21.75" customHeight="1" x14ac:dyDescent="0.3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</row>
    <row r="3" spans="1:14" ht="21.75" customHeight="1" x14ac:dyDescent="0.3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</row>
    <row r="4" spans="1:14" ht="21.75" customHeight="1" x14ac:dyDescent="0.3">
      <c r="A4" s="167" t="s">
        <v>5727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</row>
    <row r="5" spans="1:14" ht="21.75" customHeight="1" x14ac:dyDescent="0.3">
      <c r="A5" s="145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</row>
    <row r="6" spans="1:14" ht="21.75" customHeight="1" x14ac:dyDescent="0.3">
      <c r="A6" s="145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</row>
    <row r="8" spans="1:14" ht="19.5" customHeight="1" x14ac:dyDescent="0.3">
      <c r="A8" s="70"/>
      <c r="B8" s="147" t="s">
        <v>5713</v>
      </c>
      <c r="C8" s="147"/>
      <c r="D8" s="147"/>
      <c r="E8" s="149" t="s">
        <v>5714</v>
      </c>
      <c r="F8" s="149"/>
      <c r="G8" s="149"/>
      <c r="H8" s="161" t="s">
        <v>5715</v>
      </c>
      <c r="I8" s="161"/>
      <c r="J8" s="161"/>
      <c r="K8" s="148" t="s">
        <v>5716</v>
      </c>
      <c r="L8" s="148"/>
      <c r="M8" s="148"/>
      <c r="N8" s="70"/>
    </row>
    <row r="9" spans="1:14" ht="19.5" customHeight="1" x14ac:dyDescent="0.3">
      <c r="A9" s="70"/>
      <c r="B9" s="175">
        <f>'💼 Opportunités'!A9</f>
        <v>16</v>
      </c>
      <c r="C9" s="175"/>
      <c r="D9" s="175"/>
      <c r="E9" s="175">
        <f>'💼 Opportunités'!C9</f>
        <v>3</v>
      </c>
      <c r="F9" s="175"/>
      <c r="G9" s="175"/>
      <c r="H9" s="175">
        <f>'💼 Opportunités'!E9</f>
        <v>4</v>
      </c>
      <c r="I9" s="175"/>
      <c r="J9" s="175"/>
      <c r="K9" s="175">
        <f>'💼 Opportunités'!G9</f>
        <v>8256.5259999999998</v>
      </c>
      <c r="L9" s="175"/>
      <c r="M9" s="175"/>
      <c r="N9" s="70"/>
    </row>
    <row r="10" spans="1:14" ht="19.5" customHeight="1" x14ac:dyDescent="0.3">
      <c r="A10" s="70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70"/>
    </row>
    <row r="11" spans="1:14" ht="19.5" customHeight="1" x14ac:dyDescent="0.3">
      <c r="A11" s="70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70"/>
    </row>
    <row r="12" spans="1:14" ht="19.5" customHeight="1" x14ac:dyDescent="0.3">
      <c r="A12" s="70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70"/>
    </row>
    <row r="13" spans="1:14" ht="19.5" customHeight="1" x14ac:dyDescent="0.3">
      <c r="A13" s="70"/>
      <c r="B13" s="165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70"/>
    </row>
    <row r="14" spans="1:14" ht="25.5" customHeight="1" x14ac:dyDescent="0.3">
      <c r="A14" s="70"/>
      <c r="B14" s="172" t="s">
        <v>5728</v>
      </c>
      <c r="C14" s="172"/>
      <c r="D14" s="172"/>
      <c r="E14" s="172"/>
      <c r="F14" s="173">
        <f>IFERROR(C9/B9,0)</f>
        <v>0</v>
      </c>
      <c r="G14" s="173"/>
      <c r="H14" s="172" t="s">
        <v>5729</v>
      </c>
      <c r="I14" s="172"/>
      <c r="J14" s="172"/>
      <c r="K14" s="172"/>
      <c r="L14" s="174">
        <f>IFERROR(D9/B9,0)</f>
        <v>0</v>
      </c>
      <c r="M14" s="174"/>
      <c r="N14" s="70"/>
    </row>
    <row r="15" spans="1:14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25.5" customHeight="1" x14ac:dyDescent="0.3">
      <c r="B16" s="171" t="s">
        <v>5730</v>
      </c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</row>
    <row r="17" spans="1:14" ht="25.5" customHeight="1" x14ac:dyDescent="0.3">
      <c r="B17" s="71" t="s">
        <v>5731</v>
      </c>
      <c r="C17" s="71" t="s">
        <v>5732</v>
      </c>
      <c r="D17" s="71" t="s">
        <v>5733</v>
      </c>
      <c r="E17" s="71" t="s">
        <v>5734</v>
      </c>
      <c r="F17" s="71" t="s">
        <v>5735</v>
      </c>
      <c r="G17" s="71" t="s">
        <v>5736</v>
      </c>
      <c r="H17" s="71" t="s">
        <v>5737</v>
      </c>
      <c r="I17" s="71" t="s">
        <v>5738</v>
      </c>
      <c r="J17" s="71" t="s">
        <v>5739</v>
      </c>
    </row>
    <row r="18" spans="1:14" ht="24" customHeight="1" x14ac:dyDescent="0.3">
      <c r="B18" s="72" t="s">
        <v>5740</v>
      </c>
      <c r="C18" s="73">
        <f>COUNTIF('💼 Opportunités'!D16:D147,"IMPORT")</f>
        <v>12</v>
      </c>
      <c r="D18" s="73">
        <f>COUNTIFS('💼 Opportunités'!D16:D147,"IMPORT",'💼 Opportunités'!H16:H147,"GAGNÉ")</f>
        <v>2</v>
      </c>
      <c r="E18" s="73">
        <f>COUNTIFS('💼 Opportunités'!D16:D147,"IMPORT",'💼 Opportunités'!H16:H147,"PERDU")</f>
        <v>3</v>
      </c>
      <c r="F18" s="73">
        <f>COUNTIFS('💼 Opportunités'!D16:D147,"IMPORT",'💼 Opportunités'!H16:H147,"EN COURS")</f>
        <v>6</v>
      </c>
      <c r="G18" s="73">
        <f>COUNTIFS('💼 Opportunités'!D16:D147,"IMPORT",'💼 Opportunités'!H16:H147,"ANNULÉ")</f>
        <v>1</v>
      </c>
      <c r="H18" s="73">
        <f>SUMIFS('💼 Opportunités'!F16:F147,'💼 Opportunités'!D16:D147,"IMPORT",'💼 Opportunités'!H16:H147,"GAGNÉ")</f>
        <v>2131.83</v>
      </c>
      <c r="I18" s="73">
        <f>SUMIFS('💼 Opportunités'!G16:G147,'💼 Opportunités'!D16:D147,"IMPORT",'💼 Opportunités'!H16:H147,"GAGNÉ")</f>
        <v>1058.33</v>
      </c>
      <c r="J18" s="74">
        <f>IFERROR(D18/C18,0)</f>
        <v>0.16666666666666666</v>
      </c>
    </row>
    <row r="19" spans="1:14" ht="24" customHeight="1" x14ac:dyDescent="0.3">
      <c r="B19" s="75" t="s">
        <v>5741</v>
      </c>
      <c r="C19" s="76">
        <f>COUNTIF('💼 Opportunités'!D16:D147,"EXPORT")</f>
        <v>4</v>
      </c>
      <c r="D19" s="76">
        <f>COUNTIFS('💼 Opportunités'!D16:D147,"EXPORT",'💼 Opportunités'!H16:H147,"GAGNÉ")</f>
        <v>1</v>
      </c>
      <c r="E19" s="76">
        <f>COUNTIFS('💼 Opportunités'!D16:D147,"EXPORT",'💼 Opportunités'!H16:H147,"PERDU")</f>
        <v>1</v>
      </c>
      <c r="F19" s="76">
        <f>COUNTIFS('💼 Opportunités'!D16:D147,"EXPORT",'💼 Opportunités'!H16:H147,"EN COURS")</f>
        <v>2</v>
      </c>
      <c r="G19" s="76">
        <f>COUNTIFS('💼 Opportunités'!D16:D147,"EXPORT",'💼 Opportunités'!H16:H147,"ANNULÉ")</f>
        <v>0</v>
      </c>
      <c r="H19" s="76">
        <f>SUMIFS('💼 Opportunités'!F16:F147,'💼 Opportunités'!D16:D147,"EXPORT",'💼 Opportunités'!H16:H147,"GAGNÉ")</f>
        <v>2334.31</v>
      </c>
      <c r="I19" s="76">
        <f>SUMIFS('💼 Opportunités'!G16:G147,'💼 Opportunités'!D16:D147,"EXPORT",'💼 Opportunités'!H16:H147,"GAGNÉ")</f>
        <v>428.70000000000005</v>
      </c>
      <c r="J19" s="77">
        <f>IFERROR(D19/C19,0)</f>
        <v>0.25</v>
      </c>
    </row>
    <row r="20" spans="1:14" ht="24" customHeight="1" x14ac:dyDescent="0.3">
      <c r="B20" s="78" t="s">
        <v>26</v>
      </c>
      <c r="C20" s="79">
        <f t="shared" ref="C20:I20" si="0">SUM(C18:C19)</f>
        <v>16</v>
      </c>
      <c r="D20" s="79">
        <f t="shared" si="0"/>
        <v>3</v>
      </c>
      <c r="E20" s="79">
        <f t="shared" si="0"/>
        <v>4</v>
      </c>
      <c r="F20" s="79">
        <f t="shared" si="0"/>
        <v>8</v>
      </c>
      <c r="G20" s="79">
        <f t="shared" si="0"/>
        <v>1</v>
      </c>
      <c r="H20" s="79">
        <f t="shared" si="0"/>
        <v>4466.1399999999994</v>
      </c>
      <c r="I20" s="79">
        <f t="shared" si="0"/>
        <v>1487.03</v>
      </c>
      <c r="J20" s="80">
        <f>IFERROR(D20/C20,0)</f>
        <v>0.1875</v>
      </c>
    </row>
    <row r="21" spans="1:14" ht="7.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25.5" customHeight="1" x14ac:dyDescent="0.3">
      <c r="B22" s="171" t="s">
        <v>5742</v>
      </c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14" ht="25.5" customHeight="1" x14ac:dyDescent="0.3">
      <c r="B23" s="4" t="s">
        <v>5743</v>
      </c>
      <c r="C23" s="4" t="s">
        <v>5744</v>
      </c>
      <c r="D23" s="4" t="s">
        <v>5745</v>
      </c>
      <c r="E23" s="4" t="s">
        <v>5746</v>
      </c>
      <c r="F23" s="4" t="s">
        <v>5747</v>
      </c>
      <c r="G23" s="4" t="s">
        <v>805</v>
      </c>
      <c r="H23" s="4" t="s">
        <v>5748</v>
      </c>
      <c r="I23" s="4" t="s">
        <v>5749</v>
      </c>
      <c r="J23" s="4" t="s">
        <v>5769</v>
      </c>
      <c r="K23" s="4" t="s">
        <v>5750</v>
      </c>
      <c r="L23" s="4" t="s">
        <v>5751</v>
      </c>
      <c r="M23" s="4" t="s">
        <v>5752</v>
      </c>
      <c r="N23" s="4" t="s">
        <v>5753</v>
      </c>
    </row>
    <row r="24" spans="1:14" ht="24" customHeight="1" x14ac:dyDescent="0.3">
      <c r="B24" s="81" t="s">
        <v>5754</v>
      </c>
      <c r="C24" s="10"/>
      <c r="D24" s="82"/>
      <c r="E24" s="10"/>
      <c r="F24" s="82"/>
      <c r="G24" s="10"/>
      <c r="H24" s="82"/>
      <c r="I24" s="10"/>
      <c r="J24" s="82"/>
      <c r="K24" s="10"/>
      <c r="L24" s="82"/>
      <c r="M24" s="10"/>
      <c r="N24" s="82"/>
    </row>
    <row r="25" spans="1:14" ht="24" customHeight="1" x14ac:dyDescent="0.3">
      <c r="B25" s="83" t="s">
        <v>5755</v>
      </c>
      <c r="C25" s="84"/>
      <c r="D25" s="85"/>
      <c r="E25" s="84"/>
      <c r="F25" s="85"/>
      <c r="G25" s="84"/>
      <c r="H25" s="85"/>
      <c r="I25" s="84"/>
      <c r="J25" s="85"/>
      <c r="K25" s="84"/>
      <c r="L25" s="85"/>
      <c r="M25" s="84"/>
      <c r="N25" s="85"/>
    </row>
    <row r="26" spans="1:14" ht="24" customHeight="1" x14ac:dyDescent="0.3">
      <c r="B26" s="86" t="s">
        <v>5756</v>
      </c>
      <c r="C26" s="87"/>
      <c r="D26" s="88"/>
      <c r="E26" s="87"/>
      <c r="F26" s="88"/>
      <c r="G26" s="87"/>
      <c r="H26" s="88"/>
      <c r="I26" s="87"/>
      <c r="J26" s="88"/>
      <c r="K26" s="87"/>
      <c r="L26" s="88"/>
      <c r="M26" s="87"/>
      <c r="N26" s="88"/>
    </row>
    <row r="27" spans="1:14" ht="24" customHeight="1" x14ac:dyDescent="0.3">
      <c r="B27" s="89" t="s">
        <v>5757</v>
      </c>
      <c r="C27" s="90"/>
      <c r="D27" s="91"/>
      <c r="E27" s="90"/>
      <c r="F27" s="91"/>
      <c r="G27" s="90"/>
      <c r="H27" s="91"/>
      <c r="I27" s="90"/>
      <c r="J27" s="91"/>
      <c r="K27" s="90"/>
      <c r="L27" s="91"/>
      <c r="M27" s="90"/>
      <c r="N27" s="91"/>
    </row>
    <row r="28" spans="1:14" ht="24" customHeight="1" x14ac:dyDescent="0.3">
      <c r="B28" s="83" t="s">
        <v>5758</v>
      </c>
      <c r="C28" s="84"/>
      <c r="D28" s="85"/>
      <c r="E28" s="84"/>
      <c r="F28" s="85"/>
      <c r="G28" s="84"/>
      <c r="H28" s="85"/>
      <c r="I28" s="84"/>
      <c r="J28" s="85"/>
      <c r="K28" s="84"/>
      <c r="L28" s="85"/>
      <c r="M28" s="84"/>
      <c r="N28" s="85"/>
    </row>
    <row r="29" spans="1:14" ht="24" customHeight="1" x14ac:dyDescent="0.3">
      <c r="B29" s="92" t="s">
        <v>5759</v>
      </c>
      <c r="C29" s="93"/>
      <c r="D29" s="94"/>
      <c r="E29" s="93"/>
      <c r="F29" s="94"/>
      <c r="G29" s="93"/>
      <c r="H29" s="94"/>
      <c r="I29" s="93"/>
      <c r="J29" s="94"/>
      <c r="K29" s="93"/>
      <c r="L29" s="94"/>
      <c r="M29" s="93"/>
      <c r="N29" s="94"/>
    </row>
    <row r="30" spans="1:14" ht="25.5" customHeight="1" x14ac:dyDescent="0.3">
      <c r="B30" s="95" t="s">
        <v>5760</v>
      </c>
      <c r="C30" s="96">
        <f t="shared" ref="C30:N30" si="1">SUM(C24:C26)</f>
        <v>0</v>
      </c>
      <c r="D30" s="96">
        <f t="shared" si="1"/>
        <v>0</v>
      </c>
      <c r="E30" s="96">
        <f t="shared" si="1"/>
        <v>0</v>
      </c>
      <c r="F30" s="96">
        <f t="shared" si="1"/>
        <v>0</v>
      </c>
      <c r="G30" s="96">
        <f t="shared" si="1"/>
        <v>0</v>
      </c>
      <c r="H30" s="96">
        <f t="shared" si="1"/>
        <v>0</v>
      </c>
      <c r="I30" s="96">
        <f t="shared" si="1"/>
        <v>0</v>
      </c>
      <c r="J30" s="96">
        <f t="shared" si="1"/>
        <v>0</v>
      </c>
      <c r="K30" s="96">
        <f t="shared" si="1"/>
        <v>0</v>
      </c>
      <c r="L30" s="96">
        <f t="shared" si="1"/>
        <v>0</v>
      </c>
      <c r="M30" s="96">
        <f t="shared" si="1"/>
        <v>0</v>
      </c>
      <c r="N30" s="96">
        <f t="shared" si="1"/>
        <v>0</v>
      </c>
    </row>
    <row r="31" spans="1:14" ht="7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25.5" customHeight="1" x14ac:dyDescent="0.3">
      <c r="B32" s="171" t="s">
        <v>5761</v>
      </c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</row>
    <row r="33" spans="2:13" ht="27.75" customHeight="1" x14ac:dyDescent="0.3">
      <c r="B33" s="168" t="s">
        <v>5762</v>
      </c>
      <c r="C33" s="168"/>
      <c r="D33" s="168"/>
      <c r="E33" s="168"/>
      <c r="F33" s="170"/>
      <c r="G33" s="170"/>
      <c r="H33" s="170"/>
      <c r="I33" s="170"/>
      <c r="J33" s="170"/>
      <c r="K33" s="170"/>
      <c r="L33" s="170"/>
      <c r="M33" s="170"/>
    </row>
    <row r="34" spans="2:13" ht="27.75" customHeight="1" x14ac:dyDescent="0.3">
      <c r="B34" s="168" t="s">
        <v>5763</v>
      </c>
      <c r="C34" s="168"/>
      <c r="D34" s="168"/>
      <c r="E34" s="168"/>
      <c r="F34" s="169"/>
      <c r="G34" s="169"/>
      <c r="H34" s="169"/>
      <c r="I34" s="169"/>
      <c r="J34" s="169"/>
      <c r="K34" s="169"/>
      <c r="L34" s="169"/>
      <c r="M34" s="169"/>
    </row>
    <row r="35" spans="2:13" ht="27.75" customHeight="1" x14ac:dyDescent="0.3">
      <c r="B35" s="168" t="s">
        <v>5764</v>
      </c>
      <c r="C35" s="168"/>
      <c r="D35" s="168"/>
      <c r="E35" s="168"/>
      <c r="F35" s="170"/>
      <c r="G35" s="170"/>
      <c r="H35" s="170"/>
      <c r="I35" s="170"/>
      <c r="J35" s="170"/>
      <c r="K35" s="170"/>
      <c r="L35" s="170"/>
      <c r="M35" s="170"/>
    </row>
    <row r="36" spans="2:13" ht="27.75" customHeight="1" x14ac:dyDescent="0.3">
      <c r="B36" s="168" t="s">
        <v>5765</v>
      </c>
      <c r="C36" s="168"/>
      <c r="D36" s="168"/>
      <c r="E36" s="168"/>
      <c r="F36" s="169"/>
      <c r="G36" s="169"/>
      <c r="H36" s="169"/>
      <c r="I36" s="169"/>
      <c r="J36" s="169"/>
      <c r="K36" s="169"/>
      <c r="L36" s="169"/>
      <c r="M36" s="169"/>
    </row>
    <row r="37" spans="2:13" ht="27.75" customHeight="1" x14ac:dyDescent="0.3">
      <c r="B37" s="168" t="s">
        <v>5766</v>
      </c>
      <c r="C37" s="168"/>
      <c r="D37" s="168"/>
      <c r="E37" s="168"/>
      <c r="F37" s="170"/>
      <c r="G37" s="170"/>
      <c r="H37" s="170"/>
      <c r="I37" s="170"/>
      <c r="J37" s="170"/>
      <c r="K37" s="170"/>
      <c r="L37" s="170"/>
      <c r="M37" s="170"/>
    </row>
    <row r="38" spans="2:13" ht="27.75" customHeight="1" x14ac:dyDescent="0.3">
      <c r="B38" s="168" t="s">
        <v>5767</v>
      </c>
      <c r="C38" s="168"/>
      <c r="D38" s="168"/>
      <c r="E38" s="168"/>
      <c r="F38" s="169"/>
      <c r="G38" s="169"/>
      <c r="H38" s="169"/>
      <c r="I38" s="169"/>
      <c r="J38" s="169"/>
      <c r="K38" s="169"/>
      <c r="L38" s="169"/>
      <c r="M38" s="169"/>
    </row>
  </sheetData>
  <mergeCells count="34">
    <mergeCell ref="A1:N3"/>
    <mergeCell ref="A4:N4"/>
    <mergeCell ref="A5:N6"/>
    <mergeCell ref="B8:D8"/>
    <mergeCell ref="E8:G8"/>
    <mergeCell ref="H8:J8"/>
    <mergeCell ref="K8:M8"/>
    <mergeCell ref="B9:D11"/>
    <mergeCell ref="E9:G11"/>
    <mergeCell ref="H9:J11"/>
    <mergeCell ref="K9:M11"/>
    <mergeCell ref="B12:D13"/>
    <mergeCell ref="E12:G13"/>
    <mergeCell ref="H12:J13"/>
    <mergeCell ref="K12:M13"/>
    <mergeCell ref="B14:E14"/>
    <mergeCell ref="F14:G14"/>
    <mergeCell ref="H14:K14"/>
    <mergeCell ref="L14:M14"/>
    <mergeCell ref="B16:M16"/>
    <mergeCell ref="B22:M22"/>
    <mergeCell ref="B32:M32"/>
    <mergeCell ref="B33:E33"/>
    <mergeCell ref="F33:M33"/>
    <mergeCell ref="B34:E34"/>
    <mergeCell ref="F34:M34"/>
    <mergeCell ref="B38:E38"/>
    <mergeCell ref="F38:M38"/>
    <mergeCell ref="B35:E35"/>
    <mergeCell ref="F35:M35"/>
    <mergeCell ref="B36:E36"/>
    <mergeCell ref="F36:M36"/>
    <mergeCell ref="B37:E37"/>
    <mergeCell ref="F37:M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📊 TABLEAU DE BORD</vt:lpstr>
      <vt:lpstr>📋 DONNÉES CONSOLIDÉES</vt:lpstr>
      <vt:lpstr>📅 ANALYSE MENSUELLE</vt:lpstr>
      <vt:lpstr>🚢 ANALYSE NAVIRES</vt:lpstr>
      <vt:lpstr>📈 HISTORIQUE CLIENTS</vt:lpstr>
      <vt:lpstr>📈 2026 (MARGES)</vt:lpstr>
      <vt:lpstr>🚚 SHIPPERS À RELANCER</vt:lpstr>
      <vt:lpstr>👥 SYNTHÈSE CLIENTS</vt:lpstr>
      <vt:lpstr>🎯 SYNTHÈSE PROSPECTS</vt:lpstr>
      <vt:lpstr>💼 Opportunités</vt:lpstr>
      <vt:lpstr>📊 Récapitulatif 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Bertrand BODJONA</cp:lastModifiedBy>
  <cp:revision>0</cp:revision>
  <cp:lastPrinted>2026-04-17T10:13:58Z</cp:lastPrinted>
  <dcterms:created xsi:type="dcterms:W3CDTF">2026-04-13T09:34:34Z</dcterms:created>
  <dcterms:modified xsi:type="dcterms:W3CDTF">2026-04-18T05:02:06Z</dcterms:modified>
  <dc:language>en-US</dc:language>
</cp:coreProperties>
</file>